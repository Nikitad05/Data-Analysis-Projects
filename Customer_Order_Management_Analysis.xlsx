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D:\IT Vedant\Excel\Project\"/>
    </mc:Choice>
  </mc:AlternateContent>
  <xr:revisionPtr revIDLastSave="0" documentId="13_ncr:1_{E499DE03-3E4E-4798-8DA2-9AB3407EB2CA}"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pivot tables" sheetId="2" r:id="rId2"/>
    <sheet name="Dashboard" sheetId="4" r:id="rId3"/>
  </sheets>
  <definedNames>
    <definedName name="_xlchart.v1.0" hidden="1">'pivot tables'!$C$26:$C$32</definedName>
    <definedName name="_xlchart.v1.1" hidden="1">'pivot tables'!$D$25</definedName>
    <definedName name="_xlchart.v1.11" hidden="1">'pivot tables'!$C$26:$C$32</definedName>
    <definedName name="_xlchart.v1.12" hidden="1">'pivot tables'!$D$25</definedName>
    <definedName name="_xlchart.v1.13" hidden="1">'pivot tables'!$D$26:$D$32</definedName>
    <definedName name="_xlchart.v1.2" hidden="1">'pivot tables'!$D$26:$D$32</definedName>
    <definedName name="_xlchart.v5.10" hidden="1">'pivot tables'!$D$61:$D$70</definedName>
    <definedName name="_xlchart.v5.3" hidden="1">'pivot tables'!$C$60</definedName>
    <definedName name="_xlchart.v5.4" hidden="1">'pivot tables'!$C$61:$C$70</definedName>
    <definedName name="_xlchart.v5.5" hidden="1">'pivot tables'!$D$60</definedName>
    <definedName name="_xlchart.v5.6" hidden="1">'pivot tables'!$D$61:$D$70</definedName>
    <definedName name="_xlchart.v5.7" hidden="1">'pivot tables'!$C$60</definedName>
    <definedName name="_xlchart.v5.8" hidden="1">'pivot tables'!$C$61:$C$70</definedName>
    <definedName name="_xlchart.v5.9" hidden="1">'pivot tables'!$D$60</definedName>
    <definedName name="Slicer_Brand">#N/A</definedName>
    <definedName name="Slicer_Country">#N/A</definedName>
    <definedName name="Slicer_Customer_ID">#N/A</definedName>
    <definedName name="Slicer_Order_Status">#N/A</definedName>
    <definedName name="Slicer_Payment_Mode">#N/A</definedName>
    <definedName name="Slicer_Product_Category">#N/A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 i="1" l="1"/>
  <c r="V7" i="1"/>
  <c r="V16" i="1"/>
  <c r="V20" i="1"/>
  <c r="V22" i="1"/>
  <c r="V31" i="1"/>
  <c r="V37" i="1"/>
  <c r="V42" i="1"/>
  <c r="V43" i="1"/>
  <c r="V48" i="1"/>
  <c r="V55" i="1"/>
  <c r="V56" i="1"/>
  <c r="V67" i="1"/>
  <c r="V70" i="1"/>
  <c r="V72" i="1"/>
  <c r="V80" i="1"/>
  <c r="V92" i="1"/>
  <c r="V94" i="1"/>
  <c r="V96" i="1"/>
  <c r="V100" i="1"/>
  <c r="V103" i="1"/>
  <c r="V115" i="1"/>
  <c r="V117" i="1"/>
  <c r="V118" i="1"/>
  <c r="V120" i="1"/>
  <c r="V128" i="1"/>
  <c r="V132" i="1"/>
  <c r="V139" i="1"/>
  <c r="V148" i="1"/>
  <c r="V151" i="1"/>
  <c r="V152" i="1"/>
  <c r="V153" i="1"/>
  <c r="V154" i="1"/>
  <c r="V156" i="1"/>
  <c r="V163" i="1"/>
  <c r="V175" i="1"/>
  <c r="V176" i="1"/>
  <c r="V188" i="1"/>
  <c r="V193" i="1"/>
  <c r="V199" i="1"/>
  <c r="V203" i="1"/>
  <c r="V205" i="1"/>
  <c r="V213" i="1"/>
  <c r="V214" i="1"/>
  <c r="V215" i="1"/>
  <c r="V216" i="1"/>
  <c r="V217" i="1"/>
  <c r="V228" i="1"/>
  <c r="V235" i="1"/>
  <c r="V236" i="1"/>
  <c r="V237" i="1"/>
  <c r="V241" i="1"/>
  <c r="V246" i="1"/>
  <c r="V251" i="1"/>
  <c r="V252" i="1"/>
  <c r="V253" i="1"/>
  <c r="V256" i="1"/>
  <c r="V259" i="1"/>
  <c r="V270" i="1"/>
  <c r="V271" i="1"/>
  <c r="V272" i="1"/>
  <c r="V283" i="1"/>
  <c r="V284" i="1"/>
  <c r="V287" i="1"/>
  <c r="V288" i="1"/>
  <c r="V289" i="1"/>
  <c r="V306" i="1"/>
  <c r="V307" i="1"/>
  <c r="V308" i="1"/>
  <c r="V312" i="1"/>
  <c r="V320" i="1"/>
  <c r="V322" i="1"/>
  <c r="V323" i="1"/>
  <c r="V324" i="1"/>
  <c r="V325" i="1"/>
  <c r="V332" i="1"/>
  <c r="V335" i="1"/>
  <c r="V336" i="1"/>
  <c r="V345" i="1"/>
  <c r="V361" i="1"/>
  <c r="V364" i="1"/>
  <c r="V373" i="1"/>
  <c r="V378" i="1"/>
  <c r="V379" i="1"/>
  <c r="V380" i="1"/>
  <c r="V390" i="1"/>
  <c r="V391" i="1"/>
  <c r="V392" i="1"/>
  <c r="V400" i="1"/>
  <c r="V403" i="1"/>
  <c r="V414" i="1"/>
  <c r="V416" i="1"/>
  <c r="V427" i="1"/>
  <c r="V428" i="1"/>
  <c r="V430" i="1"/>
  <c r="V439" i="1"/>
  <c r="V440" i="1"/>
  <c r="V442" i="1"/>
  <c r="V443" i="1"/>
  <c r="V445" i="1"/>
  <c r="V450" i="1"/>
  <c r="V452" i="1"/>
  <c r="V464" i="1"/>
  <c r="V466" i="1"/>
  <c r="V467" i="1"/>
  <c r="V480" i="1"/>
  <c r="V481" i="1"/>
  <c r="V484" i="1"/>
  <c r="V493" i="1"/>
  <c r="V500" i="1"/>
  <c r="V508" i="1"/>
  <c r="V511" i="1"/>
  <c r="V513" i="1"/>
  <c r="V514" i="1"/>
  <c r="V524" i="1"/>
  <c r="V528" i="1"/>
  <c r="V529" i="1"/>
  <c r="V540" i="1"/>
  <c r="V547" i="1"/>
  <c r="V551" i="1"/>
  <c r="V553" i="1"/>
  <c r="V556" i="1"/>
  <c r="V561" i="1"/>
  <c r="V562" i="1"/>
  <c r="V568" i="1"/>
  <c r="V570" i="1"/>
  <c r="V576" i="1"/>
  <c r="V584" i="1"/>
  <c r="V596" i="1"/>
  <c r="V600" i="1"/>
  <c r="V607" i="1"/>
  <c r="V608" i="1"/>
  <c r="V609" i="1"/>
  <c r="V611" i="1"/>
  <c r="V612" i="1"/>
  <c r="V623" i="1"/>
  <c r="V624" i="1"/>
  <c r="V628" i="1"/>
  <c r="V640" i="1"/>
  <c r="V642" i="1"/>
  <c r="V643" i="1"/>
  <c r="V644" i="1"/>
  <c r="V652" i="1"/>
  <c r="V654" i="1"/>
  <c r="V655" i="1"/>
  <c r="V656" i="1"/>
  <c r="V658" i="1"/>
  <c r="V659" i="1"/>
  <c r="V667" i="1"/>
  <c r="V668" i="1"/>
  <c r="V672" i="1"/>
  <c r="V676" i="1"/>
  <c r="V680" i="1"/>
  <c r="V683" i="1"/>
  <c r="V695" i="1"/>
  <c r="V697" i="1"/>
  <c r="V700" i="1"/>
  <c r="V705" i="1"/>
  <c r="V706" i="1"/>
  <c r="V714" i="1"/>
  <c r="V726" i="1"/>
  <c r="V728" i="1"/>
  <c r="V738" i="1"/>
  <c r="V740" i="1"/>
  <c r="V744" i="1"/>
  <c r="V751" i="1"/>
  <c r="V752" i="1"/>
  <c r="V753" i="1"/>
  <c r="V754" i="1"/>
  <c r="V755" i="1"/>
  <c r="V756" i="1"/>
  <c r="V767" i="1"/>
  <c r="V769" i="1"/>
  <c r="V772" i="1"/>
  <c r="V781" i="1"/>
  <c r="V784" i="1"/>
  <c r="V787" i="1"/>
  <c r="V796" i="1"/>
  <c r="V800" i="1"/>
  <c r="V801" i="1"/>
  <c r="C62" i="2"/>
  <c r="C63" i="2"/>
  <c r="C64" i="2"/>
  <c r="C65" i="2"/>
  <c r="C66" i="2"/>
  <c r="C67" i="2"/>
  <c r="C68" i="2"/>
  <c r="C69" i="2"/>
  <c r="C70" i="2"/>
  <c r="C71" i="2"/>
  <c r="C61" i="2"/>
  <c r="C32" i="2"/>
  <c r="C27" i="2"/>
  <c r="C28" i="2"/>
  <c r="C29" i="2"/>
  <c r="C30" i="2"/>
  <c r="C31" i="2"/>
  <c r="C26" i="2"/>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2" i="1"/>
  <c r="O2" i="1"/>
  <c r="P2" i="1" s="1"/>
  <c r="V2" i="1" s="1"/>
  <c r="O3" i="1"/>
  <c r="P3" i="1" s="1"/>
  <c r="V3" i="1" s="1"/>
  <c r="O4" i="1"/>
  <c r="O5" i="1"/>
  <c r="P5" i="1" s="1"/>
  <c r="O6" i="1"/>
  <c r="O7" i="1"/>
  <c r="P7" i="1" s="1"/>
  <c r="O8" i="1"/>
  <c r="O9" i="1"/>
  <c r="P9" i="1" s="1"/>
  <c r="V9" i="1" s="1"/>
  <c r="O10" i="1"/>
  <c r="O11" i="1"/>
  <c r="P11" i="1" s="1"/>
  <c r="V11" i="1" s="1"/>
  <c r="O12" i="1"/>
  <c r="O13" i="1"/>
  <c r="P13" i="1" s="1"/>
  <c r="V13" i="1" s="1"/>
  <c r="O14" i="1"/>
  <c r="O15" i="1"/>
  <c r="P15" i="1" s="1"/>
  <c r="V15" i="1" s="1"/>
  <c r="O16" i="1"/>
  <c r="O17" i="1"/>
  <c r="P17" i="1" s="1"/>
  <c r="V17" i="1" s="1"/>
  <c r="O18" i="1"/>
  <c r="O19" i="1"/>
  <c r="P19" i="1" s="1"/>
  <c r="V19" i="1" s="1"/>
  <c r="O20" i="1"/>
  <c r="O21" i="1"/>
  <c r="P21" i="1" s="1"/>
  <c r="V21" i="1" s="1"/>
  <c r="O22" i="1"/>
  <c r="O23" i="1"/>
  <c r="P23" i="1" s="1"/>
  <c r="V23" i="1" s="1"/>
  <c r="O24" i="1"/>
  <c r="O25" i="1"/>
  <c r="P25" i="1" s="1"/>
  <c r="V25" i="1" s="1"/>
  <c r="O26" i="1"/>
  <c r="O27" i="1"/>
  <c r="P27" i="1" s="1"/>
  <c r="V27" i="1" s="1"/>
  <c r="O28" i="1"/>
  <c r="O29" i="1"/>
  <c r="P29" i="1" s="1"/>
  <c r="V29" i="1" s="1"/>
  <c r="O30" i="1"/>
  <c r="P30" i="1" s="1"/>
  <c r="V30" i="1" s="1"/>
  <c r="O31" i="1"/>
  <c r="P31" i="1" s="1"/>
  <c r="O32" i="1"/>
  <c r="O33" i="1"/>
  <c r="P33" i="1" s="1"/>
  <c r="V33" i="1" s="1"/>
  <c r="O34" i="1"/>
  <c r="O35" i="1"/>
  <c r="P35" i="1" s="1"/>
  <c r="V35" i="1" s="1"/>
  <c r="O36" i="1"/>
  <c r="O37" i="1"/>
  <c r="P37" i="1" s="1"/>
  <c r="O38" i="1"/>
  <c r="O39" i="1"/>
  <c r="P39" i="1" s="1"/>
  <c r="V39" i="1" s="1"/>
  <c r="O40" i="1"/>
  <c r="O41" i="1"/>
  <c r="P41" i="1" s="1"/>
  <c r="V41" i="1" s="1"/>
  <c r="O42" i="1"/>
  <c r="O43" i="1"/>
  <c r="P43" i="1" s="1"/>
  <c r="R43" i="1" s="1"/>
  <c r="O44" i="1"/>
  <c r="O45" i="1"/>
  <c r="P45" i="1" s="1"/>
  <c r="V45" i="1" s="1"/>
  <c r="O46" i="1"/>
  <c r="O47" i="1"/>
  <c r="P47" i="1" s="1"/>
  <c r="V47" i="1" s="1"/>
  <c r="O48" i="1"/>
  <c r="O49" i="1"/>
  <c r="P49" i="1" s="1"/>
  <c r="V49" i="1" s="1"/>
  <c r="O50" i="1"/>
  <c r="O51" i="1"/>
  <c r="P51" i="1" s="1"/>
  <c r="V51" i="1" s="1"/>
  <c r="O52" i="1"/>
  <c r="O53" i="1"/>
  <c r="P53" i="1" s="1"/>
  <c r="V53" i="1" s="1"/>
  <c r="O54" i="1"/>
  <c r="P54" i="1" s="1"/>
  <c r="V54" i="1" s="1"/>
  <c r="O55" i="1"/>
  <c r="P55" i="1" s="1"/>
  <c r="O56" i="1"/>
  <c r="O57" i="1"/>
  <c r="P57" i="1" s="1"/>
  <c r="V57" i="1" s="1"/>
  <c r="O58" i="1"/>
  <c r="O59" i="1"/>
  <c r="P59" i="1" s="1"/>
  <c r="V59" i="1" s="1"/>
  <c r="O60" i="1"/>
  <c r="O61" i="1"/>
  <c r="P61" i="1" s="1"/>
  <c r="V61" i="1" s="1"/>
  <c r="O62" i="1"/>
  <c r="O63" i="1"/>
  <c r="P63" i="1" s="1"/>
  <c r="V63" i="1" s="1"/>
  <c r="O64" i="1"/>
  <c r="O65" i="1"/>
  <c r="P65" i="1" s="1"/>
  <c r="V65" i="1" s="1"/>
  <c r="O66" i="1"/>
  <c r="O67" i="1"/>
  <c r="P67" i="1" s="1"/>
  <c r="R67" i="1" s="1"/>
  <c r="O68" i="1"/>
  <c r="O69" i="1"/>
  <c r="P69" i="1" s="1"/>
  <c r="V69" i="1" s="1"/>
  <c r="O70" i="1"/>
  <c r="O71" i="1"/>
  <c r="P71" i="1" s="1"/>
  <c r="V71" i="1" s="1"/>
  <c r="O72" i="1"/>
  <c r="O73" i="1"/>
  <c r="P73" i="1" s="1"/>
  <c r="V73" i="1" s="1"/>
  <c r="O74" i="1"/>
  <c r="O75" i="1"/>
  <c r="P75" i="1" s="1"/>
  <c r="V75" i="1" s="1"/>
  <c r="O76" i="1"/>
  <c r="O77" i="1"/>
  <c r="P77" i="1" s="1"/>
  <c r="V77" i="1" s="1"/>
  <c r="O78" i="1"/>
  <c r="P78" i="1" s="1"/>
  <c r="V78" i="1" s="1"/>
  <c r="O79" i="1"/>
  <c r="P79" i="1" s="1"/>
  <c r="R79" i="1" s="1"/>
  <c r="O80" i="1"/>
  <c r="O81" i="1"/>
  <c r="P81" i="1" s="1"/>
  <c r="V81" i="1" s="1"/>
  <c r="O82" i="1"/>
  <c r="O83" i="1"/>
  <c r="P83" i="1" s="1"/>
  <c r="V83" i="1" s="1"/>
  <c r="O84" i="1"/>
  <c r="O85" i="1"/>
  <c r="P85" i="1" s="1"/>
  <c r="V85" i="1" s="1"/>
  <c r="O86" i="1"/>
  <c r="O87" i="1"/>
  <c r="P87" i="1" s="1"/>
  <c r="V87" i="1" s="1"/>
  <c r="O88" i="1"/>
  <c r="O89" i="1"/>
  <c r="P89" i="1" s="1"/>
  <c r="V89" i="1" s="1"/>
  <c r="O90" i="1"/>
  <c r="O91" i="1"/>
  <c r="P91" i="1" s="1"/>
  <c r="V91" i="1" s="1"/>
  <c r="O92" i="1"/>
  <c r="O93" i="1"/>
  <c r="P93" i="1" s="1"/>
  <c r="V93" i="1" s="1"/>
  <c r="O94" i="1"/>
  <c r="O95" i="1"/>
  <c r="P95" i="1" s="1"/>
  <c r="V95" i="1" s="1"/>
  <c r="O96" i="1"/>
  <c r="O97" i="1"/>
  <c r="P97" i="1" s="1"/>
  <c r="V97" i="1" s="1"/>
  <c r="O98" i="1"/>
  <c r="O99" i="1"/>
  <c r="P99" i="1" s="1"/>
  <c r="V99" i="1" s="1"/>
  <c r="O100" i="1"/>
  <c r="O101" i="1"/>
  <c r="P101" i="1" s="1"/>
  <c r="V101" i="1" s="1"/>
  <c r="O102" i="1"/>
  <c r="P102" i="1" s="1"/>
  <c r="V102" i="1" s="1"/>
  <c r="O103" i="1"/>
  <c r="P103" i="1" s="1"/>
  <c r="O104" i="1"/>
  <c r="O105" i="1"/>
  <c r="P105" i="1" s="1"/>
  <c r="V105" i="1" s="1"/>
  <c r="O106" i="1"/>
  <c r="O107" i="1"/>
  <c r="P107" i="1" s="1"/>
  <c r="V107" i="1" s="1"/>
  <c r="O108" i="1"/>
  <c r="O109" i="1"/>
  <c r="P109" i="1" s="1"/>
  <c r="V109" i="1" s="1"/>
  <c r="O110" i="1"/>
  <c r="O111" i="1"/>
  <c r="P111" i="1" s="1"/>
  <c r="V111" i="1" s="1"/>
  <c r="O112" i="1"/>
  <c r="O113" i="1"/>
  <c r="P113" i="1" s="1"/>
  <c r="V113" i="1" s="1"/>
  <c r="O114" i="1"/>
  <c r="O115" i="1"/>
  <c r="P115" i="1" s="1"/>
  <c r="R115" i="1" s="1"/>
  <c r="O116" i="1"/>
  <c r="O117" i="1"/>
  <c r="P117" i="1" s="1"/>
  <c r="O118" i="1"/>
  <c r="O119" i="1"/>
  <c r="P119" i="1" s="1"/>
  <c r="V119" i="1" s="1"/>
  <c r="O120" i="1"/>
  <c r="O121" i="1"/>
  <c r="P121" i="1" s="1"/>
  <c r="V121" i="1" s="1"/>
  <c r="O122" i="1"/>
  <c r="O123" i="1"/>
  <c r="P123" i="1" s="1"/>
  <c r="V123" i="1" s="1"/>
  <c r="O124" i="1"/>
  <c r="O125" i="1"/>
  <c r="P125" i="1" s="1"/>
  <c r="V125" i="1" s="1"/>
  <c r="O126" i="1"/>
  <c r="P126" i="1" s="1"/>
  <c r="V126" i="1" s="1"/>
  <c r="O127" i="1"/>
  <c r="P127" i="1" s="1"/>
  <c r="V127" i="1" s="1"/>
  <c r="O128" i="1"/>
  <c r="O129" i="1"/>
  <c r="P129" i="1" s="1"/>
  <c r="V129" i="1" s="1"/>
  <c r="O130" i="1"/>
  <c r="O131" i="1"/>
  <c r="P131" i="1" s="1"/>
  <c r="V131" i="1" s="1"/>
  <c r="O132" i="1"/>
  <c r="O133" i="1"/>
  <c r="P133" i="1" s="1"/>
  <c r="V133" i="1" s="1"/>
  <c r="O134" i="1"/>
  <c r="O135" i="1"/>
  <c r="P135" i="1" s="1"/>
  <c r="V135" i="1" s="1"/>
  <c r="O136" i="1"/>
  <c r="O137" i="1"/>
  <c r="P137" i="1" s="1"/>
  <c r="V137" i="1" s="1"/>
  <c r="O138" i="1"/>
  <c r="O139" i="1"/>
  <c r="P139" i="1" s="1"/>
  <c r="R139" i="1" s="1"/>
  <c r="O140" i="1"/>
  <c r="O141" i="1"/>
  <c r="P141" i="1" s="1"/>
  <c r="V141" i="1" s="1"/>
  <c r="O142" i="1"/>
  <c r="O143" i="1"/>
  <c r="P143" i="1" s="1"/>
  <c r="V143" i="1" s="1"/>
  <c r="O144" i="1"/>
  <c r="O145" i="1"/>
  <c r="P145" i="1" s="1"/>
  <c r="V145" i="1" s="1"/>
  <c r="O146" i="1"/>
  <c r="O147" i="1"/>
  <c r="P147" i="1" s="1"/>
  <c r="V147" i="1" s="1"/>
  <c r="O148" i="1"/>
  <c r="O149" i="1"/>
  <c r="P149" i="1" s="1"/>
  <c r="V149" i="1" s="1"/>
  <c r="O150" i="1"/>
  <c r="P150" i="1" s="1"/>
  <c r="V150" i="1" s="1"/>
  <c r="O151" i="1"/>
  <c r="P151" i="1" s="1"/>
  <c r="R151" i="1" s="1"/>
  <c r="O152" i="1"/>
  <c r="O153" i="1"/>
  <c r="P153" i="1" s="1"/>
  <c r="O154" i="1"/>
  <c r="O155" i="1"/>
  <c r="P155" i="1" s="1"/>
  <c r="V155" i="1" s="1"/>
  <c r="O156" i="1"/>
  <c r="O157" i="1"/>
  <c r="P157" i="1" s="1"/>
  <c r="V157" i="1" s="1"/>
  <c r="O158" i="1"/>
  <c r="O159" i="1"/>
  <c r="P159" i="1" s="1"/>
  <c r="V159" i="1" s="1"/>
  <c r="O160" i="1"/>
  <c r="O161" i="1"/>
  <c r="P161" i="1" s="1"/>
  <c r="V161" i="1" s="1"/>
  <c r="O162" i="1"/>
  <c r="O163" i="1"/>
  <c r="P163" i="1" s="1"/>
  <c r="O164" i="1"/>
  <c r="O165" i="1"/>
  <c r="P165" i="1" s="1"/>
  <c r="V165" i="1" s="1"/>
  <c r="O166" i="1"/>
  <c r="O167" i="1"/>
  <c r="P167" i="1" s="1"/>
  <c r="V167" i="1" s="1"/>
  <c r="O168" i="1"/>
  <c r="O169" i="1"/>
  <c r="P169" i="1" s="1"/>
  <c r="V169" i="1" s="1"/>
  <c r="O170" i="1"/>
  <c r="O171" i="1"/>
  <c r="P171" i="1" s="1"/>
  <c r="V171" i="1" s="1"/>
  <c r="O172" i="1"/>
  <c r="O173" i="1"/>
  <c r="O174" i="1"/>
  <c r="P174" i="1" s="1"/>
  <c r="V174" i="1" s="1"/>
  <c r="O175" i="1"/>
  <c r="O176" i="1"/>
  <c r="O177" i="1"/>
  <c r="P177" i="1" s="1"/>
  <c r="V177" i="1" s="1"/>
  <c r="O178" i="1"/>
  <c r="O179" i="1"/>
  <c r="O180" i="1"/>
  <c r="O181" i="1"/>
  <c r="O182" i="1"/>
  <c r="O183" i="1"/>
  <c r="O184" i="1"/>
  <c r="O185" i="1"/>
  <c r="O186" i="1"/>
  <c r="P186" i="1" s="1"/>
  <c r="V186" i="1" s="1"/>
  <c r="O187" i="1"/>
  <c r="O188" i="1"/>
  <c r="O189" i="1"/>
  <c r="P189" i="1" s="1"/>
  <c r="V189" i="1" s="1"/>
  <c r="O190" i="1"/>
  <c r="O191" i="1"/>
  <c r="O192" i="1"/>
  <c r="O193" i="1"/>
  <c r="O194" i="1"/>
  <c r="O195" i="1"/>
  <c r="O196" i="1"/>
  <c r="O197" i="1"/>
  <c r="O198" i="1"/>
  <c r="P198" i="1" s="1"/>
  <c r="V198" i="1" s="1"/>
  <c r="O199" i="1"/>
  <c r="O200" i="1"/>
  <c r="O201" i="1"/>
  <c r="P201" i="1" s="1"/>
  <c r="V201" i="1" s="1"/>
  <c r="O202" i="1"/>
  <c r="O203" i="1"/>
  <c r="O204" i="1"/>
  <c r="O205" i="1"/>
  <c r="O206" i="1"/>
  <c r="O207" i="1"/>
  <c r="O208" i="1"/>
  <c r="O209" i="1"/>
  <c r="O210" i="1"/>
  <c r="P210" i="1" s="1"/>
  <c r="V210" i="1" s="1"/>
  <c r="O211" i="1"/>
  <c r="O212" i="1"/>
  <c r="O213" i="1"/>
  <c r="P213" i="1" s="1"/>
  <c r="O214" i="1"/>
  <c r="O215" i="1"/>
  <c r="O216" i="1"/>
  <c r="O217" i="1"/>
  <c r="O218" i="1"/>
  <c r="O219" i="1"/>
  <c r="O220" i="1"/>
  <c r="O221" i="1"/>
  <c r="O222" i="1"/>
  <c r="P222" i="1" s="1"/>
  <c r="V222" i="1" s="1"/>
  <c r="O223" i="1"/>
  <c r="O224" i="1"/>
  <c r="O225" i="1"/>
  <c r="P225" i="1" s="1"/>
  <c r="V225" i="1" s="1"/>
  <c r="O226" i="1"/>
  <c r="O227" i="1"/>
  <c r="O228" i="1"/>
  <c r="O229" i="1"/>
  <c r="O230" i="1"/>
  <c r="O231" i="1"/>
  <c r="O232" i="1"/>
  <c r="O233" i="1"/>
  <c r="O234" i="1"/>
  <c r="O235" i="1"/>
  <c r="O236" i="1"/>
  <c r="O237" i="1"/>
  <c r="P237" i="1" s="1"/>
  <c r="O238" i="1"/>
  <c r="O239" i="1"/>
  <c r="O240" i="1"/>
  <c r="O241" i="1"/>
  <c r="O242" i="1"/>
  <c r="O243" i="1"/>
  <c r="O244" i="1"/>
  <c r="O245" i="1"/>
  <c r="O246" i="1"/>
  <c r="O247" i="1"/>
  <c r="O248" i="1"/>
  <c r="O249" i="1"/>
  <c r="P249" i="1" s="1"/>
  <c r="V249" i="1" s="1"/>
  <c r="O250" i="1"/>
  <c r="O251" i="1"/>
  <c r="O252" i="1"/>
  <c r="O253" i="1"/>
  <c r="O254" i="1"/>
  <c r="O255" i="1"/>
  <c r="O256" i="1"/>
  <c r="O257" i="1"/>
  <c r="O258" i="1"/>
  <c r="O259" i="1"/>
  <c r="O260" i="1"/>
  <c r="O261" i="1"/>
  <c r="P261" i="1" s="1"/>
  <c r="V261" i="1" s="1"/>
  <c r="O262" i="1"/>
  <c r="O263" i="1"/>
  <c r="O264" i="1"/>
  <c r="O265" i="1"/>
  <c r="O266" i="1"/>
  <c r="O267" i="1"/>
  <c r="O268" i="1"/>
  <c r="O269" i="1"/>
  <c r="O270" i="1"/>
  <c r="O271" i="1"/>
  <c r="O272" i="1"/>
  <c r="O273" i="1"/>
  <c r="P273" i="1" s="1"/>
  <c r="V273" i="1" s="1"/>
  <c r="O274" i="1"/>
  <c r="O275" i="1"/>
  <c r="O276" i="1"/>
  <c r="O277" i="1"/>
  <c r="O278" i="1"/>
  <c r="O279" i="1"/>
  <c r="O280" i="1"/>
  <c r="O281" i="1"/>
  <c r="O282" i="1"/>
  <c r="O283" i="1"/>
  <c r="O284" i="1"/>
  <c r="O285" i="1"/>
  <c r="P285" i="1" s="1"/>
  <c r="V285" i="1" s="1"/>
  <c r="O286" i="1"/>
  <c r="O287" i="1"/>
  <c r="O288" i="1"/>
  <c r="O289" i="1"/>
  <c r="O290" i="1"/>
  <c r="O291" i="1"/>
  <c r="O292" i="1"/>
  <c r="O293" i="1"/>
  <c r="O294" i="1"/>
  <c r="O295" i="1"/>
  <c r="O296" i="1"/>
  <c r="O297" i="1"/>
  <c r="P297" i="1" s="1"/>
  <c r="V297" i="1" s="1"/>
  <c r="O298" i="1"/>
  <c r="O299" i="1"/>
  <c r="O300" i="1"/>
  <c r="O301" i="1"/>
  <c r="O302" i="1"/>
  <c r="O303" i="1"/>
  <c r="O304" i="1"/>
  <c r="O305" i="1"/>
  <c r="O306" i="1"/>
  <c r="O307" i="1"/>
  <c r="O308" i="1"/>
  <c r="O309" i="1"/>
  <c r="P309" i="1" s="1"/>
  <c r="V309" i="1" s="1"/>
  <c r="O310" i="1"/>
  <c r="O311" i="1"/>
  <c r="O312" i="1"/>
  <c r="O313" i="1"/>
  <c r="O314" i="1"/>
  <c r="O315" i="1"/>
  <c r="O316" i="1"/>
  <c r="O317" i="1"/>
  <c r="O318" i="1"/>
  <c r="O319" i="1"/>
  <c r="O320" i="1"/>
  <c r="O321" i="1"/>
  <c r="P321" i="1" s="1"/>
  <c r="V321" i="1" s="1"/>
  <c r="O322" i="1"/>
  <c r="O323" i="1"/>
  <c r="O324" i="1"/>
  <c r="O325" i="1"/>
  <c r="O326" i="1"/>
  <c r="O327" i="1"/>
  <c r="O328" i="1"/>
  <c r="O329" i="1"/>
  <c r="O330" i="1"/>
  <c r="O331" i="1"/>
  <c r="O332" i="1"/>
  <c r="O333" i="1"/>
  <c r="P333" i="1" s="1"/>
  <c r="V333" i="1" s="1"/>
  <c r="O334" i="1"/>
  <c r="O335" i="1"/>
  <c r="O336" i="1"/>
  <c r="O337" i="1"/>
  <c r="O338" i="1"/>
  <c r="O339" i="1"/>
  <c r="O340" i="1"/>
  <c r="O341" i="1"/>
  <c r="O342" i="1"/>
  <c r="O343" i="1"/>
  <c r="O344" i="1"/>
  <c r="O345" i="1"/>
  <c r="P345" i="1" s="1"/>
  <c r="O346" i="1"/>
  <c r="O347" i="1"/>
  <c r="O348" i="1"/>
  <c r="O349" i="1"/>
  <c r="O350" i="1"/>
  <c r="O351" i="1"/>
  <c r="O352" i="1"/>
  <c r="O353" i="1"/>
  <c r="O354" i="1"/>
  <c r="O355" i="1"/>
  <c r="O356" i="1"/>
  <c r="O357" i="1"/>
  <c r="P357" i="1" s="1"/>
  <c r="V357" i="1" s="1"/>
  <c r="O358" i="1"/>
  <c r="O359" i="1"/>
  <c r="O360" i="1"/>
  <c r="O361" i="1"/>
  <c r="O362" i="1"/>
  <c r="O363" i="1"/>
  <c r="O364" i="1"/>
  <c r="O365" i="1"/>
  <c r="O366" i="1"/>
  <c r="O367" i="1"/>
  <c r="O368" i="1"/>
  <c r="O369" i="1"/>
  <c r="P369" i="1" s="1"/>
  <c r="V369" i="1" s="1"/>
  <c r="O370" i="1"/>
  <c r="O371" i="1"/>
  <c r="O372" i="1"/>
  <c r="O373" i="1"/>
  <c r="O374" i="1"/>
  <c r="O375" i="1"/>
  <c r="O376" i="1"/>
  <c r="O377" i="1"/>
  <c r="O378" i="1"/>
  <c r="O379" i="1"/>
  <c r="O380" i="1"/>
  <c r="O381" i="1"/>
  <c r="P381" i="1" s="1"/>
  <c r="V381" i="1" s="1"/>
  <c r="O382" i="1"/>
  <c r="O383" i="1"/>
  <c r="O384" i="1"/>
  <c r="O385" i="1"/>
  <c r="O386" i="1"/>
  <c r="O387" i="1"/>
  <c r="O388" i="1"/>
  <c r="O389" i="1"/>
  <c r="O390" i="1"/>
  <c r="O391" i="1"/>
  <c r="O392" i="1"/>
  <c r="O393" i="1"/>
  <c r="P393" i="1" s="1"/>
  <c r="V393" i="1" s="1"/>
  <c r="O394" i="1"/>
  <c r="O395" i="1"/>
  <c r="O396" i="1"/>
  <c r="O397" i="1"/>
  <c r="O398" i="1"/>
  <c r="O399" i="1"/>
  <c r="O400" i="1"/>
  <c r="O401" i="1"/>
  <c r="O402" i="1"/>
  <c r="O403" i="1"/>
  <c r="O404" i="1"/>
  <c r="O405" i="1"/>
  <c r="P405" i="1" s="1"/>
  <c r="V405" i="1" s="1"/>
  <c r="O406" i="1"/>
  <c r="O407" i="1"/>
  <c r="O408" i="1"/>
  <c r="O409" i="1"/>
  <c r="O410" i="1"/>
  <c r="O411" i="1"/>
  <c r="O412" i="1"/>
  <c r="O413" i="1"/>
  <c r="O414" i="1"/>
  <c r="O415" i="1"/>
  <c r="O416" i="1"/>
  <c r="O417" i="1"/>
  <c r="P417" i="1" s="1"/>
  <c r="V417" i="1" s="1"/>
  <c r="O418" i="1"/>
  <c r="O419" i="1"/>
  <c r="O420" i="1"/>
  <c r="O421" i="1"/>
  <c r="O422" i="1"/>
  <c r="O423" i="1"/>
  <c r="O424" i="1"/>
  <c r="O425" i="1"/>
  <c r="O426" i="1"/>
  <c r="O427" i="1"/>
  <c r="O428" i="1"/>
  <c r="O429" i="1"/>
  <c r="P429" i="1" s="1"/>
  <c r="V429" i="1" s="1"/>
  <c r="O430" i="1"/>
  <c r="O431" i="1"/>
  <c r="O432" i="1"/>
  <c r="O433" i="1"/>
  <c r="O434" i="1"/>
  <c r="O435" i="1"/>
  <c r="O436" i="1"/>
  <c r="O437" i="1"/>
  <c r="O438" i="1"/>
  <c r="O439" i="1"/>
  <c r="O440" i="1"/>
  <c r="O441" i="1"/>
  <c r="P441" i="1" s="1"/>
  <c r="V441" i="1" s="1"/>
  <c r="O442" i="1"/>
  <c r="O443" i="1"/>
  <c r="O444" i="1"/>
  <c r="O445" i="1"/>
  <c r="O446" i="1"/>
  <c r="O447" i="1"/>
  <c r="O448" i="1"/>
  <c r="O449" i="1"/>
  <c r="O450" i="1"/>
  <c r="O451" i="1"/>
  <c r="O452" i="1"/>
  <c r="O453" i="1"/>
  <c r="P453" i="1" s="1"/>
  <c r="V453" i="1" s="1"/>
  <c r="O454" i="1"/>
  <c r="O455" i="1"/>
  <c r="O456" i="1"/>
  <c r="O457" i="1"/>
  <c r="O458" i="1"/>
  <c r="O459" i="1"/>
  <c r="O460" i="1"/>
  <c r="O461" i="1"/>
  <c r="O462" i="1"/>
  <c r="O463" i="1"/>
  <c r="O464" i="1"/>
  <c r="O465" i="1"/>
  <c r="P465" i="1" s="1"/>
  <c r="V465" i="1" s="1"/>
  <c r="O466" i="1"/>
  <c r="P466" i="1" s="1"/>
  <c r="O467" i="1"/>
  <c r="O468" i="1"/>
  <c r="O469" i="1"/>
  <c r="O470" i="1"/>
  <c r="O471" i="1"/>
  <c r="O472" i="1"/>
  <c r="O473" i="1"/>
  <c r="O474" i="1"/>
  <c r="O475" i="1"/>
  <c r="O476" i="1"/>
  <c r="O477" i="1"/>
  <c r="P477" i="1" s="1"/>
  <c r="V477" i="1" s="1"/>
  <c r="O478" i="1"/>
  <c r="P478" i="1" s="1"/>
  <c r="V478" i="1" s="1"/>
  <c r="O479" i="1"/>
  <c r="O480" i="1"/>
  <c r="O481" i="1"/>
  <c r="O482" i="1"/>
  <c r="O483" i="1"/>
  <c r="O484" i="1"/>
  <c r="O485" i="1"/>
  <c r="O486" i="1"/>
  <c r="O487" i="1"/>
  <c r="O488" i="1"/>
  <c r="O489" i="1"/>
  <c r="P489" i="1" s="1"/>
  <c r="V489" i="1" s="1"/>
  <c r="O490" i="1"/>
  <c r="P490" i="1" s="1"/>
  <c r="V490" i="1" s="1"/>
  <c r="O491" i="1"/>
  <c r="O492" i="1"/>
  <c r="O493" i="1"/>
  <c r="O494" i="1"/>
  <c r="O495" i="1"/>
  <c r="O496" i="1"/>
  <c r="O497" i="1"/>
  <c r="O498" i="1"/>
  <c r="O499" i="1"/>
  <c r="O500" i="1"/>
  <c r="O501" i="1"/>
  <c r="P501" i="1" s="1"/>
  <c r="V501" i="1" s="1"/>
  <c r="O502" i="1"/>
  <c r="P502" i="1" s="1"/>
  <c r="V502" i="1" s="1"/>
  <c r="O503" i="1"/>
  <c r="O504" i="1"/>
  <c r="O505" i="1"/>
  <c r="O506" i="1"/>
  <c r="O507" i="1"/>
  <c r="O508" i="1"/>
  <c r="O509" i="1"/>
  <c r="O510" i="1"/>
  <c r="O511" i="1"/>
  <c r="O512" i="1"/>
  <c r="O513" i="1"/>
  <c r="P513" i="1" s="1"/>
  <c r="O514" i="1"/>
  <c r="P514" i="1" s="1"/>
  <c r="O515" i="1"/>
  <c r="O516" i="1"/>
  <c r="O517" i="1"/>
  <c r="O518" i="1"/>
  <c r="O519" i="1"/>
  <c r="O520" i="1"/>
  <c r="O521" i="1"/>
  <c r="O522" i="1"/>
  <c r="O523" i="1"/>
  <c r="O524" i="1"/>
  <c r="O525" i="1"/>
  <c r="P525" i="1" s="1"/>
  <c r="V525" i="1" s="1"/>
  <c r="O526" i="1"/>
  <c r="P526" i="1" s="1"/>
  <c r="V526" i="1" s="1"/>
  <c r="O527" i="1"/>
  <c r="O528" i="1"/>
  <c r="O529" i="1"/>
  <c r="O530" i="1"/>
  <c r="O531" i="1"/>
  <c r="O532" i="1"/>
  <c r="O533" i="1"/>
  <c r="O534" i="1"/>
  <c r="O535" i="1"/>
  <c r="O536" i="1"/>
  <c r="O537" i="1"/>
  <c r="P537" i="1" s="1"/>
  <c r="V537" i="1" s="1"/>
  <c r="O538" i="1"/>
  <c r="P538" i="1" s="1"/>
  <c r="V538" i="1" s="1"/>
  <c r="O539" i="1"/>
  <c r="O540" i="1"/>
  <c r="O541" i="1"/>
  <c r="O542" i="1"/>
  <c r="O543" i="1"/>
  <c r="O544" i="1"/>
  <c r="O545" i="1"/>
  <c r="O546" i="1"/>
  <c r="O547" i="1"/>
  <c r="O548" i="1"/>
  <c r="O549" i="1"/>
  <c r="P549" i="1" s="1"/>
  <c r="V549" i="1" s="1"/>
  <c r="O550" i="1"/>
  <c r="P550" i="1" s="1"/>
  <c r="V550" i="1" s="1"/>
  <c r="O551" i="1"/>
  <c r="O552" i="1"/>
  <c r="O553" i="1"/>
  <c r="O554" i="1"/>
  <c r="O555" i="1"/>
  <c r="O556" i="1"/>
  <c r="O557" i="1"/>
  <c r="O558" i="1"/>
  <c r="O559" i="1"/>
  <c r="O560" i="1"/>
  <c r="O561" i="1"/>
  <c r="P561" i="1" s="1"/>
  <c r="O562" i="1"/>
  <c r="P562" i="1" s="1"/>
  <c r="O563" i="1"/>
  <c r="O564" i="1"/>
  <c r="O565" i="1"/>
  <c r="O566" i="1"/>
  <c r="O567" i="1"/>
  <c r="O568" i="1"/>
  <c r="O569" i="1"/>
  <c r="O570" i="1"/>
  <c r="O571" i="1"/>
  <c r="O572" i="1"/>
  <c r="O573" i="1"/>
  <c r="P573" i="1" s="1"/>
  <c r="V573" i="1" s="1"/>
  <c r="O574" i="1"/>
  <c r="P574" i="1" s="1"/>
  <c r="V574" i="1" s="1"/>
  <c r="O575" i="1"/>
  <c r="O576" i="1"/>
  <c r="O577" i="1"/>
  <c r="O578" i="1"/>
  <c r="O579" i="1"/>
  <c r="O580" i="1"/>
  <c r="O581" i="1"/>
  <c r="O582" i="1"/>
  <c r="O583" i="1"/>
  <c r="O584" i="1"/>
  <c r="O585" i="1"/>
  <c r="P585" i="1" s="1"/>
  <c r="V585" i="1" s="1"/>
  <c r="O586" i="1"/>
  <c r="P586" i="1" s="1"/>
  <c r="V586" i="1" s="1"/>
  <c r="O587" i="1"/>
  <c r="O588" i="1"/>
  <c r="O589" i="1"/>
  <c r="O590" i="1"/>
  <c r="O591" i="1"/>
  <c r="O592" i="1"/>
  <c r="O593" i="1"/>
  <c r="O594" i="1"/>
  <c r="O595" i="1"/>
  <c r="O596" i="1"/>
  <c r="O597" i="1"/>
  <c r="P597" i="1" s="1"/>
  <c r="V597" i="1" s="1"/>
  <c r="O598" i="1"/>
  <c r="P598" i="1" s="1"/>
  <c r="V598" i="1" s="1"/>
  <c r="O599" i="1"/>
  <c r="O600" i="1"/>
  <c r="O601" i="1"/>
  <c r="O602" i="1"/>
  <c r="O603" i="1"/>
  <c r="O604" i="1"/>
  <c r="O605" i="1"/>
  <c r="O606" i="1"/>
  <c r="O607" i="1"/>
  <c r="O608" i="1"/>
  <c r="O609" i="1"/>
  <c r="P609" i="1" s="1"/>
  <c r="O610" i="1"/>
  <c r="P610" i="1" s="1"/>
  <c r="V610" i="1" s="1"/>
  <c r="O611" i="1"/>
  <c r="O612" i="1"/>
  <c r="O613" i="1"/>
  <c r="O614" i="1"/>
  <c r="O615" i="1"/>
  <c r="O616" i="1"/>
  <c r="O617" i="1"/>
  <c r="O618" i="1"/>
  <c r="O619" i="1"/>
  <c r="O620" i="1"/>
  <c r="O621" i="1"/>
  <c r="P621" i="1" s="1"/>
  <c r="V621" i="1" s="1"/>
  <c r="O622" i="1"/>
  <c r="P622" i="1" s="1"/>
  <c r="V622" i="1" s="1"/>
  <c r="O623" i="1"/>
  <c r="O624" i="1"/>
  <c r="O625" i="1"/>
  <c r="O626" i="1"/>
  <c r="O627" i="1"/>
  <c r="O628" i="1"/>
  <c r="O629" i="1"/>
  <c r="O630" i="1"/>
  <c r="O631" i="1"/>
  <c r="O632" i="1"/>
  <c r="O633" i="1"/>
  <c r="P633" i="1" s="1"/>
  <c r="V633" i="1" s="1"/>
  <c r="O634" i="1"/>
  <c r="P634" i="1" s="1"/>
  <c r="V634" i="1" s="1"/>
  <c r="O635" i="1"/>
  <c r="O636" i="1"/>
  <c r="O637" i="1"/>
  <c r="O638" i="1"/>
  <c r="O639" i="1"/>
  <c r="O640" i="1"/>
  <c r="O641" i="1"/>
  <c r="O642" i="1"/>
  <c r="O643" i="1"/>
  <c r="O644" i="1"/>
  <c r="O645" i="1"/>
  <c r="P645" i="1" s="1"/>
  <c r="V645" i="1" s="1"/>
  <c r="O646" i="1"/>
  <c r="P646" i="1" s="1"/>
  <c r="V646" i="1" s="1"/>
  <c r="O647" i="1"/>
  <c r="O648" i="1"/>
  <c r="O649" i="1"/>
  <c r="O650" i="1"/>
  <c r="O651" i="1"/>
  <c r="O652" i="1"/>
  <c r="O653" i="1"/>
  <c r="O654" i="1"/>
  <c r="O655" i="1"/>
  <c r="O656" i="1"/>
  <c r="O657" i="1"/>
  <c r="P657" i="1" s="1"/>
  <c r="V657" i="1" s="1"/>
  <c r="O658" i="1"/>
  <c r="P658" i="1" s="1"/>
  <c r="O659" i="1"/>
  <c r="O660" i="1"/>
  <c r="O661" i="1"/>
  <c r="O662" i="1"/>
  <c r="O663" i="1"/>
  <c r="O664" i="1"/>
  <c r="O665" i="1"/>
  <c r="O666" i="1"/>
  <c r="O667" i="1"/>
  <c r="O668" i="1"/>
  <c r="O669" i="1"/>
  <c r="P669" i="1" s="1"/>
  <c r="V669" i="1" s="1"/>
  <c r="O670" i="1"/>
  <c r="P670" i="1" s="1"/>
  <c r="V670" i="1" s="1"/>
  <c r="O671" i="1"/>
  <c r="O672" i="1"/>
  <c r="O673" i="1"/>
  <c r="O674" i="1"/>
  <c r="O675" i="1"/>
  <c r="O676" i="1"/>
  <c r="O677" i="1"/>
  <c r="O678" i="1"/>
  <c r="O679" i="1"/>
  <c r="O680" i="1"/>
  <c r="O681" i="1"/>
  <c r="P681" i="1" s="1"/>
  <c r="V681" i="1" s="1"/>
  <c r="O682" i="1"/>
  <c r="P682" i="1" s="1"/>
  <c r="V682" i="1" s="1"/>
  <c r="O683" i="1"/>
  <c r="O684" i="1"/>
  <c r="O685" i="1"/>
  <c r="O686" i="1"/>
  <c r="O687" i="1"/>
  <c r="O688" i="1"/>
  <c r="O689" i="1"/>
  <c r="O690" i="1"/>
  <c r="O691" i="1"/>
  <c r="O692" i="1"/>
  <c r="O693" i="1"/>
  <c r="P693" i="1" s="1"/>
  <c r="V693" i="1" s="1"/>
  <c r="O694" i="1"/>
  <c r="P694" i="1" s="1"/>
  <c r="V694" i="1" s="1"/>
  <c r="O695" i="1"/>
  <c r="O696" i="1"/>
  <c r="O697" i="1"/>
  <c r="O698" i="1"/>
  <c r="O699" i="1"/>
  <c r="O700" i="1"/>
  <c r="O701" i="1"/>
  <c r="O702" i="1"/>
  <c r="O703" i="1"/>
  <c r="O704" i="1"/>
  <c r="O705" i="1"/>
  <c r="P705" i="1" s="1"/>
  <c r="O706" i="1"/>
  <c r="P706" i="1" s="1"/>
  <c r="O707" i="1"/>
  <c r="O708" i="1"/>
  <c r="O709" i="1"/>
  <c r="O710" i="1"/>
  <c r="O711" i="1"/>
  <c r="O712" i="1"/>
  <c r="O713" i="1"/>
  <c r="O714" i="1"/>
  <c r="O715" i="1"/>
  <c r="O716" i="1"/>
  <c r="O717" i="1"/>
  <c r="P717" i="1" s="1"/>
  <c r="V717" i="1" s="1"/>
  <c r="O718" i="1"/>
  <c r="P718" i="1" s="1"/>
  <c r="V718" i="1" s="1"/>
  <c r="O719" i="1"/>
  <c r="O720" i="1"/>
  <c r="O721" i="1"/>
  <c r="O722" i="1"/>
  <c r="O723" i="1"/>
  <c r="O724" i="1"/>
  <c r="O725" i="1"/>
  <c r="O726" i="1"/>
  <c r="O727" i="1"/>
  <c r="O728" i="1"/>
  <c r="O729" i="1"/>
  <c r="P729" i="1" s="1"/>
  <c r="V729" i="1" s="1"/>
  <c r="O730" i="1"/>
  <c r="P730" i="1" s="1"/>
  <c r="V730" i="1" s="1"/>
  <c r="O731" i="1"/>
  <c r="O732" i="1"/>
  <c r="O733" i="1"/>
  <c r="O734" i="1"/>
  <c r="O735" i="1"/>
  <c r="O736" i="1"/>
  <c r="O737" i="1"/>
  <c r="O738" i="1"/>
  <c r="O739" i="1"/>
  <c r="O740" i="1"/>
  <c r="O741" i="1"/>
  <c r="P741" i="1" s="1"/>
  <c r="V741" i="1" s="1"/>
  <c r="O742" i="1"/>
  <c r="P742" i="1" s="1"/>
  <c r="V742" i="1" s="1"/>
  <c r="O743" i="1"/>
  <c r="O744" i="1"/>
  <c r="O745" i="1"/>
  <c r="O746" i="1"/>
  <c r="O747" i="1"/>
  <c r="O748" i="1"/>
  <c r="O749" i="1"/>
  <c r="O750" i="1"/>
  <c r="O751" i="1"/>
  <c r="O752" i="1"/>
  <c r="O753" i="1"/>
  <c r="P753" i="1" s="1"/>
  <c r="O754" i="1"/>
  <c r="P754" i="1" s="1"/>
  <c r="O755" i="1"/>
  <c r="O756" i="1"/>
  <c r="O757" i="1"/>
  <c r="O758" i="1"/>
  <c r="O759" i="1"/>
  <c r="O760" i="1"/>
  <c r="O761" i="1"/>
  <c r="O762" i="1"/>
  <c r="O763" i="1"/>
  <c r="O764" i="1"/>
  <c r="O765" i="1"/>
  <c r="P765" i="1" s="1"/>
  <c r="V765" i="1" s="1"/>
  <c r="O766" i="1"/>
  <c r="P766" i="1" s="1"/>
  <c r="V766" i="1" s="1"/>
  <c r="O767" i="1"/>
  <c r="O768" i="1"/>
  <c r="O769" i="1"/>
  <c r="O770" i="1"/>
  <c r="O771" i="1"/>
  <c r="O772" i="1"/>
  <c r="O773" i="1"/>
  <c r="O774" i="1"/>
  <c r="O775" i="1"/>
  <c r="O776" i="1"/>
  <c r="O777" i="1"/>
  <c r="P777" i="1" s="1"/>
  <c r="V777" i="1" s="1"/>
  <c r="O778" i="1"/>
  <c r="P778" i="1" s="1"/>
  <c r="V778" i="1" s="1"/>
  <c r="O779" i="1"/>
  <c r="O780" i="1"/>
  <c r="O781" i="1"/>
  <c r="O782" i="1"/>
  <c r="O783" i="1"/>
  <c r="O784" i="1"/>
  <c r="O785" i="1"/>
  <c r="O786" i="1"/>
  <c r="O787" i="1"/>
  <c r="O788" i="1"/>
  <c r="O789" i="1"/>
  <c r="P789" i="1" s="1"/>
  <c r="V789" i="1" s="1"/>
  <c r="O790" i="1"/>
  <c r="P790" i="1" s="1"/>
  <c r="V790" i="1" s="1"/>
  <c r="O791" i="1"/>
  <c r="O792" i="1"/>
  <c r="O793" i="1"/>
  <c r="O794" i="1"/>
  <c r="O795" i="1"/>
  <c r="O796" i="1"/>
  <c r="O797" i="1"/>
  <c r="O798" i="1"/>
  <c r="O799" i="1"/>
  <c r="O800" i="1"/>
  <c r="O801" i="1"/>
  <c r="P801" i="1" s="1"/>
  <c r="P4" i="1"/>
  <c r="V4" i="1" s="1"/>
  <c r="P6" i="1"/>
  <c r="V6" i="1" s="1"/>
  <c r="P8" i="1"/>
  <c r="V8" i="1" s="1"/>
  <c r="P10" i="1"/>
  <c r="V10" i="1" s="1"/>
  <c r="P12" i="1"/>
  <c r="V12" i="1" s="1"/>
  <c r="P14" i="1"/>
  <c r="V14" i="1" s="1"/>
  <c r="P16" i="1"/>
  <c r="P18" i="1"/>
  <c r="V18" i="1" s="1"/>
  <c r="P20" i="1"/>
  <c r="P22" i="1"/>
  <c r="P24" i="1"/>
  <c r="V24" i="1" s="1"/>
  <c r="P26" i="1"/>
  <c r="V26" i="1" s="1"/>
  <c r="P28" i="1"/>
  <c r="V28" i="1" s="1"/>
  <c r="P32" i="1"/>
  <c r="V32" i="1" s="1"/>
  <c r="P34" i="1"/>
  <c r="V34" i="1" s="1"/>
  <c r="P36" i="1"/>
  <c r="V36" i="1" s="1"/>
  <c r="P38" i="1"/>
  <c r="V38" i="1" s="1"/>
  <c r="P40" i="1"/>
  <c r="V40" i="1" s="1"/>
  <c r="P42" i="1"/>
  <c r="P44" i="1"/>
  <c r="V44" i="1" s="1"/>
  <c r="P46" i="1"/>
  <c r="V46" i="1" s="1"/>
  <c r="P48" i="1"/>
  <c r="P50" i="1"/>
  <c r="V50" i="1" s="1"/>
  <c r="P52" i="1"/>
  <c r="V52" i="1" s="1"/>
  <c r="P56" i="1"/>
  <c r="P58" i="1"/>
  <c r="V58" i="1" s="1"/>
  <c r="P60" i="1"/>
  <c r="V60" i="1" s="1"/>
  <c r="P62" i="1"/>
  <c r="V62" i="1" s="1"/>
  <c r="P64" i="1"/>
  <c r="V64" i="1" s="1"/>
  <c r="P66" i="1"/>
  <c r="V66" i="1" s="1"/>
  <c r="P68" i="1"/>
  <c r="V68" i="1" s="1"/>
  <c r="P70" i="1"/>
  <c r="P72" i="1"/>
  <c r="P74" i="1"/>
  <c r="V74" i="1" s="1"/>
  <c r="P76" i="1"/>
  <c r="V76" i="1" s="1"/>
  <c r="P80" i="1"/>
  <c r="P82" i="1"/>
  <c r="V82" i="1" s="1"/>
  <c r="P84" i="1"/>
  <c r="V84" i="1" s="1"/>
  <c r="P86" i="1"/>
  <c r="V86" i="1" s="1"/>
  <c r="P88" i="1"/>
  <c r="V88" i="1" s="1"/>
  <c r="P90" i="1"/>
  <c r="V90" i="1" s="1"/>
  <c r="P92" i="1"/>
  <c r="P94" i="1"/>
  <c r="P96" i="1"/>
  <c r="P98" i="1"/>
  <c r="V98" i="1" s="1"/>
  <c r="P100" i="1"/>
  <c r="P104" i="1"/>
  <c r="V104" i="1" s="1"/>
  <c r="P106" i="1"/>
  <c r="V106" i="1" s="1"/>
  <c r="P108" i="1"/>
  <c r="V108" i="1" s="1"/>
  <c r="P110" i="1"/>
  <c r="V110" i="1" s="1"/>
  <c r="P112" i="1"/>
  <c r="V112" i="1" s="1"/>
  <c r="P114" i="1"/>
  <c r="V114" i="1" s="1"/>
  <c r="P116" i="1"/>
  <c r="V116" i="1" s="1"/>
  <c r="P118" i="1"/>
  <c r="P120" i="1"/>
  <c r="P122" i="1"/>
  <c r="V122" i="1" s="1"/>
  <c r="P124" i="1"/>
  <c r="V124" i="1" s="1"/>
  <c r="P128" i="1"/>
  <c r="P130" i="1"/>
  <c r="V130" i="1" s="1"/>
  <c r="P132" i="1"/>
  <c r="P134" i="1"/>
  <c r="V134" i="1" s="1"/>
  <c r="P136" i="1"/>
  <c r="V136" i="1" s="1"/>
  <c r="P138" i="1"/>
  <c r="V138" i="1" s="1"/>
  <c r="P140" i="1"/>
  <c r="V140" i="1" s="1"/>
  <c r="P142" i="1"/>
  <c r="V142" i="1" s="1"/>
  <c r="P144" i="1"/>
  <c r="V144" i="1" s="1"/>
  <c r="P146" i="1"/>
  <c r="V146" i="1" s="1"/>
  <c r="P148" i="1"/>
  <c r="P152" i="1"/>
  <c r="P154" i="1"/>
  <c r="P156" i="1"/>
  <c r="P158" i="1"/>
  <c r="V158" i="1" s="1"/>
  <c r="P160" i="1"/>
  <c r="V160" i="1" s="1"/>
  <c r="P162" i="1"/>
  <c r="V162" i="1" s="1"/>
  <c r="P164" i="1"/>
  <c r="V164" i="1" s="1"/>
  <c r="P166" i="1"/>
  <c r="V166" i="1" s="1"/>
  <c r="P168" i="1"/>
  <c r="V168" i="1" s="1"/>
  <c r="P170" i="1"/>
  <c r="V170" i="1" s="1"/>
  <c r="P172" i="1"/>
  <c r="V172" i="1" s="1"/>
  <c r="P173" i="1"/>
  <c r="V173" i="1" s="1"/>
  <c r="P175" i="1"/>
  <c r="P176" i="1"/>
  <c r="P178" i="1"/>
  <c r="V178" i="1" s="1"/>
  <c r="P179" i="1"/>
  <c r="V179" i="1" s="1"/>
  <c r="P180" i="1"/>
  <c r="V180" i="1" s="1"/>
  <c r="P181" i="1"/>
  <c r="V181" i="1" s="1"/>
  <c r="P182" i="1"/>
  <c r="V182" i="1" s="1"/>
  <c r="P183" i="1"/>
  <c r="V183" i="1" s="1"/>
  <c r="P184" i="1"/>
  <c r="V184" i="1" s="1"/>
  <c r="P185" i="1"/>
  <c r="V185" i="1" s="1"/>
  <c r="P187" i="1"/>
  <c r="V187" i="1" s="1"/>
  <c r="P188" i="1"/>
  <c r="P190" i="1"/>
  <c r="V190" i="1" s="1"/>
  <c r="P191" i="1"/>
  <c r="V191" i="1" s="1"/>
  <c r="P192" i="1"/>
  <c r="V192" i="1" s="1"/>
  <c r="P193" i="1"/>
  <c r="P194" i="1"/>
  <c r="V194" i="1" s="1"/>
  <c r="P195" i="1"/>
  <c r="V195" i="1" s="1"/>
  <c r="P196" i="1"/>
  <c r="V196" i="1" s="1"/>
  <c r="P197" i="1"/>
  <c r="V197" i="1" s="1"/>
  <c r="P199" i="1"/>
  <c r="P200" i="1"/>
  <c r="V200" i="1" s="1"/>
  <c r="P202" i="1"/>
  <c r="V202" i="1" s="1"/>
  <c r="P203" i="1"/>
  <c r="P204" i="1"/>
  <c r="V204" i="1" s="1"/>
  <c r="P205" i="1"/>
  <c r="P206" i="1"/>
  <c r="V206" i="1" s="1"/>
  <c r="P207" i="1"/>
  <c r="V207" i="1" s="1"/>
  <c r="P208" i="1"/>
  <c r="V208" i="1" s="1"/>
  <c r="P209" i="1"/>
  <c r="V209" i="1" s="1"/>
  <c r="P211" i="1"/>
  <c r="V211" i="1" s="1"/>
  <c r="P212" i="1"/>
  <c r="V212" i="1" s="1"/>
  <c r="P214" i="1"/>
  <c r="P215" i="1"/>
  <c r="P216" i="1"/>
  <c r="P217" i="1"/>
  <c r="P218" i="1"/>
  <c r="V218" i="1" s="1"/>
  <c r="P219" i="1"/>
  <c r="V219" i="1" s="1"/>
  <c r="P220" i="1"/>
  <c r="V220" i="1" s="1"/>
  <c r="P221" i="1"/>
  <c r="V221" i="1" s="1"/>
  <c r="P223" i="1"/>
  <c r="V223" i="1" s="1"/>
  <c r="P224" i="1"/>
  <c r="V224" i="1" s="1"/>
  <c r="P226" i="1"/>
  <c r="V226" i="1" s="1"/>
  <c r="P227" i="1"/>
  <c r="V227" i="1" s="1"/>
  <c r="P228" i="1"/>
  <c r="P229" i="1"/>
  <c r="V229" i="1" s="1"/>
  <c r="P230" i="1"/>
  <c r="V230" i="1" s="1"/>
  <c r="P231" i="1"/>
  <c r="V231" i="1" s="1"/>
  <c r="P232" i="1"/>
  <c r="V232" i="1" s="1"/>
  <c r="P233" i="1"/>
  <c r="V233" i="1" s="1"/>
  <c r="P234" i="1"/>
  <c r="V234" i="1" s="1"/>
  <c r="P235" i="1"/>
  <c r="P236" i="1"/>
  <c r="P238" i="1"/>
  <c r="V238" i="1" s="1"/>
  <c r="P239" i="1"/>
  <c r="V239" i="1" s="1"/>
  <c r="P240" i="1"/>
  <c r="V240" i="1" s="1"/>
  <c r="P241" i="1"/>
  <c r="P242" i="1"/>
  <c r="V242" i="1" s="1"/>
  <c r="P243" i="1"/>
  <c r="V243" i="1" s="1"/>
  <c r="P244" i="1"/>
  <c r="V244" i="1" s="1"/>
  <c r="P245" i="1"/>
  <c r="V245" i="1" s="1"/>
  <c r="P246" i="1"/>
  <c r="P247" i="1"/>
  <c r="V247" i="1" s="1"/>
  <c r="P248" i="1"/>
  <c r="V248" i="1" s="1"/>
  <c r="P250" i="1"/>
  <c r="V250" i="1" s="1"/>
  <c r="P251" i="1"/>
  <c r="P252" i="1"/>
  <c r="P253" i="1"/>
  <c r="P254" i="1"/>
  <c r="V254" i="1" s="1"/>
  <c r="P255" i="1"/>
  <c r="V255" i="1" s="1"/>
  <c r="P256" i="1"/>
  <c r="P257" i="1"/>
  <c r="V257" i="1" s="1"/>
  <c r="P258" i="1"/>
  <c r="V258" i="1" s="1"/>
  <c r="P259" i="1"/>
  <c r="P260" i="1"/>
  <c r="V260" i="1" s="1"/>
  <c r="P262" i="1"/>
  <c r="V262" i="1" s="1"/>
  <c r="P263" i="1"/>
  <c r="V263" i="1" s="1"/>
  <c r="P264" i="1"/>
  <c r="V264" i="1" s="1"/>
  <c r="P265" i="1"/>
  <c r="V265" i="1" s="1"/>
  <c r="P266" i="1"/>
  <c r="V266" i="1" s="1"/>
  <c r="P267" i="1"/>
  <c r="V267" i="1" s="1"/>
  <c r="P268" i="1"/>
  <c r="V268" i="1" s="1"/>
  <c r="P269" i="1"/>
  <c r="V269" i="1" s="1"/>
  <c r="P270" i="1"/>
  <c r="P271" i="1"/>
  <c r="P272" i="1"/>
  <c r="P274" i="1"/>
  <c r="V274" i="1" s="1"/>
  <c r="P275" i="1"/>
  <c r="V275" i="1" s="1"/>
  <c r="P276" i="1"/>
  <c r="V276" i="1" s="1"/>
  <c r="P277" i="1"/>
  <c r="V277" i="1" s="1"/>
  <c r="P278" i="1"/>
  <c r="V278" i="1" s="1"/>
  <c r="P279" i="1"/>
  <c r="V279" i="1" s="1"/>
  <c r="P280" i="1"/>
  <c r="V280" i="1" s="1"/>
  <c r="P281" i="1"/>
  <c r="V281" i="1" s="1"/>
  <c r="P282" i="1"/>
  <c r="V282" i="1" s="1"/>
  <c r="P283" i="1"/>
  <c r="P284" i="1"/>
  <c r="P286" i="1"/>
  <c r="V286" i="1" s="1"/>
  <c r="P287" i="1"/>
  <c r="P288" i="1"/>
  <c r="P289" i="1"/>
  <c r="P290" i="1"/>
  <c r="V290" i="1" s="1"/>
  <c r="P291" i="1"/>
  <c r="V291" i="1" s="1"/>
  <c r="P292" i="1"/>
  <c r="V292" i="1" s="1"/>
  <c r="P293" i="1"/>
  <c r="V293" i="1" s="1"/>
  <c r="P294" i="1"/>
  <c r="V294" i="1" s="1"/>
  <c r="P295" i="1"/>
  <c r="V295" i="1" s="1"/>
  <c r="P296" i="1"/>
  <c r="V296" i="1" s="1"/>
  <c r="P298" i="1"/>
  <c r="V298" i="1" s="1"/>
  <c r="P299" i="1"/>
  <c r="V299" i="1" s="1"/>
  <c r="P300" i="1"/>
  <c r="V300" i="1" s="1"/>
  <c r="P301" i="1"/>
  <c r="V301" i="1" s="1"/>
  <c r="P302" i="1"/>
  <c r="V302" i="1" s="1"/>
  <c r="P303" i="1"/>
  <c r="V303" i="1" s="1"/>
  <c r="P304" i="1"/>
  <c r="V304" i="1" s="1"/>
  <c r="P305" i="1"/>
  <c r="V305" i="1" s="1"/>
  <c r="P306" i="1"/>
  <c r="P307" i="1"/>
  <c r="P308" i="1"/>
  <c r="P310" i="1"/>
  <c r="V310" i="1" s="1"/>
  <c r="P311" i="1"/>
  <c r="V311" i="1" s="1"/>
  <c r="P312" i="1"/>
  <c r="P313" i="1"/>
  <c r="V313" i="1" s="1"/>
  <c r="P314" i="1"/>
  <c r="V314" i="1" s="1"/>
  <c r="P315" i="1"/>
  <c r="V315" i="1" s="1"/>
  <c r="P316" i="1"/>
  <c r="V316" i="1" s="1"/>
  <c r="P317" i="1"/>
  <c r="V317" i="1" s="1"/>
  <c r="P318" i="1"/>
  <c r="V318" i="1" s="1"/>
  <c r="P319" i="1"/>
  <c r="V319" i="1" s="1"/>
  <c r="P320" i="1"/>
  <c r="P322" i="1"/>
  <c r="P323" i="1"/>
  <c r="P324" i="1"/>
  <c r="P325" i="1"/>
  <c r="P326" i="1"/>
  <c r="V326" i="1" s="1"/>
  <c r="P327" i="1"/>
  <c r="V327" i="1" s="1"/>
  <c r="P328" i="1"/>
  <c r="V328" i="1" s="1"/>
  <c r="P329" i="1"/>
  <c r="V329" i="1" s="1"/>
  <c r="P330" i="1"/>
  <c r="V330" i="1" s="1"/>
  <c r="P331" i="1"/>
  <c r="V331" i="1" s="1"/>
  <c r="P332" i="1"/>
  <c r="P334" i="1"/>
  <c r="V334" i="1" s="1"/>
  <c r="P335" i="1"/>
  <c r="P336" i="1"/>
  <c r="P337" i="1"/>
  <c r="V337" i="1" s="1"/>
  <c r="P338" i="1"/>
  <c r="V338" i="1" s="1"/>
  <c r="P339" i="1"/>
  <c r="V339" i="1" s="1"/>
  <c r="P340" i="1"/>
  <c r="V340" i="1" s="1"/>
  <c r="P341" i="1"/>
  <c r="V341" i="1" s="1"/>
  <c r="P342" i="1"/>
  <c r="V342" i="1" s="1"/>
  <c r="P343" i="1"/>
  <c r="V343" i="1" s="1"/>
  <c r="P344" i="1"/>
  <c r="V344" i="1" s="1"/>
  <c r="P346" i="1"/>
  <c r="V346" i="1" s="1"/>
  <c r="P347" i="1"/>
  <c r="V347" i="1" s="1"/>
  <c r="P348" i="1"/>
  <c r="V348" i="1" s="1"/>
  <c r="P349" i="1"/>
  <c r="V349" i="1" s="1"/>
  <c r="P350" i="1"/>
  <c r="V350" i="1" s="1"/>
  <c r="P351" i="1"/>
  <c r="V351" i="1" s="1"/>
  <c r="P352" i="1"/>
  <c r="V352" i="1" s="1"/>
  <c r="P353" i="1"/>
  <c r="V353" i="1" s="1"/>
  <c r="P354" i="1"/>
  <c r="V354" i="1" s="1"/>
  <c r="P355" i="1"/>
  <c r="V355" i="1" s="1"/>
  <c r="P356" i="1"/>
  <c r="V356" i="1" s="1"/>
  <c r="P358" i="1"/>
  <c r="V358" i="1" s="1"/>
  <c r="P359" i="1"/>
  <c r="V359" i="1" s="1"/>
  <c r="P360" i="1"/>
  <c r="V360" i="1" s="1"/>
  <c r="P361" i="1"/>
  <c r="P362" i="1"/>
  <c r="V362" i="1" s="1"/>
  <c r="P363" i="1"/>
  <c r="V363" i="1" s="1"/>
  <c r="P364" i="1"/>
  <c r="P365" i="1"/>
  <c r="V365" i="1" s="1"/>
  <c r="P366" i="1"/>
  <c r="V366" i="1" s="1"/>
  <c r="P367" i="1"/>
  <c r="V367" i="1" s="1"/>
  <c r="P368" i="1"/>
  <c r="V368" i="1" s="1"/>
  <c r="P370" i="1"/>
  <c r="V370" i="1" s="1"/>
  <c r="P371" i="1"/>
  <c r="V371" i="1" s="1"/>
  <c r="P372" i="1"/>
  <c r="V372" i="1" s="1"/>
  <c r="P373" i="1"/>
  <c r="P374" i="1"/>
  <c r="V374" i="1" s="1"/>
  <c r="P375" i="1"/>
  <c r="V375" i="1" s="1"/>
  <c r="P376" i="1"/>
  <c r="V376" i="1" s="1"/>
  <c r="P377" i="1"/>
  <c r="V377" i="1" s="1"/>
  <c r="P378" i="1"/>
  <c r="P379" i="1"/>
  <c r="P380" i="1"/>
  <c r="P382" i="1"/>
  <c r="V382" i="1" s="1"/>
  <c r="P383" i="1"/>
  <c r="V383" i="1" s="1"/>
  <c r="P384" i="1"/>
  <c r="V384" i="1" s="1"/>
  <c r="P385" i="1"/>
  <c r="V385" i="1" s="1"/>
  <c r="P386" i="1"/>
  <c r="V386" i="1" s="1"/>
  <c r="P387" i="1"/>
  <c r="V387" i="1" s="1"/>
  <c r="P388" i="1"/>
  <c r="V388" i="1" s="1"/>
  <c r="P389" i="1"/>
  <c r="V389" i="1" s="1"/>
  <c r="P390" i="1"/>
  <c r="P391" i="1"/>
  <c r="P392" i="1"/>
  <c r="P394" i="1"/>
  <c r="V394" i="1" s="1"/>
  <c r="P395" i="1"/>
  <c r="V395" i="1" s="1"/>
  <c r="P396" i="1"/>
  <c r="V396" i="1" s="1"/>
  <c r="P397" i="1"/>
  <c r="V397" i="1" s="1"/>
  <c r="P398" i="1"/>
  <c r="V398" i="1" s="1"/>
  <c r="P399" i="1"/>
  <c r="V399" i="1" s="1"/>
  <c r="P400" i="1"/>
  <c r="P401" i="1"/>
  <c r="V401" i="1" s="1"/>
  <c r="P402" i="1"/>
  <c r="V402" i="1" s="1"/>
  <c r="P403" i="1"/>
  <c r="P404" i="1"/>
  <c r="V404" i="1" s="1"/>
  <c r="P406" i="1"/>
  <c r="V406" i="1" s="1"/>
  <c r="P407" i="1"/>
  <c r="V407" i="1" s="1"/>
  <c r="P408" i="1"/>
  <c r="V408" i="1" s="1"/>
  <c r="P409" i="1"/>
  <c r="V409" i="1" s="1"/>
  <c r="P410" i="1"/>
  <c r="V410" i="1" s="1"/>
  <c r="P411" i="1"/>
  <c r="V411" i="1" s="1"/>
  <c r="P412" i="1"/>
  <c r="V412" i="1" s="1"/>
  <c r="P413" i="1"/>
  <c r="V413" i="1" s="1"/>
  <c r="P414" i="1"/>
  <c r="P415" i="1"/>
  <c r="V415" i="1" s="1"/>
  <c r="P416" i="1"/>
  <c r="P418" i="1"/>
  <c r="V418" i="1" s="1"/>
  <c r="P419" i="1"/>
  <c r="V419" i="1" s="1"/>
  <c r="P420" i="1"/>
  <c r="V420" i="1" s="1"/>
  <c r="P421" i="1"/>
  <c r="V421" i="1" s="1"/>
  <c r="P422" i="1"/>
  <c r="V422" i="1" s="1"/>
  <c r="P423" i="1"/>
  <c r="V423" i="1" s="1"/>
  <c r="P424" i="1"/>
  <c r="V424" i="1" s="1"/>
  <c r="P425" i="1"/>
  <c r="V425" i="1" s="1"/>
  <c r="P426" i="1"/>
  <c r="V426" i="1" s="1"/>
  <c r="P427" i="1"/>
  <c r="P428" i="1"/>
  <c r="P430" i="1"/>
  <c r="P431" i="1"/>
  <c r="V431" i="1" s="1"/>
  <c r="P432" i="1"/>
  <c r="V432" i="1" s="1"/>
  <c r="P433" i="1"/>
  <c r="V433" i="1" s="1"/>
  <c r="P434" i="1"/>
  <c r="V434" i="1" s="1"/>
  <c r="P435" i="1"/>
  <c r="V435" i="1" s="1"/>
  <c r="P436" i="1"/>
  <c r="V436" i="1" s="1"/>
  <c r="P437" i="1"/>
  <c r="V437" i="1" s="1"/>
  <c r="P438" i="1"/>
  <c r="V438" i="1" s="1"/>
  <c r="P439" i="1"/>
  <c r="P440" i="1"/>
  <c r="P442" i="1"/>
  <c r="P443" i="1"/>
  <c r="P444" i="1"/>
  <c r="V444" i="1" s="1"/>
  <c r="P445" i="1"/>
  <c r="P446" i="1"/>
  <c r="V446" i="1" s="1"/>
  <c r="P447" i="1"/>
  <c r="V447" i="1" s="1"/>
  <c r="P448" i="1"/>
  <c r="V448" i="1" s="1"/>
  <c r="P449" i="1"/>
  <c r="V449" i="1" s="1"/>
  <c r="P450" i="1"/>
  <c r="P451" i="1"/>
  <c r="V451" i="1" s="1"/>
  <c r="P452" i="1"/>
  <c r="P454" i="1"/>
  <c r="V454" i="1" s="1"/>
  <c r="P455" i="1"/>
  <c r="V455" i="1" s="1"/>
  <c r="P456" i="1"/>
  <c r="V456" i="1" s="1"/>
  <c r="P457" i="1"/>
  <c r="V457" i="1" s="1"/>
  <c r="P458" i="1"/>
  <c r="V458" i="1" s="1"/>
  <c r="P459" i="1"/>
  <c r="V459" i="1" s="1"/>
  <c r="P460" i="1"/>
  <c r="V460" i="1" s="1"/>
  <c r="P461" i="1"/>
  <c r="V461" i="1" s="1"/>
  <c r="P462" i="1"/>
  <c r="V462" i="1" s="1"/>
  <c r="P463" i="1"/>
  <c r="V463" i="1" s="1"/>
  <c r="P464" i="1"/>
  <c r="P467" i="1"/>
  <c r="P468" i="1"/>
  <c r="V468" i="1" s="1"/>
  <c r="P469" i="1"/>
  <c r="V469" i="1" s="1"/>
  <c r="P470" i="1"/>
  <c r="V470" i="1" s="1"/>
  <c r="P471" i="1"/>
  <c r="V471" i="1" s="1"/>
  <c r="P472" i="1"/>
  <c r="V472" i="1" s="1"/>
  <c r="P473" i="1"/>
  <c r="V473" i="1" s="1"/>
  <c r="P474" i="1"/>
  <c r="V474" i="1" s="1"/>
  <c r="P475" i="1"/>
  <c r="V475" i="1" s="1"/>
  <c r="P476" i="1"/>
  <c r="V476" i="1" s="1"/>
  <c r="P479" i="1"/>
  <c r="V479" i="1" s="1"/>
  <c r="P480" i="1"/>
  <c r="P481" i="1"/>
  <c r="P482" i="1"/>
  <c r="V482" i="1" s="1"/>
  <c r="P483" i="1"/>
  <c r="V483" i="1" s="1"/>
  <c r="P484" i="1"/>
  <c r="P485" i="1"/>
  <c r="V485" i="1" s="1"/>
  <c r="P486" i="1"/>
  <c r="V486" i="1" s="1"/>
  <c r="P487" i="1"/>
  <c r="V487" i="1" s="1"/>
  <c r="P488" i="1"/>
  <c r="V488" i="1" s="1"/>
  <c r="P491" i="1"/>
  <c r="V491" i="1" s="1"/>
  <c r="P492" i="1"/>
  <c r="V492" i="1" s="1"/>
  <c r="P493" i="1"/>
  <c r="P494" i="1"/>
  <c r="V494" i="1" s="1"/>
  <c r="P495" i="1"/>
  <c r="V495" i="1" s="1"/>
  <c r="P496" i="1"/>
  <c r="V496" i="1" s="1"/>
  <c r="P497" i="1"/>
  <c r="V497" i="1" s="1"/>
  <c r="P498" i="1"/>
  <c r="V498" i="1" s="1"/>
  <c r="P499" i="1"/>
  <c r="V499" i="1" s="1"/>
  <c r="P500" i="1"/>
  <c r="P503" i="1"/>
  <c r="V503" i="1" s="1"/>
  <c r="P504" i="1"/>
  <c r="V504" i="1" s="1"/>
  <c r="P505" i="1"/>
  <c r="V505" i="1" s="1"/>
  <c r="P506" i="1"/>
  <c r="V506" i="1" s="1"/>
  <c r="P507" i="1"/>
  <c r="V507" i="1" s="1"/>
  <c r="P508" i="1"/>
  <c r="P509" i="1"/>
  <c r="V509" i="1" s="1"/>
  <c r="P510" i="1"/>
  <c r="V510" i="1" s="1"/>
  <c r="P511" i="1"/>
  <c r="P512" i="1"/>
  <c r="V512" i="1" s="1"/>
  <c r="P515" i="1"/>
  <c r="V515" i="1" s="1"/>
  <c r="P516" i="1"/>
  <c r="V516" i="1" s="1"/>
  <c r="P517" i="1"/>
  <c r="V517" i="1" s="1"/>
  <c r="P518" i="1"/>
  <c r="V518" i="1" s="1"/>
  <c r="P519" i="1"/>
  <c r="V519" i="1" s="1"/>
  <c r="P520" i="1"/>
  <c r="V520" i="1" s="1"/>
  <c r="P521" i="1"/>
  <c r="V521" i="1" s="1"/>
  <c r="P522" i="1"/>
  <c r="V522" i="1" s="1"/>
  <c r="P523" i="1"/>
  <c r="V523" i="1" s="1"/>
  <c r="P524" i="1"/>
  <c r="P527" i="1"/>
  <c r="V527" i="1" s="1"/>
  <c r="P528" i="1"/>
  <c r="P529" i="1"/>
  <c r="P530" i="1"/>
  <c r="V530" i="1" s="1"/>
  <c r="P531" i="1"/>
  <c r="V531" i="1" s="1"/>
  <c r="P532" i="1"/>
  <c r="V532" i="1" s="1"/>
  <c r="P533" i="1"/>
  <c r="V533" i="1" s="1"/>
  <c r="P534" i="1"/>
  <c r="V534" i="1" s="1"/>
  <c r="P535" i="1"/>
  <c r="V535" i="1" s="1"/>
  <c r="P536" i="1"/>
  <c r="V536" i="1" s="1"/>
  <c r="P539" i="1"/>
  <c r="V539" i="1" s="1"/>
  <c r="P540" i="1"/>
  <c r="P541" i="1"/>
  <c r="V541" i="1" s="1"/>
  <c r="P542" i="1"/>
  <c r="V542" i="1" s="1"/>
  <c r="P543" i="1"/>
  <c r="V543" i="1" s="1"/>
  <c r="P544" i="1"/>
  <c r="V544" i="1" s="1"/>
  <c r="P545" i="1"/>
  <c r="V545" i="1" s="1"/>
  <c r="P546" i="1"/>
  <c r="V546" i="1" s="1"/>
  <c r="P547" i="1"/>
  <c r="P548" i="1"/>
  <c r="V548" i="1" s="1"/>
  <c r="P551" i="1"/>
  <c r="P552" i="1"/>
  <c r="V552" i="1" s="1"/>
  <c r="P553" i="1"/>
  <c r="P554" i="1"/>
  <c r="V554" i="1" s="1"/>
  <c r="P555" i="1"/>
  <c r="V555" i="1" s="1"/>
  <c r="P556" i="1"/>
  <c r="P557" i="1"/>
  <c r="V557" i="1" s="1"/>
  <c r="P558" i="1"/>
  <c r="V558" i="1" s="1"/>
  <c r="P559" i="1"/>
  <c r="V559" i="1" s="1"/>
  <c r="P560" i="1"/>
  <c r="V560" i="1" s="1"/>
  <c r="P563" i="1"/>
  <c r="V563" i="1" s="1"/>
  <c r="P564" i="1"/>
  <c r="V564" i="1" s="1"/>
  <c r="P565" i="1"/>
  <c r="V565" i="1" s="1"/>
  <c r="P566" i="1"/>
  <c r="V566" i="1" s="1"/>
  <c r="P567" i="1"/>
  <c r="V567" i="1" s="1"/>
  <c r="P568" i="1"/>
  <c r="P569" i="1"/>
  <c r="V569" i="1" s="1"/>
  <c r="P570" i="1"/>
  <c r="P571" i="1"/>
  <c r="V571" i="1" s="1"/>
  <c r="P572" i="1"/>
  <c r="V572" i="1" s="1"/>
  <c r="P575" i="1"/>
  <c r="V575" i="1" s="1"/>
  <c r="P576" i="1"/>
  <c r="P577" i="1"/>
  <c r="V577" i="1" s="1"/>
  <c r="P578" i="1"/>
  <c r="V578" i="1" s="1"/>
  <c r="P579" i="1"/>
  <c r="V579" i="1" s="1"/>
  <c r="P580" i="1"/>
  <c r="V580" i="1" s="1"/>
  <c r="P581" i="1"/>
  <c r="V581" i="1" s="1"/>
  <c r="P582" i="1"/>
  <c r="V582" i="1" s="1"/>
  <c r="P583" i="1"/>
  <c r="V583" i="1" s="1"/>
  <c r="P584" i="1"/>
  <c r="P587" i="1"/>
  <c r="V587" i="1" s="1"/>
  <c r="P588" i="1"/>
  <c r="V588" i="1" s="1"/>
  <c r="P589" i="1"/>
  <c r="V589" i="1" s="1"/>
  <c r="P590" i="1"/>
  <c r="V590" i="1" s="1"/>
  <c r="P591" i="1"/>
  <c r="V591" i="1" s="1"/>
  <c r="P592" i="1"/>
  <c r="V592" i="1" s="1"/>
  <c r="P593" i="1"/>
  <c r="V593" i="1" s="1"/>
  <c r="P594" i="1"/>
  <c r="V594" i="1" s="1"/>
  <c r="P595" i="1"/>
  <c r="V595" i="1" s="1"/>
  <c r="P596" i="1"/>
  <c r="P599" i="1"/>
  <c r="V599" i="1" s="1"/>
  <c r="P600" i="1"/>
  <c r="P601" i="1"/>
  <c r="V601" i="1" s="1"/>
  <c r="P602" i="1"/>
  <c r="V602" i="1" s="1"/>
  <c r="P603" i="1"/>
  <c r="V603" i="1" s="1"/>
  <c r="P604" i="1"/>
  <c r="V604" i="1" s="1"/>
  <c r="P605" i="1"/>
  <c r="V605" i="1" s="1"/>
  <c r="P606" i="1"/>
  <c r="V606" i="1" s="1"/>
  <c r="P607" i="1"/>
  <c r="P608" i="1"/>
  <c r="P611" i="1"/>
  <c r="P612" i="1"/>
  <c r="P613" i="1"/>
  <c r="V613" i="1" s="1"/>
  <c r="P614" i="1"/>
  <c r="V614" i="1" s="1"/>
  <c r="P615" i="1"/>
  <c r="V615" i="1" s="1"/>
  <c r="P616" i="1"/>
  <c r="V616" i="1" s="1"/>
  <c r="P617" i="1"/>
  <c r="V617" i="1" s="1"/>
  <c r="P618" i="1"/>
  <c r="V618" i="1" s="1"/>
  <c r="P619" i="1"/>
  <c r="V619" i="1" s="1"/>
  <c r="P620" i="1"/>
  <c r="V620" i="1" s="1"/>
  <c r="P623" i="1"/>
  <c r="P624" i="1"/>
  <c r="P625" i="1"/>
  <c r="V625" i="1" s="1"/>
  <c r="P626" i="1"/>
  <c r="V626" i="1" s="1"/>
  <c r="P627" i="1"/>
  <c r="V627" i="1" s="1"/>
  <c r="P628" i="1"/>
  <c r="P629" i="1"/>
  <c r="V629" i="1" s="1"/>
  <c r="P630" i="1"/>
  <c r="V630" i="1" s="1"/>
  <c r="P631" i="1"/>
  <c r="V631" i="1" s="1"/>
  <c r="P632" i="1"/>
  <c r="V632" i="1" s="1"/>
  <c r="P635" i="1"/>
  <c r="V635" i="1" s="1"/>
  <c r="P636" i="1"/>
  <c r="V636" i="1" s="1"/>
  <c r="P637" i="1"/>
  <c r="V637" i="1" s="1"/>
  <c r="P638" i="1"/>
  <c r="V638" i="1" s="1"/>
  <c r="P639" i="1"/>
  <c r="V639" i="1" s="1"/>
  <c r="P640" i="1"/>
  <c r="P641" i="1"/>
  <c r="V641" i="1" s="1"/>
  <c r="P642" i="1"/>
  <c r="P643" i="1"/>
  <c r="P644" i="1"/>
  <c r="P647" i="1"/>
  <c r="V647" i="1" s="1"/>
  <c r="P648" i="1"/>
  <c r="V648" i="1" s="1"/>
  <c r="P649" i="1"/>
  <c r="V649" i="1" s="1"/>
  <c r="P650" i="1"/>
  <c r="V650" i="1" s="1"/>
  <c r="P651" i="1"/>
  <c r="V651" i="1" s="1"/>
  <c r="P652" i="1"/>
  <c r="P653" i="1"/>
  <c r="V653" i="1" s="1"/>
  <c r="P654" i="1"/>
  <c r="P655" i="1"/>
  <c r="P656" i="1"/>
  <c r="P659" i="1"/>
  <c r="P660" i="1"/>
  <c r="V660" i="1" s="1"/>
  <c r="P661" i="1"/>
  <c r="V661" i="1" s="1"/>
  <c r="P662" i="1"/>
  <c r="V662" i="1" s="1"/>
  <c r="P663" i="1"/>
  <c r="V663" i="1" s="1"/>
  <c r="P664" i="1"/>
  <c r="V664" i="1" s="1"/>
  <c r="P665" i="1"/>
  <c r="V665" i="1" s="1"/>
  <c r="P666" i="1"/>
  <c r="V666" i="1" s="1"/>
  <c r="P667" i="1"/>
  <c r="P668" i="1"/>
  <c r="P671" i="1"/>
  <c r="V671" i="1" s="1"/>
  <c r="P672" i="1"/>
  <c r="P673" i="1"/>
  <c r="V673" i="1" s="1"/>
  <c r="P674" i="1"/>
  <c r="V674" i="1" s="1"/>
  <c r="P675" i="1"/>
  <c r="V675" i="1" s="1"/>
  <c r="P676" i="1"/>
  <c r="P677" i="1"/>
  <c r="V677" i="1" s="1"/>
  <c r="P678" i="1"/>
  <c r="V678" i="1" s="1"/>
  <c r="P679" i="1"/>
  <c r="V679" i="1" s="1"/>
  <c r="P680" i="1"/>
  <c r="P683" i="1"/>
  <c r="P684" i="1"/>
  <c r="V684" i="1" s="1"/>
  <c r="P685" i="1"/>
  <c r="V685" i="1" s="1"/>
  <c r="P686" i="1"/>
  <c r="V686" i="1" s="1"/>
  <c r="P687" i="1"/>
  <c r="V687" i="1" s="1"/>
  <c r="P688" i="1"/>
  <c r="V688" i="1" s="1"/>
  <c r="P689" i="1"/>
  <c r="V689" i="1" s="1"/>
  <c r="P690" i="1"/>
  <c r="V690" i="1" s="1"/>
  <c r="P691" i="1"/>
  <c r="V691" i="1" s="1"/>
  <c r="P692" i="1"/>
  <c r="V692" i="1" s="1"/>
  <c r="P695" i="1"/>
  <c r="P696" i="1"/>
  <c r="V696" i="1" s="1"/>
  <c r="P697" i="1"/>
  <c r="P698" i="1"/>
  <c r="V698" i="1" s="1"/>
  <c r="P699" i="1"/>
  <c r="V699" i="1" s="1"/>
  <c r="P700" i="1"/>
  <c r="P701" i="1"/>
  <c r="V701" i="1" s="1"/>
  <c r="P702" i="1"/>
  <c r="V702" i="1" s="1"/>
  <c r="P703" i="1"/>
  <c r="V703" i="1" s="1"/>
  <c r="P704" i="1"/>
  <c r="V704" i="1" s="1"/>
  <c r="P707" i="1"/>
  <c r="V707" i="1" s="1"/>
  <c r="P708" i="1"/>
  <c r="V708" i="1" s="1"/>
  <c r="P709" i="1"/>
  <c r="V709" i="1" s="1"/>
  <c r="P710" i="1"/>
  <c r="V710" i="1" s="1"/>
  <c r="P711" i="1"/>
  <c r="V711" i="1" s="1"/>
  <c r="P712" i="1"/>
  <c r="V712" i="1" s="1"/>
  <c r="P713" i="1"/>
  <c r="V713" i="1" s="1"/>
  <c r="P714" i="1"/>
  <c r="P715" i="1"/>
  <c r="V715" i="1" s="1"/>
  <c r="P716" i="1"/>
  <c r="V716" i="1" s="1"/>
  <c r="P719" i="1"/>
  <c r="V719" i="1" s="1"/>
  <c r="P720" i="1"/>
  <c r="V720" i="1" s="1"/>
  <c r="P721" i="1"/>
  <c r="V721" i="1" s="1"/>
  <c r="P722" i="1"/>
  <c r="V722" i="1" s="1"/>
  <c r="P723" i="1"/>
  <c r="V723" i="1" s="1"/>
  <c r="P724" i="1"/>
  <c r="V724" i="1" s="1"/>
  <c r="P725" i="1"/>
  <c r="V725" i="1" s="1"/>
  <c r="P726" i="1"/>
  <c r="P727" i="1"/>
  <c r="V727" i="1" s="1"/>
  <c r="P728" i="1"/>
  <c r="P731" i="1"/>
  <c r="V731" i="1" s="1"/>
  <c r="P732" i="1"/>
  <c r="V732" i="1" s="1"/>
  <c r="P733" i="1"/>
  <c r="V733" i="1" s="1"/>
  <c r="P734" i="1"/>
  <c r="V734" i="1" s="1"/>
  <c r="P735" i="1"/>
  <c r="V735" i="1" s="1"/>
  <c r="P736" i="1"/>
  <c r="V736" i="1" s="1"/>
  <c r="P737" i="1"/>
  <c r="V737" i="1" s="1"/>
  <c r="P738" i="1"/>
  <c r="P739" i="1"/>
  <c r="V739" i="1" s="1"/>
  <c r="P740" i="1"/>
  <c r="P743" i="1"/>
  <c r="V743" i="1" s="1"/>
  <c r="P744" i="1"/>
  <c r="P745" i="1"/>
  <c r="V745" i="1" s="1"/>
  <c r="P746" i="1"/>
  <c r="V746" i="1" s="1"/>
  <c r="P747" i="1"/>
  <c r="V747" i="1" s="1"/>
  <c r="P748" i="1"/>
  <c r="V748" i="1" s="1"/>
  <c r="P749" i="1"/>
  <c r="V749" i="1" s="1"/>
  <c r="P750" i="1"/>
  <c r="V750" i="1" s="1"/>
  <c r="P751" i="1"/>
  <c r="P752" i="1"/>
  <c r="P755" i="1"/>
  <c r="P756" i="1"/>
  <c r="P757" i="1"/>
  <c r="V757" i="1" s="1"/>
  <c r="P758" i="1"/>
  <c r="V758" i="1" s="1"/>
  <c r="P759" i="1"/>
  <c r="V759" i="1" s="1"/>
  <c r="P760" i="1"/>
  <c r="V760" i="1" s="1"/>
  <c r="P761" i="1"/>
  <c r="V761" i="1" s="1"/>
  <c r="P762" i="1"/>
  <c r="V762" i="1" s="1"/>
  <c r="P763" i="1"/>
  <c r="V763" i="1" s="1"/>
  <c r="P764" i="1"/>
  <c r="V764" i="1" s="1"/>
  <c r="P767" i="1"/>
  <c r="P768" i="1"/>
  <c r="V768" i="1" s="1"/>
  <c r="P769" i="1"/>
  <c r="P770" i="1"/>
  <c r="V770" i="1" s="1"/>
  <c r="P771" i="1"/>
  <c r="V771" i="1" s="1"/>
  <c r="P772" i="1"/>
  <c r="P773" i="1"/>
  <c r="V773" i="1" s="1"/>
  <c r="P774" i="1"/>
  <c r="V774" i="1" s="1"/>
  <c r="P775" i="1"/>
  <c r="V775" i="1" s="1"/>
  <c r="P776" i="1"/>
  <c r="V776" i="1" s="1"/>
  <c r="P779" i="1"/>
  <c r="V779" i="1" s="1"/>
  <c r="P780" i="1"/>
  <c r="V780" i="1" s="1"/>
  <c r="P781" i="1"/>
  <c r="P782" i="1"/>
  <c r="V782" i="1" s="1"/>
  <c r="P783" i="1"/>
  <c r="V783" i="1" s="1"/>
  <c r="P784" i="1"/>
  <c r="P785" i="1"/>
  <c r="V785" i="1" s="1"/>
  <c r="P786" i="1"/>
  <c r="V786" i="1" s="1"/>
  <c r="P787" i="1"/>
  <c r="P788" i="1"/>
  <c r="V788" i="1" s="1"/>
  <c r="P791" i="1"/>
  <c r="V791" i="1" s="1"/>
  <c r="P792" i="1"/>
  <c r="V792" i="1" s="1"/>
  <c r="P793" i="1"/>
  <c r="V793" i="1" s="1"/>
  <c r="P794" i="1"/>
  <c r="V794" i="1" s="1"/>
  <c r="P795" i="1"/>
  <c r="V795" i="1" s="1"/>
  <c r="P796" i="1"/>
  <c r="P797" i="1"/>
  <c r="V797" i="1" s="1"/>
  <c r="P798" i="1"/>
  <c r="V798" i="1" s="1"/>
  <c r="P799" i="1"/>
  <c r="V799" i="1" s="1"/>
  <c r="P800" i="1"/>
  <c r="D64" i="2"/>
  <c r="C152" i="2"/>
  <c r="D70" i="2"/>
  <c r="D62" i="2"/>
  <c r="B152" i="2"/>
  <c r="E112" i="2"/>
  <c r="B155" i="2"/>
  <c r="B153" i="2"/>
  <c r="B156" i="2"/>
  <c r="D68" i="2"/>
  <c r="D66" i="2"/>
  <c r="D71" i="2"/>
  <c r="B154" i="2"/>
  <c r="D65" i="2"/>
  <c r="D26" i="2"/>
  <c r="E134" i="2"/>
  <c r="F152" i="2"/>
  <c r="E152" i="2"/>
  <c r="D61" i="2"/>
  <c r="D63" i="2"/>
  <c r="D31" i="2"/>
  <c r="D69" i="2"/>
  <c r="D29" i="2"/>
  <c r="H112" i="2"/>
  <c r="D67" i="2"/>
  <c r="D152" i="2"/>
  <c r="B112" i="2"/>
  <c r="D28" i="2"/>
  <c r="D27" i="2"/>
  <c r="B134" i="2"/>
  <c r="D30" i="2"/>
  <c r="D32" i="2"/>
  <c r="V79" i="1" l="1"/>
  <c r="R7" i="1"/>
  <c r="R790" i="1"/>
  <c r="R778" i="1"/>
  <c r="R766" i="1"/>
  <c r="R754" i="1"/>
  <c r="R742" i="1"/>
  <c r="R730" i="1"/>
  <c r="R718" i="1"/>
  <c r="R706" i="1"/>
  <c r="R694" i="1"/>
  <c r="R682" i="1"/>
  <c r="R670" i="1"/>
  <c r="R658" i="1"/>
  <c r="R646" i="1"/>
  <c r="R634" i="1"/>
  <c r="R622" i="1"/>
  <c r="R610" i="1"/>
  <c r="R598" i="1"/>
  <c r="R586" i="1"/>
  <c r="R574" i="1"/>
  <c r="R562" i="1"/>
  <c r="R550" i="1"/>
  <c r="R538" i="1"/>
  <c r="R526" i="1"/>
  <c r="R514" i="1"/>
  <c r="R502" i="1"/>
  <c r="R490" i="1"/>
  <c r="R478" i="1"/>
  <c r="R466" i="1"/>
  <c r="R789" i="1"/>
  <c r="R693" i="1"/>
  <c r="R633" i="1"/>
  <c r="R573" i="1"/>
  <c r="R501" i="1"/>
  <c r="R441" i="1"/>
  <c r="R381" i="1"/>
  <c r="R321" i="1"/>
  <c r="R273" i="1"/>
  <c r="R213" i="1"/>
  <c r="R777" i="1"/>
  <c r="R705" i="1"/>
  <c r="R645" i="1"/>
  <c r="R585" i="1"/>
  <c r="R513" i="1"/>
  <c r="R453" i="1"/>
  <c r="R417" i="1"/>
  <c r="R345" i="1"/>
  <c r="R285" i="1"/>
  <c r="R201" i="1"/>
  <c r="R150" i="1"/>
  <c r="R126" i="1"/>
  <c r="R30" i="1"/>
  <c r="R717" i="1"/>
  <c r="R525" i="1"/>
  <c r="R237" i="1"/>
  <c r="R801" i="1"/>
  <c r="R357" i="1"/>
  <c r="R102" i="1"/>
  <c r="R765" i="1"/>
  <c r="R681" i="1"/>
  <c r="R621" i="1"/>
  <c r="R561" i="1"/>
  <c r="R489" i="1"/>
  <c r="R429" i="1"/>
  <c r="R369" i="1"/>
  <c r="R333" i="1"/>
  <c r="R297" i="1"/>
  <c r="R249" i="1"/>
  <c r="R189" i="1"/>
  <c r="R729" i="1"/>
  <c r="R669" i="1"/>
  <c r="R609" i="1"/>
  <c r="R537" i="1"/>
  <c r="R465" i="1"/>
  <c r="R405" i="1"/>
  <c r="R309" i="1"/>
  <c r="R177" i="1"/>
  <c r="R78" i="1"/>
  <c r="R753" i="1"/>
  <c r="R657" i="1"/>
  <c r="R597" i="1"/>
  <c r="R477" i="1"/>
  <c r="R393" i="1"/>
  <c r="R261" i="1"/>
  <c r="R54" i="1"/>
  <c r="R741" i="1"/>
  <c r="R549" i="1"/>
  <c r="R225" i="1"/>
  <c r="R764" i="1"/>
  <c r="R656" i="1"/>
  <c r="R560" i="1"/>
  <c r="R464" i="1"/>
  <c r="R368" i="1"/>
  <c r="R272" i="1"/>
  <c r="R146" i="1"/>
  <c r="R153" i="1"/>
  <c r="R45" i="1"/>
  <c r="R727" i="1"/>
  <c r="R619" i="1"/>
  <c r="R499" i="1"/>
  <c r="R391" i="1"/>
  <c r="R295" i="1"/>
  <c r="R168" i="1"/>
  <c r="R714" i="1"/>
  <c r="R618" i="1"/>
  <c r="R510" i="1"/>
  <c r="R366" i="1"/>
  <c r="R270" i="1"/>
  <c r="R94" i="1"/>
  <c r="R725" i="1"/>
  <c r="R449" i="1"/>
  <c r="R212" i="1"/>
  <c r="R199" i="1"/>
  <c r="R185" i="1"/>
  <c r="R172" i="1"/>
  <c r="R148" i="1"/>
  <c r="R124" i="1"/>
  <c r="R100" i="1"/>
  <c r="R76" i="1"/>
  <c r="R52" i="1"/>
  <c r="R28" i="1"/>
  <c r="R4" i="1"/>
  <c r="R752" i="1"/>
  <c r="R668" i="1"/>
  <c r="R584" i="1"/>
  <c r="R488" i="1"/>
  <c r="R428" i="1"/>
  <c r="R356" i="1"/>
  <c r="R296" i="1"/>
  <c r="R248" i="1"/>
  <c r="R211" i="1"/>
  <c r="R122" i="1"/>
  <c r="R26" i="1"/>
  <c r="R117" i="1"/>
  <c r="R21" i="1"/>
  <c r="R751" i="1"/>
  <c r="R667" i="1"/>
  <c r="R559" i="1"/>
  <c r="R451" i="1"/>
  <c r="R331" i="1"/>
  <c r="R223" i="1"/>
  <c r="R48" i="1"/>
  <c r="R774" i="1"/>
  <c r="R666" i="1"/>
  <c r="R582" i="1"/>
  <c r="R498" i="1"/>
  <c r="R414" i="1"/>
  <c r="R294" i="1"/>
  <c r="R118" i="1"/>
  <c r="R713" i="1"/>
  <c r="R641" i="1"/>
  <c r="R557" i="1"/>
  <c r="R497" i="1"/>
  <c r="R413" i="1"/>
  <c r="R353" i="1"/>
  <c r="R305" i="1"/>
  <c r="R245" i="1"/>
  <c r="R207" i="1"/>
  <c r="R194" i="1"/>
  <c r="R181" i="1"/>
  <c r="R140" i="1"/>
  <c r="R116" i="1"/>
  <c r="R92" i="1"/>
  <c r="R222" i="1"/>
  <c r="R210" i="1"/>
  <c r="R198" i="1"/>
  <c r="R186" i="1"/>
  <c r="R174" i="1"/>
  <c r="R740" i="1"/>
  <c r="R644" i="1"/>
  <c r="R524" i="1"/>
  <c r="R404" i="1"/>
  <c r="R284" i="1"/>
  <c r="R170" i="1"/>
  <c r="R93" i="1"/>
  <c r="R715" i="1"/>
  <c r="R607" i="1"/>
  <c r="R487" i="1"/>
  <c r="R379" i="1"/>
  <c r="R283" i="1"/>
  <c r="R144" i="1"/>
  <c r="R762" i="1"/>
  <c r="R654" i="1"/>
  <c r="R534" i="1"/>
  <c r="R390" i="1"/>
  <c r="R234" i="1"/>
  <c r="R761" i="1"/>
  <c r="R425" i="1"/>
  <c r="R796" i="1"/>
  <c r="R784" i="1"/>
  <c r="R772" i="1"/>
  <c r="R760" i="1"/>
  <c r="R748" i="1"/>
  <c r="R736" i="1"/>
  <c r="R724" i="1"/>
  <c r="R712" i="1"/>
  <c r="R700" i="1"/>
  <c r="R688" i="1"/>
  <c r="R676" i="1"/>
  <c r="R664" i="1"/>
  <c r="R652" i="1"/>
  <c r="R640" i="1"/>
  <c r="R628" i="1"/>
  <c r="R616" i="1"/>
  <c r="R604" i="1"/>
  <c r="R592" i="1"/>
  <c r="R580" i="1"/>
  <c r="R568" i="1"/>
  <c r="R556" i="1"/>
  <c r="R544" i="1"/>
  <c r="R532" i="1"/>
  <c r="R520" i="1"/>
  <c r="R508" i="1"/>
  <c r="R496" i="1"/>
  <c r="R484" i="1"/>
  <c r="R472" i="1"/>
  <c r="R460" i="1"/>
  <c r="R448" i="1"/>
  <c r="R436" i="1"/>
  <c r="R424" i="1"/>
  <c r="R412" i="1"/>
  <c r="R400" i="1"/>
  <c r="R388" i="1"/>
  <c r="R376" i="1"/>
  <c r="R364" i="1"/>
  <c r="R352" i="1"/>
  <c r="R340" i="1"/>
  <c r="R328" i="1"/>
  <c r="R316" i="1"/>
  <c r="R304" i="1"/>
  <c r="R292" i="1"/>
  <c r="R280" i="1"/>
  <c r="R268" i="1"/>
  <c r="R256" i="1"/>
  <c r="R244" i="1"/>
  <c r="R232" i="1"/>
  <c r="R219" i="1"/>
  <c r="R206" i="1"/>
  <c r="R193" i="1"/>
  <c r="R180" i="1"/>
  <c r="R162" i="1"/>
  <c r="R138" i="1"/>
  <c r="R114" i="1"/>
  <c r="R90" i="1"/>
  <c r="R66" i="1"/>
  <c r="R42" i="1"/>
  <c r="R18" i="1"/>
  <c r="R716" i="1"/>
  <c r="R620" i="1"/>
  <c r="R548" i="1"/>
  <c r="R452" i="1"/>
  <c r="R344" i="1"/>
  <c r="R236" i="1"/>
  <c r="R74" i="1"/>
  <c r="R105" i="1"/>
  <c r="R9" i="1"/>
  <c r="R775" i="1"/>
  <c r="R655" i="1"/>
  <c r="R547" i="1"/>
  <c r="R439" i="1"/>
  <c r="R343" i="1"/>
  <c r="R209" i="1"/>
  <c r="R750" i="1"/>
  <c r="R642" i="1"/>
  <c r="R558" i="1"/>
  <c r="R474" i="1"/>
  <c r="R402" i="1"/>
  <c r="R330" i="1"/>
  <c r="R246" i="1"/>
  <c r="R166" i="1"/>
  <c r="R797" i="1"/>
  <c r="R701" i="1"/>
  <c r="R629" i="1"/>
  <c r="R533" i="1"/>
  <c r="R473" i="1"/>
  <c r="R389" i="1"/>
  <c r="R329" i="1"/>
  <c r="R269" i="1"/>
  <c r="R20" i="1"/>
  <c r="R771" i="1"/>
  <c r="R699" i="1"/>
  <c r="R627" i="1"/>
  <c r="R567" i="1"/>
  <c r="R507" i="1"/>
  <c r="R447" i="1"/>
  <c r="R387" i="1"/>
  <c r="R351" i="1"/>
  <c r="R327" i="1"/>
  <c r="R291" i="1"/>
  <c r="R243" i="1"/>
  <c r="R218" i="1"/>
  <c r="R205" i="1"/>
  <c r="R192" i="1"/>
  <c r="R179" i="1"/>
  <c r="R160" i="1"/>
  <c r="R136" i="1"/>
  <c r="R112" i="1"/>
  <c r="R88" i="1"/>
  <c r="R40" i="1"/>
  <c r="R776" i="1"/>
  <c r="R680" i="1"/>
  <c r="R572" i="1"/>
  <c r="R476" i="1"/>
  <c r="R332" i="1"/>
  <c r="R184" i="1"/>
  <c r="R141" i="1"/>
  <c r="R33" i="1"/>
  <c r="R739" i="1"/>
  <c r="R631" i="1"/>
  <c r="R511" i="1"/>
  <c r="R415" i="1"/>
  <c r="R319" i="1"/>
  <c r="R271" i="1"/>
  <c r="R196" i="1"/>
  <c r="R24" i="1"/>
  <c r="R702" i="1"/>
  <c r="R606" i="1"/>
  <c r="R522" i="1"/>
  <c r="R438" i="1"/>
  <c r="R342" i="1"/>
  <c r="R282" i="1"/>
  <c r="R208" i="1"/>
  <c r="R142" i="1"/>
  <c r="R22" i="1"/>
  <c r="R749" i="1"/>
  <c r="R677" i="1"/>
  <c r="R617" i="1"/>
  <c r="R545" i="1"/>
  <c r="R485" i="1"/>
  <c r="R401" i="1"/>
  <c r="R341" i="1"/>
  <c r="R281" i="1"/>
  <c r="R220" i="1"/>
  <c r="R68" i="1"/>
  <c r="R795" i="1"/>
  <c r="R687" i="1"/>
  <c r="R555" i="1"/>
  <c r="R279" i="1"/>
  <c r="R794" i="1"/>
  <c r="R782" i="1"/>
  <c r="R770" i="1"/>
  <c r="R758" i="1"/>
  <c r="R746" i="1"/>
  <c r="R734" i="1"/>
  <c r="R722" i="1"/>
  <c r="R710" i="1"/>
  <c r="R698" i="1"/>
  <c r="R686" i="1"/>
  <c r="R674" i="1"/>
  <c r="R662" i="1"/>
  <c r="R650" i="1"/>
  <c r="R638" i="1"/>
  <c r="R626" i="1"/>
  <c r="R614" i="1"/>
  <c r="R602" i="1"/>
  <c r="R590" i="1"/>
  <c r="R578" i="1"/>
  <c r="R566" i="1"/>
  <c r="R554" i="1"/>
  <c r="R542" i="1"/>
  <c r="R530" i="1"/>
  <c r="R518" i="1"/>
  <c r="R506" i="1"/>
  <c r="R494" i="1"/>
  <c r="R482" i="1"/>
  <c r="R470" i="1"/>
  <c r="R458" i="1"/>
  <c r="R446" i="1"/>
  <c r="R434" i="1"/>
  <c r="R422" i="1"/>
  <c r="R410" i="1"/>
  <c r="R398" i="1"/>
  <c r="R386" i="1"/>
  <c r="R374" i="1"/>
  <c r="R362" i="1"/>
  <c r="R350" i="1"/>
  <c r="R338" i="1"/>
  <c r="R326" i="1"/>
  <c r="R314" i="1"/>
  <c r="R302" i="1"/>
  <c r="R290" i="1"/>
  <c r="R278" i="1"/>
  <c r="R266" i="1"/>
  <c r="R254" i="1"/>
  <c r="R242" i="1"/>
  <c r="R230" i="1"/>
  <c r="R217" i="1"/>
  <c r="R204" i="1"/>
  <c r="R191" i="1"/>
  <c r="R178" i="1"/>
  <c r="R158" i="1"/>
  <c r="R134" i="1"/>
  <c r="R110" i="1"/>
  <c r="R86" i="1"/>
  <c r="R62" i="1"/>
  <c r="R38" i="1"/>
  <c r="R14" i="1"/>
  <c r="R788" i="1"/>
  <c r="R728" i="1"/>
  <c r="R608" i="1"/>
  <c r="R536" i="1"/>
  <c r="R440" i="1"/>
  <c r="R320" i="1"/>
  <c r="R197" i="1"/>
  <c r="R129" i="1"/>
  <c r="R69" i="1"/>
  <c r="R799" i="1"/>
  <c r="R679" i="1"/>
  <c r="R571" i="1"/>
  <c r="R463" i="1"/>
  <c r="R355" i="1"/>
  <c r="R247" i="1"/>
  <c r="R120" i="1"/>
  <c r="R798" i="1"/>
  <c r="R690" i="1"/>
  <c r="R594" i="1"/>
  <c r="R486" i="1"/>
  <c r="R378" i="1"/>
  <c r="R318" i="1"/>
  <c r="R258" i="1"/>
  <c r="R182" i="1"/>
  <c r="R46" i="1"/>
  <c r="R737" i="1"/>
  <c r="R653" i="1"/>
  <c r="R569" i="1"/>
  <c r="R521" i="1"/>
  <c r="R437" i="1"/>
  <c r="R365" i="1"/>
  <c r="R317" i="1"/>
  <c r="R257" i="1"/>
  <c r="R44" i="1"/>
  <c r="R783" i="1"/>
  <c r="R723" i="1"/>
  <c r="R651" i="1"/>
  <c r="R579" i="1"/>
  <c r="R519" i="1"/>
  <c r="R459" i="1"/>
  <c r="R375" i="1"/>
  <c r="R267" i="1"/>
  <c r="R793" i="1"/>
  <c r="R781" i="1"/>
  <c r="R769" i="1"/>
  <c r="R757" i="1"/>
  <c r="R745" i="1"/>
  <c r="R733" i="1"/>
  <c r="R721" i="1"/>
  <c r="R709" i="1"/>
  <c r="R697" i="1"/>
  <c r="R685" i="1"/>
  <c r="R673" i="1"/>
  <c r="R661" i="1"/>
  <c r="R649" i="1"/>
  <c r="R637" i="1"/>
  <c r="R625" i="1"/>
  <c r="R613" i="1"/>
  <c r="R601" i="1"/>
  <c r="R589" i="1"/>
  <c r="R577" i="1"/>
  <c r="R565" i="1"/>
  <c r="R553" i="1"/>
  <c r="R541" i="1"/>
  <c r="R529" i="1"/>
  <c r="R517" i="1"/>
  <c r="R505" i="1"/>
  <c r="R493" i="1"/>
  <c r="R481" i="1"/>
  <c r="R469" i="1"/>
  <c r="R457" i="1"/>
  <c r="R445" i="1"/>
  <c r="R433" i="1"/>
  <c r="R421" i="1"/>
  <c r="R409" i="1"/>
  <c r="R397" i="1"/>
  <c r="R385" i="1"/>
  <c r="R373" i="1"/>
  <c r="R361" i="1"/>
  <c r="R349" i="1"/>
  <c r="R337" i="1"/>
  <c r="R325" i="1"/>
  <c r="R313" i="1"/>
  <c r="R301" i="1"/>
  <c r="R289" i="1"/>
  <c r="R277" i="1"/>
  <c r="R265" i="1"/>
  <c r="R253" i="1"/>
  <c r="R241" i="1"/>
  <c r="R229" i="1"/>
  <c r="R216" i="1"/>
  <c r="R203" i="1"/>
  <c r="R190" i="1"/>
  <c r="R156" i="1"/>
  <c r="R132" i="1"/>
  <c r="R108" i="1"/>
  <c r="R84" i="1"/>
  <c r="R60" i="1"/>
  <c r="R36" i="1"/>
  <c r="R12" i="1"/>
  <c r="R416" i="1"/>
  <c r="R787" i="1"/>
  <c r="R691" i="1"/>
  <c r="R583" i="1"/>
  <c r="R475" i="1"/>
  <c r="R367" i="1"/>
  <c r="R235" i="1"/>
  <c r="R96" i="1"/>
  <c r="R786" i="1"/>
  <c r="R678" i="1"/>
  <c r="R570" i="1"/>
  <c r="R426" i="1"/>
  <c r="R221" i="1"/>
  <c r="R785" i="1"/>
  <c r="R689" i="1"/>
  <c r="R593" i="1"/>
  <c r="R461" i="1"/>
  <c r="R164" i="1"/>
  <c r="R735" i="1"/>
  <c r="R663" i="1"/>
  <c r="R603" i="1"/>
  <c r="R543" i="1"/>
  <c r="R483" i="1"/>
  <c r="R435" i="1"/>
  <c r="R399" i="1"/>
  <c r="R339" i="1"/>
  <c r="R255" i="1"/>
  <c r="R64" i="1"/>
  <c r="R792" i="1"/>
  <c r="R780" i="1"/>
  <c r="R768" i="1"/>
  <c r="R756" i="1"/>
  <c r="R744" i="1"/>
  <c r="R732" i="1"/>
  <c r="R720" i="1"/>
  <c r="R708" i="1"/>
  <c r="R696" i="1"/>
  <c r="R684" i="1"/>
  <c r="R672" i="1"/>
  <c r="R660" i="1"/>
  <c r="R648" i="1"/>
  <c r="R636" i="1"/>
  <c r="R624" i="1"/>
  <c r="R612" i="1"/>
  <c r="R600" i="1"/>
  <c r="R588" i="1"/>
  <c r="R576" i="1"/>
  <c r="R564" i="1"/>
  <c r="R552" i="1"/>
  <c r="R540" i="1"/>
  <c r="R528" i="1"/>
  <c r="R516" i="1"/>
  <c r="R504" i="1"/>
  <c r="R492" i="1"/>
  <c r="R480" i="1"/>
  <c r="R468" i="1"/>
  <c r="R456" i="1"/>
  <c r="R444" i="1"/>
  <c r="R432" i="1"/>
  <c r="R420" i="1"/>
  <c r="R408" i="1"/>
  <c r="R396" i="1"/>
  <c r="R384" i="1"/>
  <c r="R372" i="1"/>
  <c r="R360" i="1"/>
  <c r="R348" i="1"/>
  <c r="R336" i="1"/>
  <c r="R324" i="1"/>
  <c r="R312" i="1"/>
  <c r="R300" i="1"/>
  <c r="R288" i="1"/>
  <c r="R276" i="1"/>
  <c r="R264" i="1"/>
  <c r="R252" i="1"/>
  <c r="R240" i="1"/>
  <c r="R228" i="1"/>
  <c r="R215" i="1"/>
  <c r="R202" i="1"/>
  <c r="R176" i="1"/>
  <c r="R154" i="1"/>
  <c r="R130" i="1"/>
  <c r="R106" i="1"/>
  <c r="R82" i="1"/>
  <c r="R58" i="1"/>
  <c r="R34" i="1"/>
  <c r="R10" i="1"/>
  <c r="R704" i="1"/>
  <c r="R632" i="1"/>
  <c r="R512" i="1"/>
  <c r="R380" i="1"/>
  <c r="R260" i="1"/>
  <c r="R98" i="1"/>
  <c r="R57" i="1"/>
  <c r="R703" i="1"/>
  <c r="R595" i="1"/>
  <c r="R523" i="1"/>
  <c r="R403" i="1"/>
  <c r="R259" i="1"/>
  <c r="R72" i="1"/>
  <c r="R738" i="1"/>
  <c r="R450" i="1"/>
  <c r="R605" i="1"/>
  <c r="R233" i="1"/>
  <c r="R747" i="1"/>
  <c r="R675" i="1"/>
  <c r="R615" i="1"/>
  <c r="R531" i="1"/>
  <c r="R471" i="1"/>
  <c r="R411" i="1"/>
  <c r="R303" i="1"/>
  <c r="R16" i="1"/>
  <c r="R791" i="1"/>
  <c r="R779" i="1"/>
  <c r="R767" i="1"/>
  <c r="R755" i="1"/>
  <c r="R743" i="1"/>
  <c r="R731" i="1"/>
  <c r="R719" i="1"/>
  <c r="R707" i="1"/>
  <c r="R695" i="1"/>
  <c r="R683" i="1"/>
  <c r="R671" i="1"/>
  <c r="R659" i="1"/>
  <c r="R647" i="1"/>
  <c r="R635" i="1"/>
  <c r="R623" i="1"/>
  <c r="R611" i="1"/>
  <c r="R599" i="1"/>
  <c r="R587" i="1"/>
  <c r="R575" i="1"/>
  <c r="R563" i="1"/>
  <c r="R551" i="1"/>
  <c r="R539" i="1"/>
  <c r="R527" i="1"/>
  <c r="R515" i="1"/>
  <c r="R503" i="1"/>
  <c r="R491" i="1"/>
  <c r="R479" i="1"/>
  <c r="R467" i="1"/>
  <c r="R455" i="1"/>
  <c r="R443" i="1"/>
  <c r="R431" i="1"/>
  <c r="R419" i="1"/>
  <c r="R407" i="1"/>
  <c r="R395" i="1"/>
  <c r="R383" i="1"/>
  <c r="R371" i="1"/>
  <c r="R359" i="1"/>
  <c r="R347" i="1"/>
  <c r="R335" i="1"/>
  <c r="R323" i="1"/>
  <c r="R311" i="1"/>
  <c r="R299" i="1"/>
  <c r="R287" i="1"/>
  <c r="R275" i="1"/>
  <c r="R263" i="1"/>
  <c r="R251" i="1"/>
  <c r="R239" i="1"/>
  <c r="R227" i="1"/>
  <c r="R214" i="1"/>
  <c r="R188" i="1"/>
  <c r="R175" i="1"/>
  <c r="R800" i="1"/>
  <c r="R692" i="1"/>
  <c r="R596" i="1"/>
  <c r="R500" i="1"/>
  <c r="R392" i="1"/>
  <c r="R308" i="1"/>
  <c r="R224" i="1"/>
  <c r="R50" i="1"/>
  <c r="R165" i="1"/>
  <c r="R81" i="1"/>
  <c r="R763" i="1"/>
  <c r="R643" i="1"/>
  <c r="R535" i="1"/>
  <c r="R427" i="1"/>
  <c r="R307" i="1"/>
  <c r="R183" i="1"/>
  <c r="R726" i="1"/>
  <c r="R630" i="1"/>
  <c r="R546" i="1"/>
  <c r="R462" i="1"/>
  <c r="R354" i="1"/>
  <c r="R306" i="1"/>
  <c r="R195" i="1"/>
  <c r="R70" i="1"/>
  <c r="R773" i="1"/>
  <c r="R665" i="1"/>
  <c r="R581" i="1"/>
  <c r="R509" i="1"/>
  <c r="R377" i="1"/>
  <c r="R293" i="1"/>
  <c r="R759" i="1"/>
  <c r="R711" i="1"/>
  <c r="R639" i="1"/>
  <c r="R591" i="1"/>
  <c r="R495" i="1"/>
  <c r="R423" i="1"/>
  <c r="R363" i="1"/>
  <c r="R315" i="1"/>
  <c r="R231" i="1"/>
  <c r="R454" i="1"/>
  <c r="R442" i="1"/>
  <c r="R430" i="1"/>
  <c r="R418" i="1"/>
  <c r="R406" i="1"/>
  <c r="R394" i="1"/>
  <c r="R382" i="1"/>
  <c r="R370" i="1"/>
  <c r="R358" i="1"/>
  <c r="R346" i="1"/>
  <c r="R334" i="1"/>
  <c r="R322" i="1"/>
  <c r="R310" i="1"/>
  <c r="R298" i="1"/>
  <c r="R286" i="1"/>
  <c r="R274" i="1"/>
  <c r="R262" i="1"/>
  <c r="R250" i="1"/>
  <c r="R238" i="1"/>
  <c r="R226" i="1"/>
  <c r="R200" i="1"/>
  <c r="R187" i="1"/>
  <c r="R173" i="1"/>
  <c r="R6" i="1"/>
  <c r="R155" i="1"/>
  <c r="R131" i="1"/>
  <c r="R107" i="1"/>
  <c r="R83" i="1"/>
  <c r="R59" i="1"/>
  <c r="R35" i="1"/>
  <c r="R11" i="1"/>
  <c r="R127" i="1"/>
  <c r="R103" i="1"/>
  <c r="R55" i="1"/>
  <c r="R31" i="1"/>
  <c r="R149" i="1"/>
  <c r="R125" i="1"/>
  <c r="R101" i="1"/>
  <c r="R77" i="1"/>
  <c r="R53" i="1"/>
  <c r="R29" i="1"/>
  <c r="R5" i="1"/>
  <c r="R171" i="1"/>
  <c r="R147" i="1"/>
  <c r="R123" i="1"/>
  <c r="R99" i="1"/>
  <c r="R75" i="1"/>
  <c r="R51" i="1"/>
  <c r="R27" i="1"/>
  <c r="R3" i="1"/>
  <c r="R167" i="1"/>
  <c r="R143" i="1"/>
  <c r="R119" i="1"/>
  <c r="R95" i="1"/>
  <c r="R71" i="1"/>
  <c r="R47" i="1"/>
  <c r="R23" i="1"/>
  <c r="R163" i="1"/>
  <c r="R91" i="1"/>
  <c r="R19" i="1"/>
  <c r="R161" i="1"/>
  <c r="R137" i="1"/>
  <c r="R113" i="1"/>
  <c r="R89" i="1"/>
  <c r="R65" i="1"/>
  <c r="R41" i="1"/>
  <c r="R17" i="1"/>
  <c r="R169" i="1"/>
  <c r="R157" i="1"/>
  <c r="R145" i="1"/>
  <c r="R133" i="1"/>
  <c r="R121" i="1"/>
  <c r="R109" i="1"/>
  <c r="R97" i="1"/>
  <c r="R85" i="1"/>
  <c r="R73" i="1"/>
  <c r="R61" i="1"/>
  <c r="R49" i="1"/>
  <c r="R37" i="1"/>
  <c r="R25" i="1"/>
  <c r="R13" i="1"/>
  <c r="R2" i="1"/>
  <c r="R159" i="1"/>
  <c r="R135" i="1"/>
  <c r="R111" i="1"/>
  <c r="R87" i="1"/>
  <c r="R63" i="1"/>
  <c r="R39" i="1"/>
  <c r="R15" i="1"/>
  <c r="R152" i="1"/>
  <c r="R128" i="1"/>
  <c r="R104" i="1"/>
  <c r="R80" i="1"/>
  <c r="R56" i="1"/>
  <c r="R32" i="1"/>
  <c r="R8" i="1"/>
</calcChain>
</file>

<file path=xl/sharedStrings.xml><?xml version="1.0" encoding="utf-8"?>
<sst xmlns="http://schemas.openxmlformats.org/spreadsheetml/2006/main" count="10582" uniqueCount="2311">
  <si>
    <t>Order ID</t>
  </si>
  <si>
    <t>Year</t>
  </si>
  <si>
    <t>Order Date</t>
  </si>
  <si>
    <t>Customer Name</t>
  </si>
  <si>
    <t>Customer ID</t>
  </si>
  <si>
    <t>Mobile No</t>
  </si>
  <si>
    <t>Country</t>
  </si>
  <si>
    <t>City</t>
  </si>
  <si>
    <t>State</t>
  </si>
  <si>
    <t>Region</t>
  </si>
  <si>
    <t>Product Name</t>
  </si>
  <si>
    <t>Product Category</t>
  </si>
  <si>
    <t>Brand</t>
  </si>
  <si>
    <t>Quantity Ordered</t>
  </si>
  <si>
    <t>Unit Price</t>
  </si>
  <si>
    <t>Discount %</t>
  </si>
  <si>
    <t>Payment Mode</t>
  </si>
  <si>
    <t>Order Status</t>
  </si>
  <si>
    <t>Delivery Date</t>
  </si>
  <si>
    <t>Profit</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</si>
  <si>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</si>
  <si>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</si>
  <si>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</si>
  <si>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</si>
  <si>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</si>
  <si>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</si>
  <si>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</si>
  <si>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</si>
  <si>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</si>
  <si>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</si>
  <si>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</si>
  <si>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</si>
  <si>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</si>
  <si>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</si>
  <si>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</si>
  <si>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</si>
  <si>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</si>
  <si>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</si>
  <si>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</si>
  <si>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</si>
  <si>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</si>
  <si>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</si>
  <si>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</si>
  <si>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</si>
  <si>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</si>
  <si>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</si>
  <si>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</si>
  <si>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</si>
  <si>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</si>
  <si>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</si>
  <si>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</si>
  <si>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</si>
  <si>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</si>
  <si>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</si>
  <si>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</si>
  <si>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</si>
  <si>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</si>
  <si>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</si>
  <si>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</si>
  <si>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</si>
  <si>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</si>
  <si>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</si>
  <si>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</si>
  <si>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</si>
  <si>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</si>
  <si>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</si>
  <si>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</si>
  <si>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</si>
  <si>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</si>
  <si>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</si>
  <si>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</si>
  <si>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</si>
  <si>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</si>
  <si>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</si>
  <si>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</si>
  <si>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</si>
  <si>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</si>
  <si>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</si>
  <si>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</si>
  <si>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</si>
  <si>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</si>
  <si>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</si>
  <si>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</si>
  <si>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</si>
  <si>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</si>
  <si>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</si>
  <si>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</si>
  <si>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</si>
  <si>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</si>
  <si>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</si>
  <si>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</si>
  <si>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</si>
  <si>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</si>
  <si>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</si>
  <si>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</si>
  <si>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</si>
  <si>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</si>
  <si>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</si>
  <si>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</si>
  <si>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</si>
  <si>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</si>
  <si>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</si>
  <si>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</si>
  <si>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</si>
  <si>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</si>
  <si>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</si>
  <si>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</si>
  <si>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</si>
  <si>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</si>
  <si>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</si>
  <si>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</si>
  <si>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</si>
  <si>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</si>
  <si>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</si>
  <si>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</si>
  <si>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</si>
  <si>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</si>
  <si>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</si>
  <si>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</si>
  <si>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</si>
  <si>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</si>
  <si>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</si>
  <si>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</si>
  <si>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</si>
  <si>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</si>
  <si>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</si>
  <si>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</si>
  <si>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</si>
  <si>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</si>
  <si>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</si>
  <si>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</si>
  <si>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</si>
  <si>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</si>
  <si>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</si>
  <si>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</si>
  <si>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</si>
  <si>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</si>
  <si>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</si>
  <si>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</si>
  <si>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</si>
  <si>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</si>
  <si>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</si>
  <si>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</si>
  <si>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</si>
  <si>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</si>
  <si>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</si>
  <si>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</si>
  <si>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</si>
  <si>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</si>
  <si>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</si>
  <si>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</si>
  <si>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</si>
  <si>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</si>
  <si>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</si>
  <si>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</si>
  <si>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</si>
  <si>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</si>
  <si>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</si>
  <si>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</si>
  <si>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</si>
  <si>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</si>
  <si>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</si>
  <si>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</si>
  <si>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</si>
  <si>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</si>
  <si>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</si>
  <si>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</si>
  <si>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</si>
  <si>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</si>
  <si>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</si>
  <si>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</si>
  <si>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</si>
  <si>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</si>
  <si>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</si>
  <si>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</si>
  <si>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</si>
  <si>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</si>
  <si>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</si>
  <si>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</si>
  <si>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</si>
  <si>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</si>
  <si>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</si>
  <si>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</si>
  <si>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</si>
  <si>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</si>
  <si>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</si>
  <si>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</si>
  <si>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</si>
  <si>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</si>
  <si>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</si>
  <si>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</si>
  <si>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</si>
  <si>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</si>
  <si>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</si>
  <si>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</si>
  <si>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</si>
  <si>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</si>
  <si>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</si>
  <si>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</si>
  <si>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</si>
  <si>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</si>
  <si>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</si>
  <si>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</si>
  <si>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</si>
  <si>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</si>
  <si>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</si>
  <si>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</si>
  <si>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</si>
  <si>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</si>
  <si>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</si>
  <si>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</si>
  <si>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</si>
  <si>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</si>
  <si>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</si>
  <si>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</si>
  <si>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</si>
  <si>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</si>
  <si>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</si>
  <si>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</si>
  <si>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</si>
  <si>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</si>
  <si>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</si>
  <si>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</si>
  <si>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</si>
  <si>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</si>
  <si>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</si>
  <si>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</si>
  <si>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</si>
  <si>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</si>
  <si>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</si>
  <si>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</si>
  <si>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</si>
  <si>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</si>
  <si>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</si>
  <si>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</si>
  <si>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</si>
  <si>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</si>
  <si>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</si>
  <si>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</si>
  <si>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</si>
  <si>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</si>
  <si>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</si>
  <si>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</si>
  <si>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</si>
  <si>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</si>
  <si>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</si>
  <si>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</si>
  <si>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</si>
  <si>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</si>
  <si>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</si>
  <si>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</si>
  <si>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</si>
  <si>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</si>
  <si>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</si>
  <si>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</si>
  <si>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</si>
  <si>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</si>
  <si>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</si>
  <si>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</si>
  <si>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</si>
  <si>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</si>
  <si>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</si>
  <si>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</si>
  <si>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</si>
  <si>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</si>
  <si>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</si>
  <si>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</si>
  <si>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</si>
  <si>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</si>
  <si>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</si>
  <si>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</si>
  <si>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</si>
  <si>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</si>
  <si>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</si>
  <si>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</si>
  <si>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</si>
  <si>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</si>
  <si>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</si>
  <si>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</si>
  <si>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</si>
  <si>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</si>
  <si>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</si>
  <si>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</si>
  <si>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</si>
  <si>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</si>
  <si>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</si>
  <si>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</si>
  <si>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</si>
  <si>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</si>
  <si>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</si>
  <si>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</si>
  <si>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</si>
  <si>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</si>
  <si>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</si>
  <si>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</si>
  <si>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</si>
  <si>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</si>
  <si>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</si>
  <si>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</si>
  <si>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</si>
  <si>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</si>
  <si>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</si>
  <si>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</si>
  <si>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</si>
  <si>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</si>
  <si>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</si>
  <si>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</si>
  <si>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</si>
  <si>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</si>
  <si>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</si>
  <si>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</si>
  <si>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</si>
  <si>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</si>
  <si>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</si>
  <si>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</si>
  <si>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</si>
  <si>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</si>
  <si>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</si>
  <si>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</si>
  <si>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</si>
  <si>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</si>
  <si>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</si>
  <si>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</si>
  <si>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</si>
  <si>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</si>
  <si>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</si>
  <si>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</si>
  <si>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</si>
  <si>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</si>
  <si>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</si>
  <si>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</si>
  <si>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</si>
  <si>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</si>
  <si>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</si>
  <si>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</si>
  <si>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</si>
  <si>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</si>
  <si>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</si>
  <si>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</si>
  <si>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</si>
  <si>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</si>
  <si>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</si>
  <si>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</si>
  <si>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</si>
  <si>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</si>
  <si>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</si>
  <si>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</si>
  <si>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</si>
  <si>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</si>
  <si>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</si>
  <si>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</si>
  <si>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</si>
  <si>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</si>
  <si>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</si>
  <si>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</si>
  <si>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</si>
  <si>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</si>
  <si>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</si>
  <si>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</si>
  <si>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</si>
  <si>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</si>
  <si>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</si>
  <si>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</si>
  <si>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</si>
  <si>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</si>
  <si>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</si>
  <si>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</si>
  <si>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</si>
  <si>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</si>
  <si>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</si>
  <si>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</si>
  <si>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</si>
  <si>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</si>
  <si>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</si>
  <si>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</si>
  <si>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</si>
  <si>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</si>
  <si>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</si>
  <si>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</si>
  <si>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</si>
  <si>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</si>
  <si>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</si>
  <si>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</si>
  <si>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</si>
  <si>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</si>
  <si>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</si>
  <si>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</si>
  <si>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</si>
  <si>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</si>
  <si>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</si>
  <si>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</si>
  <si>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</si>
  <si>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</si>
  <si>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</si>
  <si>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</si>
  <si>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</si>
  <si>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</si>
  <si>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</si>
  <si>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</si>
  <si>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</si>
  <si>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</si>
  <si>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</si>
  <si>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</si>
  <si>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</si>
  <si>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</si>
  <si>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</si>
  <si>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</si>
  <si>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</si>
  <si>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</si>
  <si>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</si>
  <si>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</si>
  <si>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</si>
  <si>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</si>
  <si>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</si>
  <si>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</si>
  <si>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</si>
  <si>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</si>
  <si>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</si>
  <si>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</si>
  <si>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</si>
  <si>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</si>
  <si>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</si>
  <si>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</si>
  <si>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</si>
  <si>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</si>
  <si>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</si>
  <si>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</si>
  <si>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</si>
  <si>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</si>
  <si>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</si>
  <si>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</si>
  <si>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</si>
  <si>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</si>
  <si>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</si>
  <si>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</si>
  <si>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</si>
  <si>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</si>
  <si>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</si>
  <si>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</si>
  <si>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</si>
  <si>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</si>
  <si>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</si>
  <si>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</si>
  <si>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</si>
  <si>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</si>
  <si>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</si>
  <si>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</si>
  <si>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</si>
  <si>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</si>
  <si>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</si>
  <si>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</si>
  <si>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</si>
  <si>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</si>
  <si>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</si>
  <si>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</si>
  <si>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</si>
  <si>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</si>
  <si>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</si>
  <si>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</si>
  <si>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</si>
  <si>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</si>
  <si>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</si>
  <si>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</si>
  <si>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</si>
  <si>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</si>
  <si>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</si>
  <si>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</si>
  <si>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</si>
  <si>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</si>
  <si>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</si>
  <si>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</si>
  <si>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</si>
  <si>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</si>
  <si>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</si>
  <si>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</si>
  <si>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</si>
  <si>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</si>
  <si>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</si>
  <si>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</si>
  <si>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</si>
  <si>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</si>
  <si>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</si>
  <si>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</si>
  <si>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</si>
  <si>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</si>
  <si>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</si>
  <si>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</si>
  <si>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</si>
  <si>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</si>
  <si>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</si>
  <si>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</si>
  <si>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</si>
  <si>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</si>
  <si>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</si>
  <si>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</si>
  <si>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</si>
  <si>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</si>
  <si>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</si>
  <si>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</si>
  <si>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</si>
  <si>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</si>
  <si>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</si>
  <si>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</si>
  <si>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</si>
  <si>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</si>
  <si>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</si>
  <si>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</si>
  <si>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</si>
  <si>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</si>
  <si>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</si>
  <si>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</si>
  <si>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</si>
  <si>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</si>
  <si>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</si>
  <si>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</si>
  <si>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</si>
  <si>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</si>
  <si>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</si>
  <si>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</si>
  <si>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</si>
  <si>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</si>
  <si>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</si>
  <si>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</si>
  <si>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</si>
  <si>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</si>
  <si>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</si>
  <si>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</si>
  <si>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</si>
  <si>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</si>
  <si>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</si>
  <si>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</si>
  <si>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</si>
  <si>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</si>
  <si>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</si>
  <si>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</si>
  <si>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</si>
  <si>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</si>
  <si>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</si>
  <si>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</si>
  <si>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</si>
  <si>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</si>
  <si>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</si>
  <si>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</si>
  <si>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</si>
  <si>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</si>
  <si>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</si>
  <si>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</si>
  <si>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</si>
  <si>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</si>
  <si>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</si>
  <si>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</si>
  <si>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</si>
  <si>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</si>
  <si>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</si>
  <si>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</si>
  <si>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</si>
  <si>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</si>
  <si>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</si>
  <si>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</si>
  <si>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</si>
  <si>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</si>
  <si>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</si>
  <si>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</si>
  <si>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</si>
  <si>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</si>
  <si>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</si>
  <si>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</si>
  <si>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</si>
  <si>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</si>
  <si>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</si>
  <si>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</si>
  <si>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</si>
  <si>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</si>
  <si>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</si>
  <si>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</si>
  <si>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</si>
  <si>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</si>
  <si>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</si>
  <si>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</si>
  <si>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</si>
  <si>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</si>
  <si>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</si>
  <si>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</si>
  <si>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</si>
  <si>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</si>
  <si>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</si>
  <si>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</si>
  <si>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</si>
  <si>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</si>
  <si>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</si>
  <si>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</si>
  <si>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</si>
  <si>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</si>
  <si>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</si>
  <si>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</si>
  <si>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</si>
  <si>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</si>
  <si>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</si>
  <si>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</si>
  <si>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</si>
  <si>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</si>
  <si>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</si>
  <si>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</si>
  <si>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</si>
  <si>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</si>
  <si>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</si>
  <si>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</si>
  <si>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</si>
  <si>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</si>
  <si>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</si>
  <si>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</si>
  <si>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</si>
  <si>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</si>
  <si>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</si>
  <si>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</si>
  <si>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</si>
  <si>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</si>
  <si>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</si>
  <si>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</si>
  <si>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</si>
  <si>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</si>
  <si>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</si>
  <si>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</si>
  <si>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</si>
  <si>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</si>
  <si>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</si>
  <si>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</si>
  <si>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</si>
  <si>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</si>
  <si>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</si>
  <si>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</si>
  <si>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</si>
  <si>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</si>
  <si>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</si>
  <si>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</si>
  <si>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</si>
  <si>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</si>
  <si>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</si>
  <si>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</si>
  <si>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</si>
  <si>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</si>
  <si>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</si>
  <si>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</si>
  <si>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</si>
  <si>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</si>
  <si>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</si>
  <si>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</si>
  <si>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</si>
  <si>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</si>
  <si>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</si>
  <si>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</si>
  <si>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</si>
  <si>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</si>
  <si>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</si>
  <si>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</si>
  <si>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</si>
  <si>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</si>
  <si>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</si>
  <si>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</si>
  <si>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</si>
  <si>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</si>
  <si>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</si>
  <si>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</si>
  <si>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</si>
  <si>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</si>
  <si>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</si>
  <si>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</si>
  <si>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</si>
  <si>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</si>
  <si>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</si>
  <si>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</si>
  <si>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</si>
  <si>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</si>
  <si>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</si>
  <si>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</si>
  <si>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</si>
  <si>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</si>
  <si>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</si>
  <si>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</si>
  <si>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</si>
  <si>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</si>
  <si>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</si>
  <si>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</si>
  <si>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</si>
  <si>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</si>
  <si>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</si>
  <si>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</si>
  <si>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</si>
  <si>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</si>
  <si>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</si>
  <si>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</si>
  <si>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</si>
  <si>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</si>
  <si>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</si>
  <si>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</si>
  <si>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</si>
  <si>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</si>
  <si>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</si>
  <si>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</si>
  <si>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</si>
  <si>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</si>
  <si>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</si>
  <si>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</si>
  <si>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</si>
  <si>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</si>
  <si>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</si>
  <si>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</si>
  <si>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</si>
  <si>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</si>
  <si>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</si>
  <si>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</si>
  <si>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</si>
  <si>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</si>
  <si>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</si>
  <si>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</si>
  <si>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</si>
  <si>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</si>
  <si>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</si>
  <si>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</si>
  <si>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</si>
  <si>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</si>
  <si>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</si>
  <si>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</si>
  <si>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</si>
  <si>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</si>
  <si>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</si>
  <si>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</si>
  <si>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</si>
  <si>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</si>
  <si>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</si>
  <si>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</si>
  <si>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</si>
  <si>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</si>
  <si>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</si>
  <si>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</si>
  <si>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</si>
  <si>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</si>
  <si>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</si>
  <si>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</si>
  <si>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</si>
  <si>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</si>
  <si>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</si>
  <si>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</si>
  <si>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</si>
  <si>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</si>
  <si>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</si>
  <si>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</si>
  <si>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</si>
  <si>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</si>
  <si>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</si>
  <si>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</si>
  <si>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</si>
  <si>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</si>
  <si>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</si>
  <si>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</si>
  <si>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</si>
  <si>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</si>
  <si>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</si>
  <si>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</si>
  <si>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</si>
  <si>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</si>
  <si>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</si>
  <si>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</si>
  <si>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</si>
  <si>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</si>
  <si>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</si>
  <si>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</si>
  <si>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</si>
  <si>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</si>
  <si>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</si>
  <si>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</si>
  <si>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</si>
  <si>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</si>
  <si>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</si>
  <si>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</si>
  <si>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</si>
  <si>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</si>
  <si>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</si>
  <si>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</si>
  <si>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</si>
  <si>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</si>
  <si>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</si>
  <si>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</si>
  <si>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</si>
  <si>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</si>
  <si>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</si>
  <si>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</si>
  <si>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</si>
  <si>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</si>
  <si>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</si>
  <si>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</si>
  <si>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</si>
  <si>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</si>
  <si>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</si>
  <si>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</si>
  <si>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</si>
  <si>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</si>
  <si>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</si>
  <si>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</si>
  <si>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</si>
  <si>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</si>
  <si>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</si>
  <si>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</si>
  <si>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</si>
  <si>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</si>
  <si>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</si>
  <si>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</si>
  <si>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</si>
  <si>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</si>
  <si>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</si>
  <si>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</si>
  <si>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</si>
  <si>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</si>
  <si>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</si>
  <si>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</si>
  <si>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</si>
  <si>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</si>
  <si>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</si>
  <si>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</si>
  <si>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</si>
  <si>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Amit Sharma</t>
  </si>
  <si>
    <t>Ravi Kumar</t>
  </si>
  <si>
    <t>Vikram Joshi</t>
  </si>
  <si>
    <t>Meera Nair</t>
  </si>
  <si>
    <t>Pooja Reddy</t>
  </si>
  <si>
    <t>Sanya Mehra</t>
  </si>
  <si>
    <t>Priya Singh</t>
  </si>
  <si>
    <t>Arjun Verma</t>
  </si>
  <si>
    <t>Karan Gupta</t>
  </si>
  <si>
    <t>Neha Patel</t>
  </si>
  <si>
    <t>CUST353</t>
  </si>
  <si>
    <t>CUST812</t>
  </si>
  <si>
    <t>CUST285</t>
  </si>
  <si>
    <t>CUST656</t>
  </si>
  <si>
    <t>CUST299</t>
  </si>
  <si>
    <t>CUST152</t>
  </si>
  <si>
    <t>CUST153</t>
  </si>
  <si>
    <t>CUST600</t>
  </si>
  <si>
    <t>CUST676</t>
  </si>
  <si>
    <t>CUST112</t>
  </si>
  <si>
    <t>CUST120</t>
  </si>
  <si>
    <t>CUST448</t>
  </si>
  <si>
    <t>CUST916</t>
  </si>
  <si>
    <t>CUST788</t>
  </si>
  <si>
    <t>CUST962</t>
  </si>
  <si>
    <t>CUST814</t>
  </si>
  <si>
    <t>CUST752</t>
  </si>
  <si>
    <t>CUST484</t>
  </si>
  <si>
    <t>CUST919</t>
  </si>
  <si>
    <t>CUST546</t>
  </si>
  <si>
    <t>CUST645</t>
  </si>
  <si>
    <t>CUST494</t>
  </si>
  <si>
    <t>CUST602</t>
  </si>
  <si>
    <t>CUST899</t>
  </si>
  <si>
    <t>CUST366</t>
  </si>
  <si>
    <t>CUST662</t>
  </si>
  <si>
    <t>CUST351</t>
  </si>
  <si>
    <t>CUST435</t>
  </si>
  <si>
    <t>CUST324</t>
  </si>
  <si>
    <t>CUST718</t>
  </si>
  <si>
    <t>CUST736</t>
  </si>
  <si>
    <t>CUST277</t>
  </si>
  <si>
    <t>CUST517</t>
  </si>
  <si>
    <t>CUST850</t>
  </si>
  <si>
    <t>CUST219</t>
  </si>
  <si>
    <t>CUST867</t>
  </si>
  <si>
    <t>CUST818</t>
  </si>
  <si>
    <t>CUST476</t>
  </si>
  <si>
    <t>CUST592</t>
  </si>
  <si>
    <t>CUST580</t>
  </si>
  <si>
    <t>CUST846</t>
  </si>
  <si>
    <t>CUST278</t>
  </si>
  <si>
    <t>CUST614</t>
  </si>
  <si>
    <t>CUST640</t>
  </si>
  <si>
    <t>CUST141</t>
  </si>
  <si>
    <t>CUST800</t>
  </si>
  <si>
    <t>CUST586</t>
  </si>
  <si>
    <t>CUST493</t>
  </si>
  <si>
    <t>CUST155</t>
  </si>
  <si>
    <t>CUST920</t>
  </si>
  <si>
    <t>CUST547</t>
  </si>
  <si>
    <t>CUST852</t>
  </si>
  <si>
    <t>CUST609</t>
  </si>
  <si>
    <t>CUST140</t>
  </si>
  <si>
    <t>CUST827</t>
  </si>
  <si>
    <t>CUST668</t>
  </si>
  <si>
    <t>CUST598</t>
  </si>
  <si>
    <t>CUST471</t>
  </si>
  <si>
    <t>CUST666</t>
  </si>
  <si>
    <t>CUST255</t>
  </si>
  <si>
    <t>CUST785</t>
  </si>
  <si>
    <t>CUST849</t>
  </si>
  <si>
    <t>CUST896</t>
  </si>
  <si>
    <t>CUST224</t>
  </si>
  <si>
    <t>CUST591</t>
  </si>
  <si>
    <t>CUST389</t>
  </si>
  <si>
    <t>CUST696</t>
  </si>
  <si>
    <t>CUST513</t>
  </si>
  <si>
    <t>CUST857</t>
  </si>
  <si>
    <t>CUST957</t>
  </si>
  <si>
    <t>CUST402</t>
  </si>
  <si>
    <t>CUST750</t>
  </si>
  <si>
    <t>CUST503</t>
  </si>
  <si>
    <t>CUST447</t>
  </si>
  <si>
    <t>CUST954</t>
  </si>
  <si>
    <t>CUST427</t>
  </si>
  <si>
    <t>CUST496</t>
  </si>
  <si>
    <t>CUST130</t>
  </si>
  <si>
    <t>CUST771</t>
  </si>
  <si>
    <t>CUST502</t>
  </si>
  <si>
    <t>CUST803</t>
  </si>
  <si>
    <t>CUST237</t>
  </si>
  <si>
    <t>CUST615</t>
  </si>
  <si>
    <t>CUST103</t>
  </si>
  <si>
    <t>CUST176</t>
  </si>
  <si>
    <t>CUST281</t>
  </si>
  <si>
    <t>CUST127</t>
  </si>
  <si>
    <t>CUST927</t>
  </si>
  <si>
    <t>CUST769</t>
  </si>
  <si>
    <t>CUST571</t>
  </si>
  <si>
    <t>CUST511</t>
  </si>
  <si>
    <t>CUST457</t>
  </si>
  <si>
    <t>CUST832</t>
  </si>
  <si>
    <t>CUST859</t>
  </si>
  <si>
    <t>CUST934</t>
  </si>
  <si>
    <t>CUST253</t>
  </si>
  <si>
    <t>CUST734</t>
  </si>
  <si>
    <t>CUST380</t>
  </si>
  <si>
    <t>CUST594</t>
  </si>
  <si>
    <t>CUST661</t>
  </si>
  <si>
    <t>CUST669</t>
  </si>
  <si>
    <t>CUST843</t>
  </si>
  <si>
    <t>CUST365</t>
  </si>
  <si>
    <t>CUST282</t>
  </si>
  <si>
    <t>CUST765</t>
  </si>
  <si>
    <t>CUST332</t>
  </si>
  <si>
    <t>CUST300</t>
  </si>
  <si>
    <t>CUST686</t>
  </si>
  <si>
    <t>CUST648</t>
  </si>
  <si>
    <t>CUST998</t>
  </si>
  <si>
    <t>CUST139</t>
  </si>
  <si>
    <t>CUST702</t>
  </si>
  <si>
    <t>CUST350</t>
  </si>
  <si>
    <t>CUST455</t>
  </si>
  <si>
    <t>CUST316</t>
  </si>
  <si>
    <t>CUST879</t>
  </si>
  <si>
    <t>CUST116</t>
  </si>
  <si>
    <t>CUST202</t>
  </si>
  <si>
    <t>CUST942</t>
  </si>
  <si>
    <t>CUST551</t>
  </si>
  <si>
    <t>CUST118</t>
  </si>
  <si>
    <t>CUST104</t>
  </si>
  <si>
    <t>CUST423</t>
  </si>
  <si>
    <t>CUST993</t>
  </si>
  <si>
    <t>CUST719</t>
  </si>
  <si>
    <t>CUST650</t>
  </si>
  <si>
    <t>CUST938</t>
  </si>
  <si>
    <t>CUST315</t>
  </si>
  <si>
    <t>CUST722</t>
  </si>
  <si>
    <t>CUST623</t>
  </si>
  <si>
    <t>CUST178</t>
  </si>
  <si>
    <t>CUST888</t>
  </si>
  <si>
    <t>CUST523</t>
  </si>
  <si>
    <t>CUST930</t>
  </si>
  <si>
    <t>CUST188</t>
  </si>
  <si>
    <t>CUST739</t>
  </si>
  <si>
    <t>CUST628</t>
  </si>
  <si>
    <t>CUST287</t>
  </si>
  <si>
    <t>CUST612</t>
  </si>
  <si>
    <t>CUST740</t>
  </si>
  <si>
    <t>CUST480</t>
  </si>
  <si>
    <t>CUST653</t>
  </si>
  <si>
    <t>CUST646</t>
  </si>
  <si>
    <t>CUST167</t>
  </si>
  <si>
    <t>CUST970</t>
  </si>
  <si>
    <t>CUST488</t>
  </si>
  <si>
    <t>CUST449</t>
  </si>
  <si>
    <t>CUST893</t>
  </si>
  <si>
    <t>CUST590</t>
  </si>
  <si>
    <t>CUST618</t>
  </si>
  <si>
    <t>CUST717</t>
  </si>
  <si>
    <t>CUST387</t>
  </si>
  <si>
    <t>CUST102</t>
  </si>
  <si>
    <t>CUST394</t>
  </si>
  <si>
    <t>CUST225</t>
  </si>
  <si>
    <t>CUST725</t>
  </si>
  <si>
    <t>CUST420</t>
  </si>
  <si>
    <t>CUST143</t>
  </si>
  <si>
    <t>CUST436</t>
  </si>
  <si>
    <t>CUST692</t>
  </si>
  <si>
    <t>CUST267</t>
  </si>
  <si>
    <t>CUST797</t>
  </si>
  <si>
    <t>CUST983</t>
  </si>
  <si>
    <t>CUST464</t>
  </si>
  <si>
    <t>CUST608</t>
  </si>
  <si>
    <t>CUST312</t>
  </si>
  <si>
    <t>CUST305</t>
  </si>
  <si>
    <t>CUST500</t>
  </si>
  <si>
    <t>CUST147</t>
  </si>
  <si>
    <t>CUST296</t>
  </si>
  <si>
    <t>CUST616</t>
  </si>
  <si>
    <t>CUST593</t>
  </si>
  <si>
    <t>CUST985</t>
  </si>
  <si>
    <t>CUST909</t>
  </si>
  <si>
    <t>CUST767</t>
  </si>
  <si>
    <t>CUST313</t>
  </si>
  <si>
    <t>CUST912</t>
  </si>
  <si>
    <t>CUST144</t>
  </si>
  <si>
    <t>CUST940</t>
  </si>
  <si>
    <t>CUST492</t>
  </si>
  <si>
    <t>CUST460</t>
  </si>
  <si>
    <t>CUST565</t>
  </si>
  <si>
    <t>CUST160</t>
  </si>
  <si>
    <t>CUST805</t>
  </si>
  <si>
    <t>CUST660</t>
  </si>
  <si>
    <t>CUST759</t>
  </si>
  <si>
    <t>CUST989</t>
  </si>
  <si>
    <t>CUST342</t>
  </si>
  <si>
    <t>CUST833</t>
  </si>
  <si>
    <t>CUST848</t>
  </si>
  <si>
    <t>CUST828</t>
  </si>
  <si>
    <t>CUST138</t>
  </si>
  <si>
    <t>CUST223</t>
  </si>
  <si>
    <t>CUST416</t>
  </si>
  <si>
    <t>CUST601</t>
  </si>
  <si>
    <t>CUST337</t>
  </si>
  <si>
    <t>CUST619</t>
  </si>
  <si>
    <t>CUST869</t>
  </si>
  <si>
    <t>CUST988</t>
  </si>
  <si>
    <t>CUST269</t>
  </si>
  <si>
    <t>CUST508</t>
  </si>
  <si>
    <t>CUST693</t>
  </si>
  <si>
    <t>CUST226</t>
  </si>
  <si>
    <t>CUST999</t>
  </si>
  <si>
    <t>CUST451</t>
  </si>
  <si>
    <t>CUST136</t>
  </si>
  <si>
    <t>CUST691</t>
  </si>
  <si>
    <t>CUST858</t>
  </si>
  <si>
    <t>CUST367</t>
  </si>
  <si>
    <t>CUST528</t>
  </si>
  <si>
    <t>CUST440</t>
  </si>
  <si>
    <t>CUST649</t>
  </si>
  <si>
    <t>CUST163</t>
  </si>
  <si>
    <t>CUST773</t>
  </si>
  <si>
    <t>CUST341</t>
  </si>
  <si>
    <t>CUST711</t>
  </si>
  <si>
    <t>CUST290</t>
  </si>
  <si>
    <t>CUST206</t>
  </si>
  <si>
    <t>CUST195</t>
  </si>
  <si>
    <t>CUST929</t>
  </si>
  <si>
    <t>CUST543</t>
  </si>
  <si>
    <t>CUST728</t>
  </si>
  <si>
    <t>CUST322</t>
  </si>
  <si>
    <t>CUST466</t>
  </si>
  <si>
    <t>CUST634</t>
  </si>
  <si>
    <t>CUST872</t>
  </si>
  <si>
    <t>CUST642</t>
  </si>
  <si>
    <t>CUST795</t>
  </si>
  <si>
    <t>CUST583</t>
  </si>
  <si>
    <t>CUST746</t>
  </si>
  <si>
    <t>CUST169</t>
  </si>
  <si>
    <t>CUST437</t>
  </si>
  <si>
    <t>CUST475</t>
  </si>
  <si>
    <t>CUST129</t>
  </si>
  <si>
    <t>CUST228</t>
  </si>
  <si>
    <t>CUST346</t>
  </si>
  <si>
    <t>CUST215</t>
  </si>
  <si>
    <t>CUST314</t>
  </si>
  <si>
    <t>CUST994</t>
  </si>
  <si>
    <t>CUST976</t>
  </si>
  <si>
    <t>CUST689</t>
  </si>
  <si>
    <t>CUST507</t>
  </si>
  <si>
    <t>CUST604</t>
  </si>
  <si>
    <t>CUST411</t>
  </si>
  <si>
    <t>CUST963</t>
  </si>
  <si>
    <t>CUST777</t>
  </si>
  <si>
    <t>CUST844</t>
  </si>
  <si>
    <t>CUST399</t>
  </si>
  <si>
    <t>CUST732</t>
  </si>
  <si>
    <t>CUST400</t>
  </si>
  <si>
    <t>CUST809</t>
  </si>
  <si>
    <t>CUST553</t>
  </si>
  <si>
    <t>CUST935</t>
  </si>
  <si>
    <t>CUST961</t>
  </si>
  <si>
    <t>CUST473</t>
  </si>
  <si>
    <t>CUST294</t>
  </si>
  <si>
    <t>CUST358</t>
  </si>
  <si>
    <t>CUST236</t>
  </si>
  <si>
    <t>CUST196</t>
  </si>
  <si>
    <t>CUST945</t>
  </si>
  <si>
    <t>CUST573</t>
  </si>
  <si>
    <t>CUST854</t>
  </si>
  <si>
    <t>CUST823</t>
  </si>
  <si>
    <t>CUST624</t>
  </si>
  <si>
    <t>CUST705</t>
  </si>
  <si>
    <t>CUST498</t>
  </si>
  <si>
    <t>CUST824</t>
  </si>
  <si>
    <t>CUST751</t>
  </si>
  <si>
    <t>CUST157</t>
  </si>
  <si>
    <t>CUST159</t>
  </si>
  <si>
    <t>CUST712</t>
  </si>
  <si>
    <t>CUST644</t>
  </si>
  <si>
    <t>CUST113</t>
  </si>
  <si>
    <t>CUST520</t>
  </si>
  <si>
    <t>CUST820</t>
  </si>
  <si>
    <t>CUST674</t>
  </si>
  <si>
    <t>CUST946</t>
  </si>
  <si>
    <t>CUST429</t>
  </si>
  <si>
    <t>CUST637</t>
  </si>
  <si>
    <t>CUST522</t>
  </si>
  <si>
    <t>CUST544</t>
  </si>
  <si>
    <t>CUST978</t>
  </si>
  <si>
    <t>CUST684</t>
  </si>
  <si>
    <t>CUST860</t>
  </si>
  <si>
    <t>CUST941</t>
  </si>
  <si>
    <t>CUST504</t>
  </si>
  <si>
    <t>CUST796</t>
  </si>
  <si>
    <t>CUST768</t>
  </si>
  <si>
    <t>CUST631</t>
  </si>
  <si>
    <t>CUST552</t>
  </si>
  <si>
    <t>CUST863</t>
  </si>
  <si>
    <t>CUST620</t>
  </si>
  <si>
    <t>CUST956</t>
  </si>
  <si>
    <t>CUST906</t>
  </si>
  <si>
    <t>CUST900</t>
  </si>
  <si>
    <t>CUST576</t>
  </si>
  <si>
    <t>CUST246</t>
  </si>
  <si>
    <t>CUST895</t>
  </si>
  <si>
    <t>CUST780</t>
  </si>
  <si>
    <t>CUST841</t>
  </si>
  <si>
    <t>CUST939</t>
  </si>
  <si>
    <t>CUST688</t>
  </si>
  <si>
    <t>CUST882</t>
  </si>
  <si>
    <t>CUST891</t>
  </si>
  <si>
    <t>CUST789</t>
  </si>
  <si>
    <t>CUST419</t>
  </si>
  <si>
    <t>CUST519</t>
  </si>
  <si>
    <t>CUST151</t>
  </si>
  <si>
    <t>CUST678</t>
  </si>
  <si>
    <t>CUST412</t>
  </si>
  <si>
    <t>CUST174</t>
  </si>
  <si>
    <t>CUST996</t>
  </si>
  <si>
    <t>CUST926</t>
  </si>
  <si>
    <t>CUST227</t>
  </si>
  <si>
    <t>CUST231</t>
  </si>
  <si>
    <t>CUST108</t>
  </si>
  <si>
    <t>CUST911</t>
  </si>
  <si>
    <t>CUST659</t>
  </si>
  <si>
    <t>CUST802</t>
  </si>
  <si>
    <t>CUST901</t>
  </si>
  <si>
    <t>CUST531</t>
  </si>
  <si>
    <t>CUST467</t>
  </si>
  <si>
    <t>CUST677</t>
  </si>
  <si>
    <t>CUST683</t>
  </si>
  <si>
    <t>CUST723</t>
  </si>
  <si>
    <t>CUST792</t>
  </si>
  <si>
    <t>CUST434</t>
  </si>
  <si>
    <t>CUST274</t>
  </si>
  <si>
    <t>CUST980</t>
  </si>
  <si>
    <t>CUST126</t>
  </si>
  <si>
    <t>CUST257</t>
  </si>
  <si>
    <t>CUST898</t>
  </si>
  <si>
    <t>CUST704</t>
  </si>
  <si>
    <t>CUST887</t>
  </si>
  <si>
    <t>CUST625</t>
  </si>
  <si>
    <t>CUST572</t>
  </si>
  <si>
    <t>CUST441</t>
  </si>
  <si>
    <t>CUST910</t>
  </si>
  <si>
    <t>CUST428</t>
  </si>
  <si>
    <t>CUST949</t>
  </si>
  <si>
    <t>CUST485</t>
  </si>
  <si>
    <t>CUST525</t>
  </si>
  <si>
    <t>CUST545</t>
  </si>
  <si>
    <t>CUST981</t>
  </si>
  <si>
    <t>CUST589</t>
  </si>
  <si>
    <t>CUST170</t>
  </si>
  <si>
    <t>CUST680</t>
  </si>
  <si>
    <t>CUST588</t>
  </si>
  <si>
    <t>CUST512</t>
  </si>
  <si>
    <t>CUST241</t>
  </si>
  <si>
    <t>CUST885</t>
  </si>
  <si>
    <t>CUST349</t>
  </si>
  <si>
    <t>CUST745</t>
  </si>
  <si>
    <t>CUST286</t>
  </si>
  <si>
    <t>CUST868</t>
  </si>
  <si>
    <t>CUST459</t>
  </si>
  <si>
    <t>CUST221</t>
  </si>
  <si>
    <t>CUST923</t>
  </si>
  <si>
    <t>CUST426</t>
  </si>
  <si>
    <t>CUST398</t>
  </si>
  <si>
    <t>CUST191</t>
  </si>
  <si>
    <t>CUST372</t>
  </si>
  <si>
    <t>CUST335</t>
  </si>
  <si>
    <t>CUST742</t>
  </si>
  <si>
    <t>CUST729</t>
  </si>
  <si>
    <t>CUST404</t>
  </si>
  <si>
    <t>CUST537</t>
  </si>
  <si>
    <t>CUST638</t>
  </si>
  <si>
    <t>CUST292</t>
  </si>
  <si>
    <t>CUST761</t>
  </si>
  <si>
    <t>CUST190</t>
  </si>
  <si>
    <t>CUST156</t>
  </si>
  <si>
    <t>CUST164</t>
  </si>
  <si>
    <t>CUST873</t>
  </si>
  <si>
    <t>CUST465</t>
  </si>
  <si>
    <t>CUST821</t>
  </si>
  <si>
    <t>CUST779</t>
  </si>
  <si>
    <t>CUST181</t>
  </si>
  <si>
    <t>CUST362</t>
  </si>
  <si>
    <t>CUST110</t>
  </si>
  <si>
    <t>CUST866</t>
  </si>
  <si>
    <t>CUST474</t>
  </si>
  <si>
    <t>CUST377</t>
  </si>
  <si>
    <t>CUST518</t>
  </si>
  <si>
    <t>CUST672</t>
  </si>
  <si>
    <t>CUST148</t>
  </si>
  <si>
    <t>CUST254</t>
  </si>
  <si>
    <t>CUST397</t>
  </si>
  <si>
    <t>CUST808</t>
  </si>
  <si>
    <t>CUST123</t>
  </si>
  <si>
    <t>CUST550</t>
  </si>
  <si>
    <t>CUST813</t>
  </si>
  <si>
    <t>CUST422</t>
  </si>
  <si>
    <t>CUST433</t>
  </si>
  <si>
    <t>CUST291</t>
  </si>
  <si>
    <t>CUST418</t>
  </si>
  <si>
    <t>CUST714</t>
  </si>
  <si>
    <t>CUST306</t>
  </si>
  <si>
    <t>CUST487</t>
  </si>
  <si>
    <t>CUST107</t>
  </si>
  <si>
    <t>CUST726</t>
  </si>
  <si>
    <t>CUST690</t>
  </si>
  <si>
    <t>CUST890</t>
  </si>
  <si>
    <t>CUST555</t>
  </si>
  <si>
    <t>CUST577</t>
  </si>
  <si>
    <t>CUST371</t>
  </si>
  <si>
    <t>CUST878</t>
  </si>
  <si>
    <t>CUST233</t>
  </si>
  <si>
    <t>CUST359</t>
  </si>
  <si>
    <t>CUST378</t>
  </si>
  <si>
    <t>CUST320</t>
  </si>
  <si>
    <t>CUST695</t>
  </si>
  <si>
    <t>CUST756</t>
  </si>
  <si>
    <t>CUST951</t>
  </si>
  <si>
    <t>CUST431</t>
  </si>
  <si>
    <t>CUST799</t>
  </si>
  <si>
    <t>CUST472</t>
  </si>
  <si>
    <t>CUST210</t>
  </si>
  <si>
    <t>CUST922</t>
  </si>
  <si>
    <t>CUST532</t>
  </si>
  <si>
    <t>CUST288</t>
  </si>
  <si>
    <t>CUST443</t>
  </si>
  <si>
    <t>CUST497</t>
  </si>
  <si>
    <t>CUST438</t>
  </si>
  <si>
    <t>CUST302</t>
  </si>
  <si>
    <t>CUST921</t>
  </si>
  <si>
    <t>CUST238</t>
  </si>
  <si>
    <t>CUST539</t>
  </si>
  <si>
    <t>CUST856</t>
  </si>
  <si>
    <t>CUST270</t>
  </si>
  <si>
    <t>CUST117</t>
  </si>
  <si>
    <t>CUST984</t>
  </si>
  <si>
    <t>CUST563</t>
  </si>
  <si>
    <t>CUST720</t>
  </si>
  <si>
    <t>CUST357</t>
  </si>
  <si>
    <t>CUST199</t>
  </si>
  <si>
    <t>CUST486</t>
  </si>
  <si>
    <t>CUST673</t>
  </si>
  <si>
    <t>CUST724</t>
  </si>
  <si>
    <t>CUST596</t>
  </si>
  <si>
    <t>CUST880</t>
  </si>
  <si>
    <t>CUST794</t>
  </si>
  <si>
    <t>CUST778</t>
  </si>
  <si>
    <t>CUST937</t>
  </si>
  <si>
    <t>CUST211</t>
  </si>
  <si>
    <t>CUST840</t>
  </si>
  <si>
    <t>CUST414</t>
  </si>
  <si>
    <t>CUST538</t>
  </si>
  <si>
    <t>CUST864</t>
  </si>
  <si>
    <t>CUST364</t>
  </si>
  <si>
    <t>CUST990</t>
  </si>
  <si>
    <t>CUST541</t>
  </si>
  <si>
    <t>CUST242</t>
  </si>
  <si>
    <t>CUST822</t>
  </si>
  <si>
    <t>CUST220</t>
  </si>
  <si>
    <t>CUST406</t>
  </si>
  <si>
    <t>CUST709</t>
  </si>
  <si>
    <t>CUST904</t>
  </si>
  <si>
    <t>CUST425</t>
  </si>
  <si>
    <t>CUST708</t>
  </si>
  <si>
    <t>CUST766</t>
  </si>
  <si>
    <t>CUST825</t>
  </si>
  <si>
    <t>CUST570</t>
  </si>
  <si>
    <t>CUST249</t>
  </si>
  <si>
    <t>CUST469</t>
  </si>
  <si>
    <t>CUST700</t>
  </si>
  <si>
    <t>CUST842</t>
  </si>
  <si>
    <t>CUST636</t>
  </si>
  <si>
    <t>CUST150</t>
  </si>
  <si>
    <t>CUST239</t>
  </si>
  <si>
    <t>CUST770</t>
  </si>
  <si>
    <t>CUST979</t>
  </si>
  <si>
    <t>CUST913</t>
  </si>
  <si>
    <t>CUST318</t>
  </si>
  <si>
    <t>CUST339</t>
  </si>
  <si>
    <t>CUST450</t>
  </si>
  <si>
    <t>CUST297</t>
  </si>
  <si>
    <t>CUST189</t>
  </si>
  <si>
    <t>CUST182</t>
  </si>
  <si>
    <t>CUST356</t>
  </si>
  <si>
    <t>CUST903</t>
  </si>
  <si>
    <t>CUST966</t>
  </si>
  <si>
    <t>CUST578</t>
  </si>
  <si>
    <t>CUST667</t>
  </si>
  <si>
    <t>CUST505</t>
  </si>
  <si>
    <t>CUST534</t>
  </si>
  <si>
    <t>CUST177</t>
  </si>
  <si>
    <t>CUST772</t>
  </si>
  <si>
    <t>CUST247</t>
  </si>
  <si>
    <t>CUST477</t>
  </si>
  <si>
    <t>CUST482</t>
  </si>
  <si>
    <t>CUST235</t>
  </si>
  <si>
    <t>CUST948</t>
  </si>
  <si>
    <t>CUST392</t>
  </si>
  <si>
    <t>CUST454</t>
  </si>
  <si>
    <t>CUST383</t>
  </si>
  <si>
    <t>CUST208</t>
  </si>
  <si>
    <t>CUST557</t>
  </si>
  <si>
    <t>CUST515</t>
  </si>
  <si>
    <t>CUST308</t>
  </si>
  <si>
    <t>CUST964</t>
  </si>
  <si>
    <t>CUST663</t>
  </si>
  <si>
    <t>CUST902</t>
  </si>
  <si>
    <t>CUST256</t>
  </si>
  <si>
    <t>CUST703</t>
  </si>
  <si>
    <t>CUST955</t>
  </si>
  <si>
    <t>CUST881</t>
  </si>
  <si>
    <t>CUST283</t>
  </si>
  <si>
    <t>CUST218</t>
  </si>
  <si>
    <t>CUST317</t>
  </si>
  <si>
    <t>CUST293</t>
  </si>
  <si>
    <t>CUST782</t>
  </si>
  <si>
    <t>CUST851</t>
  </si>
  <si>
    <t>CUST855</t>
  </si>
  <si>
    <t>CUST791</t>
  </si>
  <si>
    <t>CUST375</t>
  </si>
  <si>
    <t>CUST831</t>
  </si>
  <si>
    <t>CUST154</t>
  </si>
  <si>
    <t>CUST338</t>
  </si>
  <si>
    <t>CUST384</t>
  </si>
  <si>
    <t>CUST931</t>
  </si>
  <si>
    <t>CUST495</t>
  </si>
  <si>
    <t>CUST137</t>
  </si>
  <si>
    <t>CUST391</t>
  </si>
  <si>
    <t>CUST801</t>
  </si>
  <si>
    <t>CUST135</t>
  </si>
  <si>
    <t>CUST599</t>
  </si>
  <si>
    <t>CUST336</t>
  </si>
  <si>
    <t>CUST559</t>
  </si>
  <si>
    <t>CUST453</t>
  </si>
  <si>
    <t>CUST158</t>
  </si>
  <si>
    <t>CUST967</t>
  </si>
  <si>
    <t>CUST516</t>
  </si>
  <si>
    <t>CUST974</t>
  </si>
  <si>
    <t>CUST348</t>
  </si>
  <si>
    <t>CUST355</t>
  </si>
  <si>
    <t>CUST829</t>
  </si>
  <si>
    <t>+917527051270</t>
  </si>
  <si>
    <t>+917011047457</t>
  </si>
  <si>
    <t>+919253926725</t>
  </si>
  <si>
    <t>+919822352936</t>
  </si>
  <si>
    <t>+917891613427</t>
  </si>
  <si>
    <t>+917565059100</t>
  </si>
  <si>
    <t>+919289010674</t>
  </si>
  <si>
    <t>+919514230646</t>
  </si>
  <si>
    <t>+918729967031</t>
  </si>
  <si>
    <t>+919005547640</t>
  </si>
  <si>
    <t>+919210141563</t>
  </si>
  <si>
    <t>+916434480101</t>
  </si>
  <si>
    <t>+916007540021</t>
  </si>
  <si>
    <t>+916348955545</t>
  </si>
  <si>
    <t>+918057367222</t>
  </si>
  <si>
    <t>+918241925600</t>
  </si>
  <si>
    <t>+916773036826</t>
  </si>
  <si>
    <t>+916152768692</t>
  </si>
  <si>
    <t>+919715190152</t>
  </si>
  <si>
    <t>+917355575435</t>
  </si>
  <si>
    <t>+916877921297</t>
  </si>
  <si>
    <t>+919150467203</t>
  </si>
  <si>
    <t>+918698655050</t>
  </si>
  <si>
    <t>+917699326933</t>
  </si>
  <si>
    <t>+918973585560</t>
  </si>
  <si>
    <t>+916152930201</t>
  </si>
  <si>
    <t>+916368682324</t>
  </si>
  <si>
    <t>+917810280600</t>
  </si>
  <si>
    <t>+916356944558</t>
  </si>
  <si>
    <t>+918527494073</t>
  </si>
  <si>
    <t>+916039803948</t>
  </si>
  <si>
    <t>+919598073463</t>
  </si>
  <si>
    <t>+918331943922</t>
  </si>
  <si>
    <t>+916032685532</t>
  </si>
  <si>
    <t>+918737844643</t>
  </si>
  <si>
    <t>+916070975999</t>
  </si>
  <si>
    <t>+919696786535</t>
  </si>
  <si>
    <t>+918983707499</t>
  </si>
  <si>
    <t>+918023409463</t>
  </si>
  <si>
    <t>+917124996563</t>
  </si>
  <si>
    <t>+916262633731</t>
  </si>
  <si>
    <t>+918891986026</t>
  </si>
  <si>
    <t>+919743822182</t>
  </si>
  <si>
    <t>+919017151544</t>
  </si>
  <si>
    <t>+918406970239</t>
  </si>
  <si>
    <t>+918945257359</t>
  </si>
  <si>
    <t>+917874800395</t>
  </si>
  <si>
    <t>+917897910487</t>
  </si>
  <si>
    <t>+919034367468</t>
  </si>
  <si>
    <t>+917733302770</t>
  </si>
  <si>
    <t>+918847191685</t>
  </si>
  <si>
    <t>+918737213293</t>
  </si>
  <si>
    <t>+916404806463</t>
  </si>
  <si>
    <t>+916712940163</t>
  </si>
  <si>
    <t>+917327280228</t>
  </si>
  <si>
    <t>+919485611547</t>
  </si>
  <si>
    <t>+919429451981</t>
  </si>
  <si>
    <t>+918314798983</t>
  </si>
  <si>
    <t>+916959779692</t>
  </si>
  <si>
    <t>+916324681136</t>
  </si>
  <si>
    <t>+916629661055</t>
  </si>
  <si>
    <t>+917514596774</t>
  </si>
  <si>
    <t>+917651815101</t>
  </si>
  <si>
    <t>+917264270736</t>
  </si>
  <si>
    <t>+918843638826</t>
  </si>
  <si>
    <t>+919429040363</t>
  </si>
  <si>
    <t>+919600708560</t>
  </si>
  <si>
    <t>+917059026962</t>
  </si>
  <si>
    <t>+917787598968</t>
  </si>
  <si>
    <t>+917813016770</t>
  </si>
  <si>
    <t>+919272363513</t>
  </si>
  <si>
    <t>+916726520099</t>
  </si>
  <si>
    <t>+917275698054</t>
  </si>
  <si>
    <t>+919239444529</t>
  </si>
  <si>
    <t>+919095361041</t>
  </si>
  <si>
    <t>+917662156494</t>
  </si>
  <si>
    <t>+916450121362</t>
  </si>
  <si>
    <t>+917687840611</t>
  </si>
  <si>
    <t>+918056624007</t>
  </si>
  <si>
    <t>+918408331475</t>
  </si>
  <si>
    <t>+918984053358</t>
  </si>
  <si>
    <t>+918622805943</t>
  </si>
  <si>
    <t>+916998707200</t>
  </si>
  <si>
    <t>+917176134342</t>
  </si>
  <si>
    <t>+918838300051</t>
  </si>
  <si>
    <t>+919918726927</t>
  </si>
  <si>
    <t>+919594096786</t>
  </si>
  <si>
    <t>+917162432541</t>
  </si>
  <si>
    <t>+916649193563</t>
  </si>
  <si>
    <t>+919522067698</t>
  </si>
  <si>
    <t>+916929113553</t>
  </si>
  <si>
    <t>+918727956920</t>
  </si>
  <si>
    <t>+918541462760</t>
  </si>
  <si>
    <t>+919457809826</t>
  </si>
  <si>
    <t>+918009058165</t>
  </si>
  <si>
    <t>+916633537630</t>
  </si>
  <si>
    <t>+917259670866</t>
  </si>
  <si>
    <t>+918107411765</t>
  </si>
  <si>
    <t>+916775370607</t>
  </si>
  <si>
    <t>+916053913365</t>
  </si>
  <si>
    <t>+917313768514</t>
  </si>
  <si>
    <t>+919799785954</t>
  </si>
  <si>
    <t>+916263786354</t>
  </si>
  <si>
    <t>+918991552605</t>
  </si>
  <si>
    <t>+918516057366</t>
  </si>
  <si>
    <t>+918329999299</t>
  </si>
  <si>
    <t>+919937409871</t>
  </si>
  <si>
    <t>+917930237522</t>
  </si>
  <si>
    <t>+916927743545</t>
  </si>
  <si>
    <t>+919623619948</t>
  </si>
  <si>
    <t>+917940748458</t>
  </si>
  <si>
    <t>+918318429313</t>
  </si>
  <si>
    <t>+919990688517</t>
  </si>
  <si>
    <t>+916170107294</t>
  </si>
  <si>
    <t>+916510020817</t>
  </si>
  <si>
    <t>+919819220590</t>
  </si>
  <si>
    <t>+919150838783</t>
  </si>
  <si>
    <t>+919952662031</t>
  </si>
  <si>
    <t>+918454723484</t>
  </si>
  <si>
    <t>+918829801874</t>
  </si>
  <si>
    <t>+919126437405</t>
  </si>
  <si>
    <t>+916062726004</t>
  </si>
  <si>
    <t>+919281359245</t>
  </si>
  <si>
    <t>+918167072938</t>
  </si>
  <si>
    <t>+916469121497</t>
  </si>
  <si>
    <t>+917919131268</t>
  </si>
  <si>
    <t>+918492389106</t>
  </si>
  <si>
    <t>+917519084502</t>
  </si>
  <si>
    <t>+919746236927</t>
  </si>
  <si>
    <t>+916350243820</t>
  </si>
  <si>
    <t>+919989850280</t>
  </si>
  <si>
    <t>+919253960140</t>
  </si>
  <si>
    <t>+916103770461</t>
  </si>
  <si>
    <t>+918189321725</t>
  </si>
  <si>
    <t>+919216917770</t>
  </si>
  <si>
    <t>+917310420764</t>
  </si>
  <si>
    <t>+919143135887</t>
  </si>
  <si>
    <t>+917822212150</t>
  </si>
  <si>
    <t>+916891158673</t>
  </si>
  <si>
    <t>+917876074404</t>
  </si>
  <si>
    <t>+917519416723</t>
  </si>
  <si>
    <t>+919161128687</t>
  </si>
  <si>
    <t>+916721856633</t>
  </si>
  <si>
    <t>+917658479339</t>
  </si>
  <si>
    <t>+919342823635</t>
  </si>
  <si>
    <t>+919916125766</t>
  </si>
  <si>
    <t>+916204929050</t>
  </si>
  <si>
    <t>+916495223047</t>
  </si>
  <si>
    <t>+919685322669</t>
  </si>
  <si>
    <t>+918737652231</t>
  </si>
  <si>
    <t>+916815695723</t>
  </si>
  <si>
    <t>+916762150824</t>
  </si>
  <si>
    <t>+918861541730</t>
  </si>
  <si>
    <t>+919056432190</t>
  </si>
  <si>
    <t>+918361582608</t>
  </si>
  <si>
    <t>+916980960991</t>
  </si>
  <si>
    <t>+917370934497</t>
  </si>
  <si>
    <t>+916210537456</t>
  </si>
  <si>
    <t>+919805830546</t>
  </si>
  <si>
    <t>+917652110956</t>
  </si>
  <si>
    <t>+919875918373</t>
  </si>
  <si>
    <t>+918496910254</t>
  </si>
  <si>
    <t>+916386999862</t>
  </si>
  <si>
    <t>+918086029600</t>
  </si>
  <si>
    <t>+919631986526</t>
  </si>
  <si>
    <t>+919424633858</t>
  </si>
  <si>
    <t>+916396085441</t>
  </si>
  <si>
    <t>+918705724695</t>
  </si>
  <si>
    <t>+917897867447</t>
  </si>
  <si>
    <t>+918591172981</t>
  </si>
  <si>
    <t>+919902948560</t>
  </si>
  <si>
    <t>+918680939195</t>
  </si>
  <si>
    <t>+919089969261</t>
  </si>
  <si>
    <t>+916337232198</t>
  </si>
  <si>
    <t>+918995797744</t>
  </si>
  <si>
    <t>+919544567478</t>
  </si>
  <si>
    <t>+917774813623</t>
  </si>
  <si>
    <t>+919292012940</t>
  </si>
  <si>
    <t>+918716702232</t>
  </si>
  <si>
    <t>+917714283187</t>
  </si>
  <si>
    <t>+916565124178</t>
  </si>
  <si>
    <t>+917775316776</t>
  </si>
  <si>
    <t>+916891413779</t>
  </si>
  <si>
    <t>+919769875876</t>
  </si>
  <si>
    <t>+919814656233</t>
  </si>
  <si>
    <t>+917621302626</t>
  </si>
  <si>
    <t>+919445346903</t>
  </si>
  <si>
    <t>+919695376594</t>
  </si>
  <si>
    <t>+916125919337</t>
  </si>
  <si>
    <t>+918042712862</t>
  </si>
  <si>
    <t>+917821683361</t>
  </si>
  <si>
    <t>+918593511067</t>
  </si>
  <si>
    <t>+916131871275</t>
  </si>
  <si>
    <t>+918220637208</t>
  </si>
  <si>
    <t>+919915814134</t>
  </si>
  <si>
    <t>+919482937298</t>
  </si>
  <si>
    <t>+918813574091</t>
  </si>
  <si>
    <t>+917658199391</t>
  </si>
  <si>
    <t>+919958186207</t>
  </si>
  <si>
    <t>+918363148726</t>
  </si>
  <si>
    <t>+919112047201</t>
  </si>
  <si>
    <t>+919735778827</t>
  </si>
  <si>
    <t>+919420776492</t>
  </si>
  <si>
    <t>+916049358707</t>
  </si>
  <si>
    <t>+916194531938</t>
  </si>
  <si>
    <t>+916118105098</t>
  </si>
  <si>
    <t>+918027303888</t>
  </si>
  <si>
    <t>+916135585073</t>
  </si>
  <si>
    <t>+919381516875</t>
  </si>
  <si>
    <t>+919453808010</t>
  </si>
  <si>
    <t>+917192567634</t>
  </si>
  <si>
    <t>+917104180434</t>
  </si>
  <si>
    <t>+918298162752</t>
  </si>
  <si>
    <t>+916458751411</t>
  </si>
  <si>
    <t>+918342945891</t>
  </si>
  <si>
    <t>+916572155480</t>
  </si>
  <si>
    <t>+918137042144</t>
  </si>
  <si>
    <t>+919403884570</t>
  </si>
  <si>
    <t>+918572122901</t>
  </si>
  <si>
    <t>+918997152327</t>
  </si>
  <si>
    <t>+916204293649</t>
  </si>
  <si>
    <t>+916067435328</t>
  </si>
  <si>
    <t>+917053061263</t>
  </si>
  <si>
    <t>+919186386261</t>
  </si>
  <si>
    <t>+919938977021</t>
  </si>
  <si>
    <t>+919703757549</t>
  </si>
  <si>
    <t>+916917678390</t>
  </si>
  <si>
    <t>+918605814054</t>
  </si>
  <si>
    <t>+919373987070</t>
  </si>
  <si>
    <t>+918202351173</t>
  </si>
  <si>
    <t>+918762892922</t>
  </si>
  <si>
    <t>+916563054300</t>
  </si>
  <si>
    <t>+918103850507</t>
  </si>
  <si>
    <t>+919324338728</t>
  </si>
  <si>
    <t>+918763932008</t>
  </si>
  <si>
    <t>+918424843626</t>
  </si>
  <si>
    <t>+917056832816</t>
  </si>
  <si>
    <t>+917219846613</t>
  </si>
  <si>
    <t>+918922050616</t>
  </si>
  <si>
    <t>+917562880537</t>
  </si>
  <si>
    <t>+917673379197</t>
  </si>
  <si>
    <t>+917633207304</t>
  </si>
  <si>
    <t>+919756088711</t>
  </si>
  <si>
    <t>+917514822071</t>
  </si>
  <si>
    <t>+917880794543</t>
  </si>
  <si>
    <t>+916744712509</t>
  </si>
  <si>
    <t>+919937082701</t>
  </si>
  <si>
    <t>+916106077839</t>
  </si>
  <si>
    <t>+917332226392</t>
  </si>
  <si>
    <t>+916733324740</t>
  </si>
  <si>
    <t>+917303445387</t>
  </si>
  <si>
    <t>+918347339634</t>
  </si>
  <si>
    <t>+917275345442</t>
  </si>
  <si>
    <t>+916386447108</t>
  </si>
  <si>
    <t>+917398725563</t>
  </si>
  <si>
    <t>+918674649628</t>
  </si>
  <si>
    <t>+917786552779</t>
  </si>
  <si>
    <t>+918261580584</t>
  </si>
  <si>
    <t>+919750654254</t>
  </si>
  <si>
    <t>+919879753451</t>
  </si>
  <si>
    <t>+919532103339</t>
  </si>
  <si>
    <t>+917670220222</t>
  </si>
  <si>
    <t>+919621254134</t>
  </si>
  <si>
    <t>+916187370489</t>
  </si>
  <si>
    <t>+919784088287</t>
  </si>
  <si>
    <t>+919879882771</t>
  </si>
  <si>
    <t>+917809733143</t>
  </si>
  <si>
    <t>+916650048242</t>
  </si>
  <si>
    <t>+917630382325</t>
  </si>
  <si>
    <t>+919148040566</t>
  </si>
  <si>
    <t>+917223507202</t>
  </si>
  <si>
    <t>+917969541680</t>
  </si>
  <si>
    <t>+918734246519</t>
  </si>
  <si>
    <t>+917482176269</t>
  </si>
  <si>
    <t>+918855728204</t>
  </si>
  <si>
    <t>+919364091208</t>
  </si>
  <si>
    <t>+919430025274</t>
  </si>
  <si>
    <t>+919938427144</t>
  </si>
  <si>
    <t>+919559307506</t>
  </si>
  <si>
    <t>+916583304209</t>
  </si>
  <si>
    <t>+919560523169</t>
  </si>
  <si>
    <t>+916462136589</t>
  </si>
  <si>
    <t>+919578276066</t>
  </si>
  <si>
    <t>+917651705088</t>
  </si>
  <si>
    <t>+917954976920</t>
  </si>
  <si>
    <t>+917628199418</t>
  </si>
  <si>
    <t>+916028531066</t>
  </si>
  <si>
    <t>+919335580116</t>
  </si>
  <si>
    <t>+918405672760</t>
  </si>
  <si>
    <t>+919082574543</t>
  </si>
  <si>
    <t>+919315219175</t>
  </si>
  <si>
    <t>+919787519341</t>
  </si>
  <si>
    <t>+919081303517</t>
  </si>
  <si>
    <t>+916227198253</t>
  </si>
  <si>
    <t>+919300242476</t>
  </si>
  <si>
    <t>+919758108762</t>
  </si>
  <si>
    <t>+919544282340</t>
  </si>
  <si>
    <t>+919879446305</t>
  </si>
  <si>
    <t>+919117282997</t>
  </si>
  <si>
    <t>+917129491172</t>
  </si>
  <si>
    <t>+919317154771</t>
  </si>
  <si>
    <t>+916136039470</t>
  </si>
  <si>
    <t>+918483591917</t>
  </si>
  <si>
    <t>+916387917374</t>
  </si>
  <si>
    <t>+918213279833</t>
  </si>
  <si>
    <t>+917824442516</t>
  </si>
  <si>
    <t>+919732089426</t>
  </si>
  <si>
    <t>+919283080136</t>
  </si>
  <si>
    <t>+916809576645</t>
  </si>
  <si>
    <t>+917999440849</t>
  </si>
  <si>
    <t>+916648912891</t>
  </si>
  <si>
    <t>+918461452598</t>
  </si>
  <si>
    <t>+917573769866</t>
  </si>
  <si>
    <t>+917931202572</t>
  </si>
  <si>
    <t>+916915221246</t>
  </si>
  <si>
    <t>+919531986802</t>
  </si>
  <si>
    <t>+917939942198</t>
  </si>
  <si>
    <t>+916627619460</t>
  </si>
  <si>
    <t>+916679408100</t>
  </si>
  <si>
    <t>+917200593992</t>
  </si>
  <si>
    <t>+917534080019</t>
  </si>
  <si>
    <t>+919500803518</t>
  </si>
  <si>
    <t>+916156170834</t>
  </si>
  <si>
    <t>+916633477468</t>
  </si>
  <si>
    <t>+918006691603</t>
  </si>
  <si>
    <t>+916797745093</t>
  </si>
  <si>
    <t>+916478918008</t>
  </si>
  <si>
    <t>+917989945762</t>
  </si>
  <si>
    <t>+916600548253</t>
  </si>
  <si>
    <t>+918984016436</t>
  </si>
  <si>
    <t>+916334103270</t>
  </si>
  <si>
    <t>+917426587587</t>
  </si>
  <si>
    <t>+916323637487</t>
  </si>
  <si>
    <t>+917094809610</t>
  </si>
  <si>
    <t>+919189669018</t>
  </si>
  <si>
    <t>+917453725607</t>
  </si>
  <si>
    <t>+917947584497</t>
  </si>
  <si>
    <t>+917661139187</t>
  </si>
  <si>
    <t>+918568887032</t>
  </si>
  <si>
    <t>+916182518264</t>
  </si>
  <si>
    <t>+916036678595</t>
  </si>
  <si>
    <t>+916817585153</t>
  </si>
  <si>
    <t>+918007727666</t>
  </si>
  <si>
    <t>+918749360508</t>
  </si>
  <si>
    <t>+916738057305</t>
  </si>
  <si>
    <t>+917202497579</t>
  </si>
  <si>
    <t>+917552781840</t>
  </si>
  <si>
    <t>+916511483846</t>
  </si>
  <si>
    <t>+918455374996</t>
  </si>
  <si>
    <t>+918635302335</t>
  </si>
  <si>
    <t>+918937581301</t>
  </si>
  <si>
    <t>+919812321814</t>
  </si>
  <si>
    <t>+918777599784</t>
  </si>
  <si>
    <t>+919434873140</t>
  </si>
  <si>
    <t>+916449546513</t>
  </si>
  <si>
    <t>+917820046439</t>
  </si>
  <si>
    <t>+919462690859</t>
  </si>
  <si>
    <t>+917496505749</t>
  </si>
  <si>
    <t>+916834308410</t>
  </si>
  <si>
    <t>+918465047067</t>
  </si>
  <si>
    <t>+916123437156</t>
  </si>
  <si>
    <t>+919978751333</t>
  </si>
  <si>
    <t>+918506380723</t>
  </si>
  <si>
    <t>+917242229353</t>
  </si>
  <si>
    <t>+916666739230</t>
  </si>
  <si>
    <t>+919437352853</t>
  </si>
  <si>
    <t>+916773783065</t>
  </si>
  <si>
    <t>+918417398672</t>
  </si>
  <si>
    <t>+918271422056</t>
  </si>
  <si>
    <t>+916695349600</t>
  </si>
  <si>
    <t>+916475269241</t>
  </si>
  <si>
    <t>+917418522808</t>
  </si>
  <si>
    <t>+916335443504</t>
  </si>
  <si>
    <t>+916833816895</t>
  </si>
  <si>
    <t>+916669556673</t>
  </si>
  <si>
    <t>+919392503115</t>
  </si>
  <si>
    <t>+919093534713</t>
  </si>
  <si>
    <t>+916754317616</t>
  </si>
  <si>
    <t>+916238403649</t>
  </si>
  <si>
    <t>+919696181880</t>
  </si>
  <si>
    <t>+916892484162</t>
  </si>
  <si>
    <t>+919332423543</t>
  </si>
  <si>
    <t>+919318045146</t>
  </si>
  <si>
    <t>+916927594286</t>
  </si>
  <si>
    <t>+917254462944</t>
  </si>
  <si>
    <t>+917184838652</t>
  </si>
  <si>
    <t>+916956491585</t>
  </si>
  <si>
    <t>+918884874089</t>
  </si>
  <si>
    <t>+919117769019</t>
  </si>
  <si>
    <t>+917008127605</t>
  </si>
  <si>
    <t>+919762121856</t>
  </si>
  <si>
    <t>+919765833434</t>
  </si>
  <si>
    <t>+919759700791</t>
  </si>
  <si>
    <t>+919824928267</t>
  </si>
  <si>
    <t>+919384534152</t>
  </si>
  <si>
    <t>+918541855876</t>
  </si>
  <si>
    <t>+917875874423</t>
  </si>
  <si>
    <t>+919947489222</t>
  </si>
  <si>
    <t>+916370199913</t>
  </si>
  <si>
    <t>+919428084845</t>
  </si>
  <si>
    <t>+917182484882</t>
  </si>
  <si>
    <t>+917089221235</t>
  </si>
  <si>
    <t>+918133566976</t>
  </si>
  <si>
    <t>+917058733163</t>
  </si>
  <si>
    <t>+916120837536</t>
  </si>
  <si>
    <t>+917963534461</t>
  </si>
  <si>
    <t>+919064223482</t>
  </si>
  <si>
    <t>+917236081076</t>
  </si>
  <si>
    <t>+919805069645</t>
  </si>
  <si>
    <t>+916451138162</t>
  </si>
  <si>
    <t>+916002289414</t>
  </si>
  <si>
    <t>+919976369758</t>
  </si>
  <si>
    <t>+916653201438</t>
  </si>
  <si>
    <t>+918498093027</t>
  </si>
  <si>
    <t>+919687179160</t>
  </si>
  <si>
    <t>+916699123971</t>
  </si>
  <si>
    <t>+918313020817</t>
  </si>
  <si>
    <t>+918483722499</t>
  </si>
  <si>
    <t>+917129915586</t>
  </si>
  <si>
    <t>+919278048330</t>
  </si>
  <si>
    <t>+919502501179</t>
  </si>
  <si>
    <t>+919705975850</t>
  </si>
  <si>
    <t>+916795756786</t>
  </si>
  <si>
    <t>+919179282118</t>
  </si>
  <si>
    <t>+919125716394</t>
  </si>
  <si>
    <t>+918614855432</t>
  </si>
  <si>
    <t>+919282340095</t>
  </si>
  <si>
    <t>+919481819604</t>
  </si>
  <si>
    <t>+916504897866</t>
  </si>
  <si>
    <t>+916359869813</t>
  </si>
  <si>
    <t>+917117801786</t>
  </si>
  <si>
    <t>+919075950092</t>
  </si>
  <si>
    <t>+919723898464</t>
  </si>
  <si>
    <t>+916648621474</t>
  </si>
  <si>
    <t>+917729777758</t>
  </si>
  <si>
    <t>+917701477461</t>
  </si>
  <si>
    <t>+918708403138</t>
  </si>
  <si>
    <t>+916244150531</t>
  </si>
  <si>
    <t>+917758742481</t>
  </si>
  <si>
    <t>+918039552567</t>
  </si>
  <si>
    <t>+919371982310</t>
  </si>
  <si>
    <t>+918200414538</t>
  </si>
  <si>
    <t>+918709232054</t>
  </si>
  <si>
    <t>+918490452948</t>
  </si>
  <si>
    <t>+919964348853</t>
  </si>
  <si>
    <t>+919974501836</t>
  </si>
  <si>
    <t>+917476634156</t>
  </si>
  <si>
    <t>+917802822744</t>
  </si>
  <si>
    <t>+918119809987</t>
  </si>
  <si>
    <t>+919702504818</t>
  </si>
  <si>
    <t>+917632701341</t>
  </si>
  <si>
    <t>+916701123722</t>
  </si>
  <si>
    <t>+916277451644</t>
  </si>
  <si>
    <t>+917546560518</t>
  </si>
  <si>
    <t>+917259708065</t>
  </si>
  <si>
    <t>+918964339381</t>
  </si>
  <si>
    <t>+917954350244</t>
  </si>
  <si>
    <t>+918881880961</t>
  </si>
  <si>
    <t>+918604747050</t>
  </si>
  <si>
    <t>+916985243214</t>
  </si>
  <si>
    <t>+918140991096</t>
  </si>
  <si>
    <t>+919110339124</t>
  </si>
  <si>
    <t>+917826759241</t>
  </si>
  <si>
    <t>+917070011089</t>
  </si>
  <si>
    <t>+919003185725</t>
  </si>
  <si>
    <t>+919721398193</t>
  </si>
  <si>
    <t>+917701678984</t>
  </si>
  <si>
    <t>+916263132678</t>
  </si>
  <si>
    <t>+918035986159</t>
  </si>
  <si>
    <t>+919049570578</t>
  </si>
  <si>
    <t>+919928251398</t>
  </si>
  <si>
    <t>+916069148556</t>
  </si>
  <si>
    <t>+918920221732</t>
  </si>
  <si>
    <t>+918389598736</t>
  </si>
  <si>
    <t>+919899513555</t>
  </si>
  <si>
    <t>+916509645209</t>
  </si>
  <si>
    <t>+917231867043</t>
  </si>
  <si>
    <t>+917555887905</t>
  </si>
  <si>
    <t>+918968372935</t>
  </si>
  <si>
    <t>+918511365898</t>
  </si>
  <si>
    <t>+918985468765</t>
  </si>
  <si>
    <t>+918866107940</t>
  </si>
  <si>
    <t>+917438879754</t>
  </si>
  <si>
    <t>+916049015344</t>
  </si>
  <si>
    <t>+918264319524</t>
  </si>
  <si>
    <t>+919118985296</t>
  </si>
  <si>
    <t>+918747140045</t>
  </si>
  <si>
    <t>+916441497626</t>
  </si>
  <si>
    <t>+918533198517</t>
  </si>
  <si>
    <t>+916638294733</t>
  </si>
  <si>
    <t>+919884003125</t>
  </si>
  <si>
    <t>+917060499833</t>
  </si>
  <si>
    <t>+917197820671</t>
  </si>
  <si>
    <t>+919609876771</t>
  </si>
  <si>
    <t>+919404372952</t>
  </si>
  <si>
    <t>+918663084494</t>
  </si>
  <si>
    <t>+917707062968</t>
  </si>
  <si>
    <t>+919095318236</t>
  </si>
  <si>
    <t>+919814774384</t>
  </si>
  <si>
    <t>+918886573618</t>
  </si>
  <si>
    <t>+917255228348</t>
  </si>
  <si>
    <t>+919313033909</t>
  </si>
  <si>
    <t>+917013225160</t>
  </si>
  <si>
    <t>+919090593206</t>
  </si>
  <si>
    <t>+919494931011</t>
  </si>
  <si>
    <t>+917663565794</t>
  </si>
  <si>
    <t>+916896616186</t>
  </si>
  <si>
    <t>+917086232769</t>
  </si>
  <si>
    <t>+918105798434</t>
  </si>
  <si>
    <t>+916738204702</t>
  </si>
  <si>
    <t>+917876633244</t>
  </si>
  <si>
    <t>+919907055600</t>
  </si>
  <si>
    <t>+919888633426</t>
  </si>
  <si>
    <t>+919425660729</t>
  </si>
  <si>
    <t>+918642655979</t>
  </si>
  <si>
    <t>+919225162081</t>
  </si>
  <si>
    <t>+919635489084</t>
  </si>
  <si>
    <t>+918110618028</t>
  </si>
  <si>
    <t>+916188707324</t>
  </si>
  <si>
    <t>+916822838676</t>
  </si>
  <si>
    <t>+917893289654</t>
  </si>
  <si>
    <t>+918165938298</t>
  </si>
  <si>
    <t>+917493085217</t>
  </si>
  <si>
    <t>+917178594648</t>
  </si>
  <si>
    <t>+919208461244</t>
  </si>
  <si>
    <t>+916487242508</t>
  </si>
  <si>
    <t>+917493647407</t>
  </si>
  <si>
    <t>+916199748814</t>
  </si>
  <si>
    <t>+919193502729</t>
  </si>
  <si>
    <t>+919118462647</t>
  </si>
  <si>
    <t>+919360971352</t>
  </si>
  <si>
    <t>+916980464252</t>
  </si>
  <si>
    <t>+919810436731</t>
  </si>
  <si>
    <t>+917800411891</t>
  </si>
  <si>
    <t>+919461391591</t>
  </si>
  <si>
    <t>+918177730409</t>
  </si>
  <si>
    <t>+917073238054</t>
  </si>
  <si>
    <t>+918966462715</t>
  </si>
  <si>
    <t>+918615544860</t>
  </si>
  <si>
    <t>+919764151557</t>
  </si>
  <si>
    <t>+916225950838</t>
  </si>
  <si>
    <t>+918075880933</t>
  </si>
  <si>
    <t>+917807830715</t>
  </si>
  <si>
    <t>+919179192509</t>
  </si>
  <si>
    <t>+917438234160</t>
  </si>
  <si>
    <t>+918337453365</t>
  </si>
  <si>
    <t>+917681136070</t>
  </si>
  <si>
    <t>+918830603880</t>
  </si>
  <si>
    <t>+919345292536</t>
  </si>
  <si>
    <t>+918253825609</t>
  </si>
  <si>
    <t>+917943568122</t>
  </si>
  <si>
    <t>+916103083961</t>
  </si>
  <si>
    <t>+916319337626</t>
  </si>
  <si>
    <t>+917204290397</t>
  </si>
  <si>
    <t>+919058139867</t>
  </si>
  <si>
    <t>+918324516480</t>
  </si>
  <si>
    <t>+919246971110</t>
  </si>
  <si>
    <t>+918374824881</t>
  </si>
  <si>
    <t>+917011666922</t>
  </si>
  <si>
    <t>+919798175920</t>
  </si>
  <si>
    <t>+919561607331</t>
  </si>
  <si>
    <t>+918926932962</t>
  </si>
  <si>
    <t>+917680731149</t>
  </si>
  <si>
    <t>+919687310120</t>
  </si>
  <si>
    <t>+918535584465</t>
  </si>
  <si>
    <t>+917026084124</t>
  </si>
  <si>
    <t>+919528305526</t>
  </si>
  <si>
    <t>+916922069780</t>
  </si>
  <si>
    <t>+919470309173</t>
  </si>
  <si>
    <t>+918541247081</t>
  </si>
  <si>
    <t>+916031405076</t>
  </si>
  <si>
    <t>+917513555536</t>
  </si>
  <si>
    <t>+918986196579</t>
  </si>
  <si>
    <t>+916039185229</t>
  </si>
  <si>
    <t>+918047199976</t>
  </si>
  <si>
    <t>+916241309686</t>
  </si>
  <si>
    <t>+919057968949</t>
  </si>
  <si>
    <t>+918336210628</t>
  </si>
  <si>
    <t>+916417481595</t>
  </si>
  <si>
    <t>+919003342614</t>
  </si>
  <si>
    <t>+917270011878</t>
  </si>
  <si>
    <t>+917637179037</t>
  </si>
  <si>
    <t>+919275892004</t>
  </si>
  <si>
    <t>+919828485664</t>
  </si>
  <si>
    <t>+918734586884</t>
  </si>
  <si>
    <t>+917140553117</t>
  </si>
  <si>
    <t>+919931250459</t>
  </si>
  <si>
    <t>+917044134762</t>
  </si>
  <si>
    <t>+917176203195</t>
  </si>
  <si>
    <t>+916457278473</t>
  </si>
  <si>
    <t>+918472075352</t>
  </si>
  <si>
    <t>+918105173126</t>
  </si>
  <si>
    <t>+918881687649</t>
  </si>
  <si>
    <t>+916088043651</t>
  </si>
  <si>
    <t>+916866408551</t>
  </si>
  <si>
    <t>+918672416833</t>
  </si>
  <si>
    <t>+919484535224</t>
  </si>
  <si>
    <t>+919431811853</t>
  </si>
  <si>
    <t>+916805082749</t>
  </si>
  <si>
    <t>+916900660658</t>
  </si>
  <si>
    <t>+918448032169</t>
  </si>
  <si>
    <t>+917415189761</t>
  </si>
  <si>
    <t>+917333120140</t>
  </si>
  <si>
    <t>+919468421051</t>
  </si>
  <si>
    <t>+917046072475</t>
  </si>
  <si>
    <t>+919493082098</t>
  </si>
  <si>
    <t>+918697689337</t>
  </si>
  <si>
    <t>+917012487408</t>
  </si>
  <si>
    <t>+917074749522</t>
  </si>
  <si>
    <t>+919005950859</t>
  </si>
  <si>
    <t>+916049706721</t>
  </si>
  <si>
    <t>+917486654497</t>
  </si>
  <si>
    <t>+917392626424</t>
  </si>
  <si>
    <t>+918015299074</t>
  </si>
  <si>
    <t>+918290261799</t>
  </si>
  <si>
    <t>+918354794224</t>
  </si>
  <si>
    <t>+918719918278</t>
  </si>
  <si>
    <t>+918332049905</t>
  </si>
  <si>
    <t>+919617220292</t>
  </si>
  <si>
    <t>+917876646150</t>
  </si>
  <si>
    <t>+918844874279</t>
  </si>
  <si>
    <t>+916884716576</t>
  </si>
  <si>
    <t>+916943061164</t>
  </si>
  <si>
    <t>+916042256491</t>
  </si>
  <si>
    <t>+918871211021</t>
  </si>
  <si>
    <t>+918786641400</t>
  </si>
  <si>
    <t>+917602216104</t>
  </si>
  <si>
    <t>+919783805347</t>
  </si>
  <si>
    <t>+916577287333</t>
  </si>
  <si>
    <t>+916335386903</t>
  </si>
  <si>
    <t>+918656091196</t>
  </si>
  <si>
    <t>+916084926867</t>
  </si>
  <si>
    <t>+917927001855</t>
  </si>
  <si>
    <t>+919557478256</t>
  </si>
  <si>
    <t>+918229666477</t>
  </si>
  <si>
    <t>+916638702502</t>
  </si>
  <si>
    <t>+918941270285</t>
  </si>
  <si>
    <t>+919560442434</t>
  </si>
  <si>
    <t>+919557286598</t>
  </si>
  <si>
    <t>+918431687555</t>
  </si>
  <si>
    <t>+919456640902</t>
  </si>
  <si>
    <t>+916668416411</t>
  </si>
  <si>
    <t>+916338621931</t>
  </si>
  <si>
    <t>+917102043864</t>
  </si>
  <si>
    <t>+918309712295</t>
  </si>
  <si>
    <t>+917113061667</t>
  </si>
  <si>
    <t>+919259569350</t>
  </si>
  <si>
    <t>+919154775297</t>
  </si>
  <si>
    <t>+916854587890</t>
  </si>
  <si>
    <t>+919094369596</t>
  </si>
  <si>
    <t>+917794273220</t>
  </si>
  <si>
    <t>+919432871901</t>
  </si>
  <si>
    <t>+919253213247</t>
  </si>
  <si>
    <t>+916007516129</t>
  </si>
  <si>
    <t>+918920747238</t>
  </si>
  <si>
    <t>+918285901261</t>
  </si>
  <si>
    <t>+919461016088</t>
  </si>
  <si>
    <t>+918818427847</t>
  </si>
  <si>
    <t>+919965617796</t>
  </si>
  <si>
    <t>+917874879721</t>
  </si>
  <si>
    <t>+918603411825</t>
  </si>
  <si>
    <t>+917097223719</t>
  </si>
  <si>
    <t>+919194475545</t>
  </si>
  <si>
    <t>+919714926836</t>
  </si>
  <si>
    <t>+916891106488</t>
  </si>
  <si>
    <t>+919224133274</t>
  </si>
  <si>
    <t>+918071697595</t>
  </si>
  <si>
    <t>+919249168478</t>
  </si>
  <si>
    <t>+919929810022</t>
  </si>
  <si>
    <t>+916118647684</t>
  </si>
  <si>
    <t>+916274837866</t>
  </si>
  <si>
    <t>+918193001239</t>
  </si>
  <si>
    <t>+917726540279</t>
  </si>
  <si>
    <t>+917306595123</t>
  </si>
  <si>
    <t>+919543967716</t>
  </si>
  <si>
    <t>+919918396295</t>
  </si>
  <si>
    <t>+917741839264</t>
  </si>
  <si>
    <t>+919611485133</t>
  </si>
  <si>
    <t>+917369287210</t>
  </si>
  <si>
    <t>+919052249539</t>
  </si>
  <si>
    <t>+917217125461</t>
  </si>
  <si>
    <t>+917958402172</t>
  </si>
  <si>
    <t>+916356586516</t>
  </si>
  <si>
    <t>+919342657969</t>
  </si>
  <si>
    <t>+916192847076</t>
  </si>
  <si>
    <t>+917168939403</t>
  </si>
  <si>
    <t>+918385088852</t>
  </si>
  <si>
    <t>+918430571991</t>
  </si>
  <si>
    <t>+917878074285</t>
  </si>
  <si>
    <t>+918136119561</t>
  </si>
  <si>
    <t>+919541074659</t>
  </si>
  <si>
    <t>+918351086016</t>
  </si>
  <si>
    <t>+919012499266</t>
  </si>
  <si>
    <t>+919251539520</t>
  </si>
  <si>
    <t>+919244990846</t>
  </si>
  <si>
    <t>+916675277387</t>
  </si>
  <si>
    <t>+919647691031</t>
  </si>
  <si>
    <t>+918481355964</t>
  </si>
  <si>
    <t>+919997606799</t>
  </si>
  <si>
    <t>+917280872862</t>
  </si>
  <si>
    <t>+916859854611</t>
  </si>
  <si>
    <t>+916131342662</t>
  </si>
  <si>
    <t>+918692160347</t>
  </si>
  <si>
    <t>+919029001862</t>
  </si>
  <si>
    <t>+917866349709</t>
  </si>
  <si>
    <t>+916103154166</t>
  </si>
  <si>
    <t>+917196134306</t>
  </si>
  <si>
    <t>+919059659693</t>
  </si>
  <si>
    <t>+916900017259</t>
  </si>
  <si>
    <t>+919270683070</t>
  </si>
  <si>
    <t>+919885817520</t>
  </si>
  <si>
    <t>+917898634733</t>
  </si>
  <si>
    <t>+916142029437</t>
  </si>
  <si>
    <t>+919376493745</t>
  </si>
  <si>
    <t>+918335272041</t>
  </si>
  <si>
    <t>+917597012105</t>
  </si>
  <si>
    <t>+918979861739</t>
  </si>
  <si>
    <t>+916443731012</t>
  </si>
  <si>
    <t>+917555209159</t>
  </si>
  <si>
    <t>+916628793566</t>
  </si>
  <si>
    <t>+918968276907</t>
  </si>
  <si>
    <t>+917057544276</t>
  </si>
  <si>
    <t>+919947038182</t>
  </si>
  <si>
    <t>+919764318615</t>
  </si>
  <si>
    <t>+918114285994</t>
  </si>
  <si>
    <t>+918197976029</t>
  </si>
  <si>
    <t>+916514705401</t>
  </si>
  <si>
    <t>+918316688060</t>
  </si>
  <si>
    <t>+919809879073</t>
  </si>
  <si>
    <t>+919007496873</t>
  </si>
  <si>
    <t>+919778227659</t>
  </si>
  <si>
    <t>+916799854594</t>
  </si>
  <si>
    <t>+916017779209</t>
  </si>
  <si>
    <t>+916287569709</t>
  </si>
  <si>
    <t>+918196906700</t>
  </si>
  <si>
    <t>+917155646868</t>
  </si>
  <si>
    <t>+919149070900</t>
  </si>
  <si>
    <t>+917145246937</t>
  </si>
  <si>
    <t>+919821306830</t>
  </si>
  <si>
    <t>+916290910172</t>
  </si>
  <si>
    <t>+919313178238</t>
  </si>
  <si>
    <t>+916767916167</t>
  </si>
  <si>
    <t>+916647518775</t>
  </si>
  <si>
    <t>+917271096162</t>
  </si>
  <si>
    <t>+917412060998</t>
  </si>
  <si>
    <t>+919118730555</t>
  </si>
  <si>
    <t>+917232563132</t>
  </si>
  <si>
    <t>+916615864203</t>
  </si>
  <si>
    <t>+917733370590</t>
  </si>
  <si>
    <t>+916234719850</t>
  </si>
  <si>
    <t>+919235087986</t>
  </si>
  <si>
    <t>+919638489236</t>
  </si>
  <si>
    <t>+916494366026</t>
  </si>
  <si>
    <t>+916476323814</t>
  </si>
  <si>
    <t>+917205034712</t>
  </si>
  <si>
    <t>+919549489895</t>
  </si>
  <si>
    <t>+917203201859</t>
  </si>
  <si>
    <t>+916511793783</t>
  </si>
  <si>
    <t>+917908650634</t>
  </si>
  <si>
    <t>+917531919700</t>
  </si>
  <si>
    <t>+918564633503</t>
  </si>
  <si>
    <t>+919857141614</t>
  </si>
  <si>
    <t>+918228921626</t>
  </si>
  <si>
    <t>+918067884455</t>
  </si>
  <si>
    <t>+917153786110</t>
  </si>
  <si>
    <t>+918953260156</t>
  </si>
  <si>
    <t>+919471125638</t>
  </si>
  <si>
    <t>+917103811214</t>
  </si>
  <si>
    <t>+918038263653</t>
  </si>
  <si>
    <t>+916279979558</t>
  </si>
  <si>
    <t>+919616281758</t>
  </si>
  <si>
    <t>+919038967257</t>
  </si>
  <si>
    <t>+918444079402</t>
  </si>
  <si>
    <t>+916838281647</t>
  </si>
  <si>
    <t>+917898374963</t>
  </si>
  <si>
    <t>+916710459827</t>
  </si>
  <si>
    <t>+917742468488</t>
  </si>
  <si>
    <t>+919605195567</t>
  </si>
  <si>
    <t>+917326509255</t>
  </si>
  <si>
    <t>+918404262542</t>
  </si>
  <si>
    <t>+918267238011</t>
  </si>
  <si>
    <t>+917977032440</t>
  </si>
  <si>
    <t>+916090449428</t>
  </si>
  <si>
    <t>+917444435314</t>
  </si>
  <si>
    <t>+917547963453</t>
  </si>
  <si>
    <t>+916383463555</t>
  </si>
  <si>
    <t>+919535400077</t>
  </si>
  <si>
    <t>+919439296685</t>
  </si>
  <si>
    <t>+919649927005</t>
  </si>
  <si>
    <t>+918995187798</t>
  </si>
  <si>
    <t>+916651250994</t>
  </si>
  <si>
    <t>+916209171028</t>
  </si>
  <si>
    <t>+918342222791</t>
  </si>
  <si>
    <t>+918633035165</t>
  </si>
  <si>
    <t>+918052808318</t>
  </si>
  <si>
    <t>+919294505796</t>
  </si>
  <si>
    <t>+919668463134</t>
  </si>
  <si>
    <t>+917279556806</t>
  </si>
  <si>
    <t>+916058606442</t>
  </si>
  <si>
    <t>+918040388912</t>
  </si>
  <si>
    <t>India</t>
  </si>
  <si>
    <t>New Delhi</t>
  </si>
  <si>
    <t>Noida</t>
  </si>
  <si>
    <t>Kanpur</t>
  </si>
  <si>
    <t>Kolkata</t>
  </si>
  <si>
    <t>Udaipur</t>
  </si>
  <si>
    <t>Ludhiana</t>
  </si>
  <si>
    <t>Surat</t>
  </si>
  <si>
    <t>Jaipur</t>
  </si>
  <si>
    <t>Vadodara</t>
  </si>
  <si>
    <t>Mumbai</t>
  </si>
  <si>
    <t>Madurai</t>
  </si>
  <si>
    <t>Nashik</t>
  </si>
  <si>
    <t>Mangalore</t>
  </si>
  <si>
    <t>Warangal</t>
  </si>
  <si>
    <t>Nagpur</t>
  </si>
  <si>
    <t>Chandigarh</t>
  </si>
  <si>
    <t>Durgapur</t>
  </si>
  <si>
    <t>Amritsar</t>
  </si>
  <si>
    <t>Varanasi</t>
  </si>
  <si>
    <t>Hyderabad</t>
  </si>
  <si>
    <t>Bangalore</t>
  </si>
  <si>
    <t>Howrah</t>
  </si>
  <si>
    <t>Mysore</t>
  </si>
  <si>
    <t>Jodhpur</t>
  </si>
  <si>
    <t>Chennai</t>
  </si>
  <si>
    <t>Pune</t>
  </si>
  <si>
    <t>Lucknow</t>
  </si>
  <si>
    <t>Aurangabad</t>
  </si>
  <si>
    <t>Rajkot</t>
  </si>
  <si>
    <t>Nizamabad</t>
  </si>
  <si>
    <t>Coimbatore</t>
  </si>
  <si>
    <t>Ahmedabad</t>
  </si>
  <si>
    <t>Delhi</t>
  </si>
  <si>
    <t>Uttar Pradesh</t>
  </si>
  <si>
    <t>West Bengal</t>
  </si>
  <si>
    <t>Rajasthan</t>
  </si>
  <si>
    <t>Punjab</t>
  </si>
  <si>
    <t>Gujarat</t>
  </si>
  <si>
    <t>Maharashtra</t>
  </si>
  <si>
    <t>Tamil Nadu</t>
  </si>
  <si>
    <t>Karnataka</t>
  </si>
  <si>
    <t>Telangana</t>
  </si>
  <si>
    <t>East</t>
  </si>
  <si>
    <t>West</t>
  </si>
  <si>
    <t>South</t>
  </si>
  <si>
    <t>North</t>
  </si>
  <si>
    <t>Garmin Venu 2</t>
  </si>
  <si>
    <t>Asus ROG Zephyrus</t>
  </si>
  <si>
    <t>Samsung Galaxy Watch 5</t>
  </si>
  <si>
    <t>Lenovo Tab P12</t>
  </si>
  <si>
    <t>Apple Watch Series 8</t>
  </si>
  <si>
    <t>MacBook Air M2</t>
  </si>
  <si>
    <t>Xiaomi Mi 13</t>
  </si>
  <si>
    <t>Bose QC45</t>
  </si>
  <si>
    <t>OnePlus TV 50</t>
  </si>
  <si>
    <t>iPhone 14</t>
  </si>
  <si>
    <t>OnePlus 11</t>
  </si>
  <si>
    <t>Lenovo ThinkPad X1</t>
  </si>
  <si>
    <t>iPad Pro</t>
  </si>
  <si>
    <t>Xiaomi Mi TV 55</t>
  </si>
  <si>
    <t>Dell XPS 15</t>
  </si>
  <si>
    <t>JBL Flip 6</t>
  </si>
  <si>
    <t>Samsung QLED 65</t>
  </si>
  <si>
    <t>Microsoft Surface Go</t>
  </si>
  <si>
    <t>HP Spectre x360</t>
  </si>
  <si>
    <t>Google Pixel 7</t>
  </si>
  <si>
    <t>Samsung Galaxy Tab S8</t>
  </si>
  <si>
    <t>Sony Bravia 55</t>
  </si>
  <si>
    <t>Fitbit Sense 2</t>
  </si>
  <si>
    <t>Apple AirPods Pro</t>
  </si>
  <si>
    <t>Samsung Galaxy Buds2 Pro</t>
  </si>
  <si>
    <t>Samsung Galaxy S23</t>
  </si>
  <si>
    <t>Sony WH-1000XM5</t>
  </si>
  <si>
    <t>LG OLED 55</t>
  </si>
  <si>
    <t>Wearables</t>
  </si>
  <si>
    <t>Laptops</t>
  </si>
  <si>
    <t>Tablets</t>
  </si>
  <si>
    <t>Smartphones</t>
  </si>
  <si>
    <t>Audio</t>
  </si>
  <si>
    <t>Televisions</t>
  </si>
  <si>
    <t>OnePlus</t>
  </si>
  <si>
    <t>JBL</t>
  </si>
  <si>
    <t>Bose</t>
  </si>
  <si>
    <t>HP</t>
  </si>
  <si>
    <t>Sony</t>
  </si>
  <si>
    <t>Asus</t>
  </si>
  <si>
    <t>Xiaomi</t>
  </si>
  <si>
    <t>Samsung</t>
  </si>
  <si>
    <t>LG</t>
  </si>
  <si>
    <t>Lenovo</t>
  </si>
  <si>
    <t>Dell</t>
  </si>
  <si>
    <t>Apple</t>
  </si>
  <si>
    <t>UPI</t>
  </si>
  <si>
    <t>Credit Card</t>
  </si>
  <si>
    <t>Google Pay</t>
  </si>
  <si>
    <t>Cash</t>
  </si>
  <si>
    <t>Pending</t>
  </si>
  <si>
    <t>Cancelled</t>
  </si>
  <si>
    <t>Delivered</t>
  </si>
  <si>
    <t>Discounted Price</t>
  </si>
  <si>
    <t>Row Labels</t>
  </si>
  <si>
    <t>Grand Total</t>
  </si>
  <si>
    <t>Jan</t>
  </si>
  <si>
    <t>Feb</t>
  </si>
  <si>
    <t>Mar</t>
  </si>
  <si>
    <t>Apr</t>
  </si>
  <si>
    <t>May</t>
  </si>
  <si>
    <t>Jun</t>
  </si>
  <si>
    <t>Jul</t>
  </si>
  <si>
    <t>Aug</t>
  </si>
  <si>
    <t>Sep</t>
  </si>
  <si>
    <t>Oct</t>
  </si>
  <si>
    <t>Nov</t>
  </si>
  <si>
    <t>Dec</t>
  </si>
  <si>
    <t>Sum of Profit</t>
  </si>
  <si>
    <t>Total Sales</t>
  </si>
  <si>
    <t>Sum of Total Sales</t>
  </si>
  <si>
    <t>Sales &amp; Profit Analysis</t>
  </si>
  <si>
    <t>category wise profit</t>
  </si>
  <si>
    <t>category</t>
  </si>
  <si>
    <t>profit</t>
  </si>
  <si>
    <t>Combo Chart</t>
  </si>
  <si>
    <t>Waterfall Chart</t>
  </si>
  <si>
    <t xml:space="preserve">Category wise sales share % </t>
  </si>
  <si>
    <t xml:space="preserve">Pie Chart </t>
  </si>
  <si>
    <t>Map chart</t>
  </si>
  <si>
    <t>state</t>
  </si>
  <si>
    <t>sales</t>
  </si>
  <si>
    <t>sales by state</t>
  </si>
  <si>
    <t>top 5 products by sales</t>
  </si>
  <si>
    <t>bar chart</t>
  </si>
  <si>
    <t>KPI</t>
  </si>
  <si>
    <t>2024</t>
  </si>
  <si>
    <t>2025</t>
  </si>
  <si>
    <t>Sum of Quantity Ordered</t>
  </si>
  <si>
    <t>Count of Order ID</t>
  </si>
  <si>
    <t>Sum of Profit Margin</t>
  </si>
  <si>
    <t>KPI YOY</t>
  </si>
  <si>
    <t>SALES</t>
  </si>
  <si>
    <t>PROFIT</t>
  </si>
  <si>
    <t>QUANTITY</t>
  </si>
  <si>
    <t>ORDERS</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</si>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</sst>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0,&quot;K&quot;"/>
    <numFmt numFmtId="165" formatCode="_ [$₹-4009]\ * #,##0.00_ ;_ [$₹-4009]\ * \-#,##0.00_ ;_ [$₹-4009]\ * &quot;-&quot;??_ ;_ @_ "/>
    <numFmt numFmtId="166" formatCode="&quot;#&quot;\ 0"/>
    <numFmt numFmtId="167" formatCode="[Green]\▲0.00%;[Red]\▼0.00%"/>
  </numFmts>
  <fonts count="6" x14ac:knownFonts="1">
    <font>
      <sz val="11"/>
      <color theme="1"/>
      <name val="Calibri"/>
      <family val="2"/>
      <scheme val="minor"/>
    </font>
    <font>
      <b/>
      <sz val="11"/>
      <color theme="1"/>
      <name val="Calibri"/>
      <family val="2"/>
      <scheme val="minor"/>
    </font>
    <font>
      <sz val="11"/>
      <color theme="1"/>
      <name val="Calibri"/>
      <family val="2"/>
      <scheme val="minor"/>
    </font>
    <font>
      <sz val="11"/>
      <color theme="1"/>
      <name val="Calibri"/>
      <family val="2"/>
    </font>
    <font>
      <sz val="11"/>
      <color theme="1"/>
      <name val="Lato Black"/>
    </font>
    <font>
      <b/>
      <sz val="14"/>
      <color theme="1"/>
      <name val="Cambria"/>
      <family val="1"/>
      <scheme val="maj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14" fontId="0" fillId="0" borderId="0" xfId="0" applyNumberFormat="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44" fontId="0" fillId="0" borderId="0" xfId="0" applyNumberFormat="1"/>
    <xf numFmtId="165" fontId="0" fillId="0" borderId="0" xfId="0" applyNumberFormat="1"/>
    <xf numFmtId="166" fontId="0" fillId="0" borderId="0" xfId="0" applyNumberFormat="1"/>
    <xf numFmtId="10" fontId="0" fillId="0" borderId="0" xfId="1" applyNumberFormat="1" applyFont="1"/>
    <xf numFmtId="0" fontId="3" fillId="0" borderId="0" xfId="0" applyFont="1"/>
    <xf numFmtId="167" fontId="4" fillId="0" borderId="0" xfId="0" applyNumberFormat="1" applyFont="1"/>
    <xf numFmtId="167" fontId="5" fillId="0" borderId="0" xfId="0" applyNumberFormat="1" applyFont="1" applyAlignment="1">
      <alignment horizontal="center"/>
    </xf>
    <xf numFmtId="0" fontId="0" fillId="0" borderId="0" xfId="0" applyNumberFormat="1"/>
  </cellXfs>
  <cellStyles count="2">
    <cellStyle name="Normal" xfId="0" builtinId="0"/>
    <cellStyle name="Percent" xfId="1" builtinId="5"/>
  </cellStyles>
  <dxfs count="22">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9" formatCode="dd/mm/yyyy"/>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color theme="0"/>
      </font>
      <border>
        <bottom style="thin">
          <color theme="4"/>
        </bottom>
        <vertical/>
        <horizontal/>
      </border>
    </dxf>
    <dxf>
      <font>
        <color theme="0"/>
      </font>
      <fill>
        <patternFill>
          <bgColor theme="1" tint="0.24994659260841701"/>
        </patternFill>
      </fill>
      <border diagonalUp="0" diagonalDown="0">
        <left/>
        <right/>
        <top/>
        <bottom/>
        <vertical/>
        <horizontal/>
      </border>
    </dxf>
  </dxfs>
  <tableStyles count="1" defaultTableStyle="TableStyleMedium9" defaultPivotStyle="PivotStyleLight16">
    <tableStyle name="AB" pivot="0" table="0" count="10" xr9:uid="{86C2A2B1-9215-4084-90C7-F20BA8D19F20}">
      <tableStyleElement type="wholeTable" dxfId="21"/>
      <tableStyleElement type="headerRow" dxfId="20"/>
    </tableStyle>
  </tableStyles>
  <colors>
    <mruColors>
      <color rgb="FFE39C1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[15-8-2025_Nikita Divekar_customer_orders_Analysis.xlsx]pivot tables!combo chart</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 tables'!$C$3</c:f>
              <c:strCache>
                <c:ptCount val="1"/>
                <c:pt idx="0">
                  <c:v>Sum of Profit</c:v>
                </c:pt>
              </c:strCache>
            </c:strRef>
          </c:tx>
          <c:spPr>
            <a:solidFill>
              <a:schemeClr val="accent2"/>
            </a:solidFill>
            <a:ln>
              <a:noFill/>
            </a:ln>
            <a:effectLst/>
          </c:spP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tables'!$C$4:$C$16</c:f>
              <c:numCache>
                <c:formatCode>\₹#,##0,"K"</c:formatCode>
                <c:ptCount val="12"/>
                <c:pt idx="0">
                  <c:v>2636832</c:v>
                </c:pt>
                <c:pt idx="1">
                  <c:v>2996928</c:v>
                </c:pt>
                <c:pt idx="2">
                  <c:v>3670656</c:v>
                </c:pt>
                <c:pt idx="3">
                  <c:v>3333792</c:v>
                </c:pt>
                <c:pt idx="4">
                  <c:v>2392896</c:v>
                </c:pt>
                <c:pt idx="5">
                  <c:v>2880768</c:v>
                </c:pt>
                <c:pt idx="6">
                  <c:v>2950464</c:v>
                </c:pt>
                <c:pt idx="7">
                  <c:v>1661088</c:v>
                </c:pt>
                <c:pt idx="8">
                  <c:v>1544928</c:v>
                </c:pt>
                <c:pt idx="9">
                  <c:v>1312608</c:v>
                </c:pt>
                <c:pt idx="10">
                  <c:v>1486848</c:v>
                </c:pt>
                <c:pt idx="11">
                  <c:v>1614624</c:v>
                </c:pt>
              </c:numCache>
            </c:numRef>
          </c:val>
          <c:extLst>
            <c:ext xmlns:c16="http://schemas.microsoft.com/office/drawing/2014/chart" uri="{C3380CC4-5D6E-409C-BE32-E72D297353CC}">
              <c16:uniqueId val="{00000001-CB30-4236-95F0-8D3E42387022}"/>
            </c:ext>
          </c:extLst>
        </c:ser>
        <c:dLbls>
          <c:showLegendKey val="0"/>
          <c:showVal val="0"/>
          <c:showCatName val="0"/>
          <c:showSerName val="0"/>
          <c:showPercent val="0"/>
          <c:showBubbleSize val="0"/>
        </c:dLbls>
        <c:axId val="95255760"/>
        <c:axId val="95258640"/>
      </c:areaChart>
      <c:barChart>
        <c:barDir val="col"/>
        <c:grouping val="clustered"/>
        <c:varyColors val="0"/>
        <c:ser>
          <c:idx val="0"/>
          <c:order val="0"/>
          <c:tx>
            <c:strRef>
              <c:f>'pivot tables'!$B$3</c:f>
              <c:strCache>
                <c:ptCount val="1"/>
                <c:pt idx="0">
                  <c:v>Sum of Total Sales</c:v>
                </c:pt>
              </c:strCache>
            </c:strRef>
          </c:tx>
          <c:spPr>
            <a:solidFill>
              <a:schemeClr val="accent1"/>
            </a:solidFill>
            <a:ln>
              <a:noFill/>
            </a:ln>
            <a:effectLst/>
          </c:spPr>
          <c:invertIfNegative val="0"/>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\₹#,##0,"K"</c:formatCode>
                <c:ptCount val="12"/>
                <c:pt idx="0">
                  <c:v>17578880</c:v>
                </c:pt>
                <c:pt idx="1">
                  <c:v>19979520</c:v>
                </c:pt>
                <c:pt idx="2">
                  <c:v>24471040</c:v>
                </c:pt>
                <c:pt idx="3">
                  <c:v>22225280</c:v>
                </c:pt>
                <c:pt idx="4">
                  <c:v>15952640</c:v>
                </c:pt>
                <c:pt idx="5">
                  <c:v>19205120</c:v>
                </c:pt>
                <c:pt idx="6">
                  <c:v>19669760</c:v>
                </c:pt>
                <c:pt idx="7">
                  <c:v>11073920</c:v>
                </c:pt>
                <c:pt idx="8">
                  <c:v>10299520</c:v>
                </c:pt>
                <c:pt idx="9">
                  <c:v>8750720</c:v>
                </c:pt>
                <c:pt idx="10">
                  <c:v>9912320</c:v>
                </c:pt>
                <c:pt idx="11">
                  <c:v>10764160</c:v>
                </c:pt>
              </c:numCache>
            </c:numRef>
          </c:val>
          <c:extLst>
            <c:ext xmlns:c16="http://schemas.microsoft.com/office/drawing/2014/chart" uri="{C3380CC4-5D6E-409C-BE32-E72D297353CC}">
              <c16:uniqueId val="{00000000-CB30-4236-95F0-8D3E42387022}"/>
            </c:ext>
          </c:extLst>
        </c:ser>
        <c:dLbls>
          <c:showLegendKey val="0"/>
          <c:showVal val="0"/>
          <c:showCatName val="0"/>
          <c:showSerName val="0"/>
          <c:showPercent val="0"/>
          <c:showBubbleSize val="0"/>
        </c:dLbls>
        <c:gapWidth val="219"/>
        <c:overlap val="-27"/>
        <c:axId val="70022208"/>
        <c:axId val="70029888"/>
      </c:barChart>
      <c:catAx>
        <c:axId val="7002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0029888"/>
        <c:crosses val="autoZero"/>
        <c:auto val="1"/>
        <c:lblAlgn val="ctr"/>
        <c:lblOffset val="100"/>
        <c:noMultiLvlLbl val="0"/>
      </c:catAx>
      <c:valAx>
        <c:axId val="70029888"/>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0022208"/>
        <c:crosses val="autoZero"/>
        <c:crossBetween val="between"/>
      </c:valAx>
      <c:valAx>
        <c:axId val="95258640"/>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5255760"/>
        <c:crosses val="max"/>
        <c:crossBetween val="between"/>
      </c:valAx>
      <c:catAx>
        <c:axId val="95255760"/>
        <c:scaling>
          <c:orientation val="minMax"/>
        </c:scaling>
        <c:delete val="1"/>
        <c:axPos val="b"/>
        <c:numFmt formatCode="General" sourceLinked="1"/>
        <c:majorTickMark val="out"/>
        <c:minorTickMark val="none"/>
        <c:tickLblPos val="nextTo"/>
        <c:crossAx val="952586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[15-8-2025_Nikita Divekar_customer_orders_Analysis.xlsx]pivot tables!pie chart</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661609798775153"/>
          <c:y val="8.566054243219598E-2"/>
          <c:w val="0.4718449256342957"/>
          <c:h val="0.78640820939049283"/>
        </c:manualLayout>
      </c:layout>
      <c:doughnutChart>
        <c:varyColors val="1"/>
        <c:ser>
          <c:idx val="0"/>
          <c:order val="0"/>
          <c:tx>
            <c:strRef>
              <c:f>'pivot tables'!$B$43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04-4818-A412-B9211F22C6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04-4818-A412-B9211F22C6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04-4818-A412-B9211F22C6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04-4818-A412-B9211F22C6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804-4818-A412-B9211F22C66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804-4818-A412-B9211F22C6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tables'!$A$44:$A$50</c:f>
              <c:strCache>
                <c:ptCount val="6"/>
                <c:pt idx="0">
                  <c:v>Audio</c:v>
                </c:pt>
                <c:pt idx="1">
                  <c:v>Laptops</c:v>
                </c:pt>
                <c:pt idx="2">
                  <c:v>Smartphones</c:v>
                </c:pt>
                <c:pt idx="3">
                  <c:v>Tablets</c:v>
                </c:pt>
                <c:pt idx="4">
                  <c:v>Televisions</c:v>
                </c:pt>
                <c:pt idx="5">
                  <c:v>Wearables</c:v>
                </c:pt>
              </c:strCache>
            </c:strRef>
          </c:cat>
          <c:val>
            <c:numRef>
              <c:f>'pivot tables'!$B$44:$B$50</c:f>
              <c:numCache>
                <c:formatCode>0.00%</c:formatCode>
                <c:ptCount val="6"/>
                <c:pt idx="0">
                  <c:v>0.18270799347471453</c:v>
                </c:pt>
                <c:pt idx="1">
                  <c:v>0.17088091353996737</c:v>
                </c:pt>
                <c:pt idx="2">
                  <c:v>0.14518760195758565</c:v>
                </c:pt>
                <c:pt idx="3">
                  <c:v>0.15497553017944535</c:v>
                </c:pt>
                <c:pt idx="4">
                  <c:v>0.17985318107667211</c:v>
                </c:pt>
                <c:pt idx="5">
                  <c:v>0.16639477977161501</c:v>
                </c:pt>
              </c:numCache>
            </c:numRef>
          </c:val>
          <c:extLst>
            <c:ext xmlns:c16="http://schemas.microsoft.com/office/drawing/2014/chart" uri="{C3380CC4-5D6E-409C-BE32-E72D297353CC}">
              <c16:uniqueId val="{00000000-44BF-4A97-8500-5DB38DABADC6}"/>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[15-8-2025_Nikita Divekar_customer_orders_Analysis.xlsx]pivot tables!bar chart</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tables'!$B$79</c:f>
              <c:strCache>
                <c:ptCount val="1"/>
                <c:pt idx="0">
                  <c:v>Total</c:v>
                </c:pt>
              </c:strCache>
            </c:strRef>
          </c:tx>
          <c:spPr>
            <a:solidFill>
              <a:schemeClr val="accent1"/>
            </a:solidFill>
            <a:ln>
              <a:noFill/>
            </a:ln>
            <a:effectLst/>
          </c:spPr>
          <c:invertIfNegative val="0"/>
          <c:cat>
            <c:strRef>
              <c:f>'pivot tables'!$A$80:$A$86</c:f>
              <c:strCache>
                <c:ptCount val="6"/>
                <c:pt idx="0">
                  <c:v>Garmin Venu 2</c:v>
                </c:pt>
                <c:pt idx="1">
                  <c:v>Samsung Galaxy Watch 5</c:v>
                </c:pt>
                <c:pt idx="2">
                  <c:v>Sony WH-1000XM5</c:v>
                </c:pt>
                <c:pt idx="3">
                  <c:v>Samsung Galaxy Tab S8</c:v>
                </c:pt>
                <c:pt idx="4">
                  <c:v>iPad Pro</c:v>
                </c:pt>
                <c:pt idx="5">
                  <c:v>Samsung QLED 65</c:v>
                </c:pt>
              </c:strCache>
            </c:strRef>
          </c:cat>
          <c:val>
            <c:numRef>
              <c:f>'pivot tables'!$B$80:$B$86</c:f>
              <c:numCache>
                <c:formatCode>General</c:formatCode>
                <c:ptCount val="6"/>
                <c:pt idx="0">
                  <c:v>10067200</c:v>
                </c:pt>
                <c:pt idx="1">
                  <c:v>9447680</c:v>
                </c:pt>
                <c:pt idx="2">
                  <c:v>9215360</c:v>
                </c:pt>
                <c:pt idx="3">
                  <c:v>8595840</c:v>
                </c:pt>
                <c:pt idx="4">
                  <c:v>8363520</c:v>
                </c:pt>
                <c:pt idx="5">
                  <c:v>8363520</c:v>
                </c:pt>
              </c:numCache>
            </c:numRef>
          </c:val>
          <c:extLst>
            <c:ext xmlns:c16="http://schemas.microsoft.com/office/drawing/2014/chart" uri="{C3380CC4-5D6E-409C-BE32-E72D297353CC}">
              <c16:uniqueId val="{00000000-1C6B-415D-98A3-BA991E3A325D}"/>
            </c:ext>
          </c:extLst>
        </c:ser>
        <c:dLbls>
          <c:showLegendKey val="0"/>
          <c:showVal val="0"/>
          <c:showCatName val="0"/>
          <c:showSerName val="0"/>
          <c:showPercent val="0"/>
          <c:showBubbleSize val="0"/>
        </c:dLbls>
        <c:gapWidth val="182"/>
        <c:axId val="939916239"/>
        <c:axId val="939918159"/>
      </c:barChart>
      <c:catAx>
        <c:axId val="9399162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918159"/>
        <c:crosses val="autoZero"/>
        <c:auto val="1"/>
        <c:lblAlgn val="ctr"/>
        <c:lblOffset val="100"/>
        <c:noMultiLvlLbl val="0"/>
      </c:catAx>
      <c:valAx>
        <c:axId val="939918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91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[15-8-2025_Nikita Divekar_customer_orders_Analysis.xlsx]pivot tables!kpi sales</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tables'!$B$98</c:f>
              <c:strCache>
                <c:ptCount val="1"/>
                <c:pt idx="0">
                  <c:v>Total</c:v>
                </c:pt>
              </c:strCache>
            </c:strRef>
          </c:tx>
          <c:spPr>
            <a:ln w="28575" cap="rnd">
              <a:solidFill>
                <a:schemeClr val="accent1"/>
              </a:solidFill>
              <a:round/>
            </a:ln>
            <a:effectLst/>
          </c:spPr>
          <c:marker>
            <c:symbol val="none"/>
          </c:marker>
          <c:cat>
            <c:strRef>
              <c:f>'pivot tables'!$A$99:$A$111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tables'!$B$99:$B$111</c:f>
              <c:numCache>
                <c:formatCode>General</c:formatCode>
                <c:ptCount val="12"/>
                <c:pt idx="0">
                  <c:v>17578880</c:v>
                </c:pt>
                <c:pt idx="1">
                  <c:v>19979520</c:v>
                </c:pt>
                <c:pt idx="2">
                  <c:v>24471040</c:v>
                </c:pt>
                <c:pt idx="3">
                  <c:v>22225280</c:v>
                </c:pt>
                <c:pt idx="4">
                  <c:v>15952640</c:v>
                </c:pt>
                <c:pt idx="5">
                  <c:v>19205120</c:v>
                </c:pt>
                <c:pt idx="6">
                  <c:v>19669760</c:v>
                </c:pt>
                <c:pt idx="7">
                  <c:v>11073920</c:v>
                </c:pt>
                <c:pt idx="8">
                  <c:v>10299520</c:v>
                </c:pt>
                <c:pt idx="9">
                  <c:v>8750720</c:v>
                </c:pt>
                <c:pt idx="10">
                  <c:v>9912320</c:v>
                </c:pt>
                <c:pt idx="11">
                  <c:v>10764160</c:v>
                </c:pt>
              </c:numCache>
            </c:numRef>
          </c:val>
          <c:smooth val="0"/>
          <c:extLst>
            <c:ext xmlns:c16="http://schemas.microsoft.com/office/drawing/2014/chart" uri="{C3380CC4-5D6E-409C-BE32-E72D297353CC}">
              <c16:uniqueId val="{00000000-2A83-46C7-8622-2D62954A3C82}"/>
            </c:ext>
          </c:extLst>
        </c:ser>
        <c:dLbls>
          <c:showLegendKey val="0"/>
          <c:showVal val="0"/>
          <c:showCatName val="0"/>
          <c:showSerName val="0"/>
          <c:showPercent val="0"/>
          <c:showBubbleSize val="0"/>
        </c:dLbls>
        <c:smooth val="0"/>
        <c:axId val="939967599"/>
        <c:axId val="939965679"/>
      </c:lineChart>
      <c:catAx>
        <c:axId val="939967599"/>
        <c:scaling>
          <c:orientation val="minMax"/>
        </c:scaling>
        <c:delete val="1"/>
        <c:axPos val="b"/>
        <c:numFmt formatCode="General" sourceLinked="1"/>
        <c:majorTickMark val="none"/>
        <c:minorTickMark val="none"/>
        <c:tickLblPos val="nextTo"/>
        <c:crossAx val="939965679"/>
        <c:crosses val="autoZero"/>
        <c:auto val="1"/>
        <c:lblAlgn val="ctr"/>
        <c:lblOffset val="100"/>
        <c:noMultiLvlLbl val="0"/>
      </c:catAx>
      <c:valAx>
        <c:axId val="939965679"/>
        <c:scaling>
          <c:orientation val="minMax"/>
        </c:scaling>
        <c:delete val="1"/>
        <c:axPos val="l"/>
        <c:numFmt formatCode="General" sourceLinked="1"/>
        <c:majorTickMark val="none"/>
        <c:minorTickMark val="none"/>
        <c:tickLblPos val="nextTo"/>
        <c:crossAx val="93996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[15-8-2025_Nikita Divekar_customer_orders_Analysis.xlsx]pivot tables!kpi profit</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tables'!$E$98</c:f>
              <c:strCache>
                <c:ptCount val="1"/>
                <c:pt idx="0">
                  <c:v>Total</c:v>
                </c:pt>
              </c:strCache>
            </c:strRef>
          </c:tx>
          <c:spPr>
            <a:ln w="28575" cap="rnd">
              <a:solidFill>
                <a:schemeClr val="accent1"/>
              </a:solidFill>
              <a:round/>
            </a:ln>
            <a:effectLst/>
          </c:spPr>
          <c:marker>
            <c:symbol val="none"/>
          </c:marker>
          <c:cat>
            <c:strRef>
              <c:f>'pivot tables'!$D$99:$D$111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tables'!$E$99:$E$111</c:f>
              <c:numCache>
                <c:formatCode>General</c:formatCode>
                <c:ptCount val="12"/>
                <c:pt idx="0">
                  <c:v>2636832</c:v>
                </c:pt>
                <c:pt idx="1">
                  <c:v>2996928</c:v>
                </c:pt>
                <c:pt idx="2">
                  <c:v>3670656</c:v>
                </c:pt>
                <c:pt idx="3">
                  <c:v>3333792</c:v>
                </c:pt>
                <c:pt idx="4">
                  <c:v>2392896</c:v>
                </c:pt>
                <c:pt idx="5">
                  <c:v>2880768</c:v>
                </c:pt>
                <c:pt idx="6">
                  <c:v>2950464</c:v>
                </c:pt>
                <c:pt idx="7">
                  <c:v>1661088</c:v>
                </c:pt>
                <c:pt idx="8">
                  <c:v>1544928</c:v>
                </c:pt>
                <c:pt idx="9">
                  <c:v>1312608</c:v>
                </c:pt>
                <c:pt idx="10">
                  <c:v>1486848</c:v>
                </c:pt>
                <c:pt idx="11">
                  <c:v>1614624</c:v>
                </c:pt>
              </c:numCache>
            </c:numRef>
          </c:val>
          <c:smooth val="0"/>
          <c:extLst>
            <c:ext xmlns:c16="http://schemas.microsoft.com/office/drawing/2014/chart" uri="{C3380CC4-5D6E-409C-BE32-E72D297353CC}">
              <c16:uniqueId val="{00000000-DDBB-4135-BA38-8DE57D8C56A3}"/>
            </c:ext>
          </c:extLst>
        </c:ser>
        <c:dLbls>
          <c:showLegendKey val="0"/>
          <c:showVal val="0"/>
          <c:showCatName val="0"/>
          <c:showSerName val="0"/>
          <c:showPercent val="0"/>
          <c:showBubbleSize val="0"/>
        </c:dLbls>
        <c:smooth val="0"/>
        <c:axId val="939857679"/>
        <c:axId val="939859119"/>
      </c:lineChart>
      <c:catAx>
        <c:axId val="939857679"/>
        <c:scaling>
          <c:orientation val="minMax"/>
        </c:scaling>
        <c:delete val="1"/>
        <c:axPos val="b"/>
        <c:numFmt formatCode="General" sourceLinked="1"/>
        <c:majorTickMark val="none"/>
        <c:minorTickMark val="none"/>
        <c:tickLblPos val="nextTo"/>
        <c:crossAx val="939859119"/>
        <c:crosses val="autoZero"/>
        <c:auto val="1"/>
        <c:lblAlgn val="ctr"/>
        <c:lblOffset val="100"/>
        <c:noMultiLvlLbl val="0"/>
      </c:catAx>
      <c:valAx>
        <c:axId val="939859119"/>
        <c:scaling>
          <c:orientation val="minMax"/>
        </c:scaling>
        <c:delete val="1"/>
        <c:axPos val="l"/>
        <c:numFmt formatCode="General" sourceLinked="1"/>
        <c:majorTickMark val="none"/>
        <c:minorTickMark val="none"/>
        <c:tickLblPos val="nextTo"/>
        <c:crossAx val="93985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[15-8-2025_Nikita Divekar_customer_orders_Analysis.xlsx]pivot tables!kpi quantity</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tables'!$H$98</c:f>
              <c:strCache>
                <c:ptCount val="1"/>
                <c:pt idx="0">
                  <c:v>Total</c:v>
                </c:pt>
              </c:strCache>
            </c:strRef>
          </c:tx>
          <c:spPr>
            <a:ln w="28575" cap="rnd">
              <a:solidFill>
                <a:schemeClr val="accent1"/>
              </a:solidFill>
              <a:round/>
            </a:ln>
            <a:effectLst/>
          </c:spPr>
          <c:marker>
            <c:symbol val="none"/>
          </c:marker>
          <c:cat>
            <c:strRef>
              <c:f>'pivot tables'!$G$99:$G$111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tables'!$H$99:$H$111</c:f>
              <c:numCache>
                <c:formatCode>General</c:formatCode>
                <c:ptCount val="12"/>
                <c:pt idx="0">
                  <c:v>227</c:v>
                </c:pt>
                <c:pt idx="1">
                  <c:v>258</c:v>
                </c:pt>
                <c:pt idx="2">
                  <c:v>316</c:v>
                </c:pt>
                <c:pt idx="3">
                  <c:v>287</c:v>
                </c:pt>
                <c:pt idx="4">
                  <c:v>206</c:v>
                </c:pt>
                <c:pt idx="5">
                  <c:v>248</c:v>
                </c:pt>
                <c:pt idx="6">
                  <c:v>254</c:v>
                </c:pt>
                <c:pt idx="7">
                  <c:v>143</c:v>
                </c:pt>
                <c:pt idx="8">
                  <c:v>133</c:v>
                </c:pt>
                <c:pt idx="9">
                  <c:v>113</c:v>
                </c:pt>
                <c:pt idx="10">
                  <c:v>128</c:v>
                </c:pt>
                <c:pt idx="11">
                  <c:v>139</c:v>
                </c:pt>
              </c:numCache>
            </c:numRef>
          </c:val>
          <c:smooth val="0"/>
          <c:extLst>
            <c:ext xmlns:c16="http://schemas.microsoft.com/office/drawing/2014/chart" uri="{C3380CC4-5D6E-409C-BE32-E72D297353CC}">
              <c16:uniqueId val="{00000000-CF05-4BE1-82E6-A9973B137055}"/>
            </c:ext>
          </c:extLst>
        </c:ser>
        <c:dLbls>
          <c:showLegendKey val="0"/>
          <c:showVal val="0"/>
          <c:showCatName val="0"/>
          <c:showSerName val="0"/>
          <c:showPercent val="0"/>
          <c:showBubbleSize val="0"/>
        </c:dLbls>
        <c:smooth val="0"/>
        <c:axId val="939864879"/>
        <c:axId val="939866319"/>
      </c:lineChart>
      <c:catAx>
        <c:axId val="939864879"/>
        <c:scaling>
          <c:orientation val="minMax"/>
        </c:scaling>
        <c:delete val="1"/>
        <c:axPos val="b"/>
        <c:numFmt formatCode="General" sourceLinked="1"/>
        <c:majorTickMark val="none"/>
        <c:minorTickMark val="none"/>
        <c:tickLblPos val="nextTo"/>
        <c:crossAx val="939866319"/>
        <c:crosses val="autoZero"/>
        <c:auto val="1"/>
        <c:lblAlgn val="ctr"/>
        <c:lblOffset val="100"/>
        <c:noMultiLvlLbl val="0"/>
      </c:catAx>
      <c:valAx>
        <c:axId val="939866319"/>
        <c:scaling>
          <c:orientation val="minMax"/>
        </c:scaling>
        <c:delete val="1"/>
        <c:axPos val="l"/>
        <c:numFmt formatCode="General" sourceLinked="1"/>
        <c:majorTickMark val="none"/>
        <c:minorTickMark val="none"/>
        <c:tickLblPos val="nextTo"/>
        <c:crossAx val="93986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[15-8-2025_Nikita Divekar_customer_orders_Analysis.xlsx]pivot tables!kpi orders</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tables'!$B$120</c:f>
              <c:strCache>
                <c:ptCount val="1"/>
                <c:pt idx="0">
                  <c:v>Total</c:v>
                </c:pt>
              </c:strCache>
            </c:strRef>
          </c:tx>
          <c:spPr>
            <a:ln w="28575" cap="rnd">
              <a:solidFill>
                <a:schemeClr val="accent1"/>
              </a:solidFill>
              <a:round/>
            </a:ln>
            <a:effectLst/>
          </c:spPr>
          <c:marker>
            <c:symbol val="none"/>
          </c:marker>
          <c:cat>
            <c:strRef>
              <c:f>'pivot tables'!$A$121:$A$133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tables'!$B$121:$B$133</c:f>
              <c:numCache>
                <c:formatCode>General</c:formatCode>
                <c:ptCount val="12"/>
                <c:pt idx="0">
                  <c:v>81</c:v>
                </c:pt>
                <c:pt idx="1">
                  <c:v>84</c:v>
                </c:pt>
                <c:pt idx="2">
                  <c:v>94</c:v>
                </c:pt>
                <c:pt idx="3">
                  <c:v>91</c:v>
                </c:pt>
                <c:pt idx="4">
                  <c:v>65</c:v>
                </c:pt>
                <c:pt idx="5">
                  <c:v>85</c:v>
                </c:pt>
                <c:pt idx="6">
                  <c:v>82</c:v>
                </c:pt>
                <c:pt idx="7">
                  <c:v>46</c:v>
                </c:pt>
                <c:pt idx="8">
                  <c:v>43</c:v>
                </c:pt>
                <c:pt idx="9">
                  <c:v>39</c:v>
                </c:pt>
                <c:pt idx="10">
                  <c:v>42</c:v>
                </c:pt>
                <c:pt idx="11">
                  <c:v>48</c:v>
                </c:pt>
              </c:numCache>
            </c:numRef>
          </c:val>
          <c:smooth val="0"/>
          <c:extLst>
            <c:ext xmlns:c16="http://schemas.microsoft.com/office/drawing/2014/chart" uri="{C3380CC4-5D6E-409C-BE32-E72D297353CC}">
              <c16:uniqueId val="{00000000-D1ED-4BC3-88E7-6CCF64022F9A}"/>
            </c:ext>
          </c:extLst>
        </c:ser>
        <c:dLbls>
          <c:showLegendKey val="0"/>
          <c:showVal val="0"/>
          <c:showCatName val="0"/>
          <c:showSerName val="0"/>
          <c:showPercent val="0"/>
          <c:showBubbleSize val="0"/>
        </c:dLbls>
        <c:smooth val="0"/>
        <c:axId val="939884079"/>
        <c:axId val="939886959"/>
      </c:lineChart>
      <c:catAx>
        <c:axId val="939884079"/>
        <c:scaling>
          <c:orientation val="minMax"/>
        </c:scaling>
        <c:delete val="1"/>
        <c:axPos val="b"/>
        <c:numFmt formatCode="General" sourceLinked="1"/>
        <c:majorTickMark val="none"/>
        <c:minorTickMark val="none"/>
        <c:tickLblPos val="nextTo"/>
        <c:crossAx val="939886959"/>
        <c:crosses val="autoZero"/>
        <c:auto val="1"/>
        <c:lblAlgn val="ctr"/>
        <c:lblOffset val="100"/>
        <c:noMultiLvlLbl val="0"/>
      </c:catAx>
      <c:valAx>
        <c:axId val="939886959"/>
        <c:scaling>
          <c:orientation val="minMax"/>
        </c:scaling>
        <c:delete val="1"/>
        <c:axPos val="l"/>
        <c:numFmt formatCode="General" sourceLinked="1"/>
        <c:majorTickMark val="none"/>
        <c:minorTickMark val="none"/>
        <c:tickLblPos val="nextTo"/>
        <c:crossAx val="93988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[15-8-2025_Nikita Divekar_customer_orders_Analysis.xlsx]pivot tables!kpi margin</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tables'!$E$120</c:f>
              <c:strCache>
                <c:ptCount val="1"/>
                <c:pt idx="0">
                  <c:v>Total</c:v>
                </c:pt>
              </c:strCache>
            </c:strRef>
          </c:tx>
          <c:spPr>
            <a:ln w="28575" cap="rnd">
              <a:solidFill>
                <a:schemeClr val="accent1"/>
              </a:solidFill>
              <a:round/>
            </a:ln>
            <a:effectLst/>
          </c:spPr>
          <c:marker>
            <c:symbol val="none"/>
          </c:marker>
          <c:cat>
            <c:strRef>
              <c:f>'pivot tables'!$D$121:$D$133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tables'!$E$121:$E$133</c:f>
              <c:numCache>
                <c:formatCode>General</c:formatCode>
                <c:ptCount val="12"/>
                <c:pt idx="0">
                  <c:v>0.15</c:v>
                </c:pt>
                <c:pt idx="1">
                  <c:v>0.15</c:v>
                </c:pt>
                <c:pt idx="2">
                  <c:v>0.15</c:v>
                </c:pt>
                <c:pt idx="3">
                  <c:v>0.15</c:v>
                </c:pt>
                <c:pt idx="4">
                  <c:v>0.15</c:v>
                </c:pt>
                <c:pt idx="5">
                  <c:v>0.15</c:v>
                </c:pt>
                <c:pt idx="6">
                  <c:v>0.15</c:v>
                </c:pt>
                <c:pt idx="7">
                  <c:v>0.15</c:v>
                </c:pt>
                <c:pt idx="8">
                  <c:v>0.15</c:v>
                </c:pt>
                <c:pt idx="9">
                  <c:v>0.15</c:v>
                </c:pt>
                <c:pt idx="10">
                  <c:v>0.15</c:v>
                </c:pt>
                <c:pt idx="11">
                  <c:v>0.15</c:v>
                </c:pt>
              </c:numCache>
            </c:numRef>
          </c:val>
          <c:smooth val="0"/>
          <c:extLst>
            <c:ext xmlns:c16="http://schemas.microsoft.com/office/drawing/2014/chart" uri="{C3380CC4-5D6E-409C-BE32-E72D297353CC}">
              <c16:uniqueId val="{00000000-B243-47E0-816D-1103D8D3FBDB}"/>
            </c:ext>
          </c:extLst>
        </c:ser>
        <c:dLbls>
          <c:showLegendKey val="0"/>
          <c:showVal val="0"/>
          <c:showCatName val="0"/>
          <c:showSerName val="0"/>
          <c:showPercent val="0"/>
          <c:showBubbleSize val="0"/>
        </c:dLbls>
        <c:smooth val="0"/>
        <c:axId val="973181103"/>
        <c:axId val="973172943"/>
      </c:lineChart>
      <c:catAx>
        <c:axId val="973181103"/>
        <c:scaling>
          <c:orientation val="minMax"/>
        </c:scaling>
        <c:delete val="1"/>
        <c:axPos val="b"/>
        <c:numFmt formatCode="General" sourceLinked="1"/>
        <c:majorTickMark val="none"/>
        <c:minorTickMark val="none"/>
        <c:tickLblPos val="nextTo"/>
        <c:crossAx val="973172943"/>
        <c:crosses val="autoZero"/>
        <c:auto val="1"/>
        <c:lblAlgn val="ctr"/>
        <c:lblOffset val="100"/>
        <c:noMultiLvlLbl val="0"/>
      </c:catAx>
      <c:valAx>
        <c:axId val="973172943"/>
        <c:scaling>
          <c:orientation val="minMax"/>
        </c:scaling>
        <c:delete val="1"/>
        <c:axPos val="l"/>
        <c:numFmt formatCode="General" sourceLinked="1"/>
        <c:majorTickMark val="none"/>
        <c:minorTickMark val="none"/>
        <c:tickLblPos val="nextTo"/>
        <c:crossAx val="97318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[15-8-2025_Nikita Divekar_customer_orders_Analysis.xlsx]pivot tables!kpi profit</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tables'!$E$98</c:f>
              <c:strCache>
                <c:ptCount val="1"/>
                <c:pt idx="0">
                  <c:v>Total</c:v>
                </c:pt>
              </c:strCache>
            </c:strRef>
          </c:tx>
          <c:spPr>
            <a:ln w="34925" cap="rnd">
              <a:solidFill>
                <a:schemeClr val="bg1">
                  <a:lumMod val="85000"/>
                </a:schemeClr>
              </a:solidFill>
              <a:round/>
            </a:ln>
            <a:effectLst/>
          </c:spPr>
          <c:marker>
            <c:symbol val="none"/>
          </c:marker>
          <c:cat>
            <c:strRef>
              <c:f>'pivot tables'!$D$99:$D$111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tables'!$E$99:$E$111</c:f>
              <c:numCache>
                <c:formatCode>General</c:formatCode>
                <c:ptCount val="12"/>
                <c:pt idx="0">
                  <c:v>2636832</c:v>
                </c:pt>
                <c:pt idx="1">
                  <c:v>2996928</c:v>
                </c:pt>
                <c:pt idx="2">
                  <c:v>3670656</c:v>
                </c:pt>
                <c:pt idx="3">
                  <c:v>3333792</c:v>
                </c:pt>
                <c:pt idx="4">
                  <c:v>2392896</c:v>
                </c:pt>
                <c:pt idx="5">
                  <c:v>2880768</c:v>
                </c:pt>
                <c:pt idx="6">
                  <c:v>2950464</c:v>
                </c:pt>
                <c:pt idx="7">
                  <c:v>1661088</c:v>
                </c:pt>
                <c:pt idx="8">
                  <c:v>1544928</c:v>
                </c:pt>
                <c:pt idx="9">
                  <c:v>1312608</c:v>
                </c:pt>
                <c:pt idx="10">
                  <c:v>1486848</c:v>
                </c:pt>
                <c:pt idx="11">
                  <c:v>1614624</c:v>
                </c:pt>
              </c:numCache>
            </c:numRef>
          </c:val>
          <c:smooth val="0"/>
          <c:extLst>
            <c:ext xmlns:c16="http://schemas.microsoft.com/office/drawing/2014/chart" uri="{C3380CC4-5D6E-409C-BE32-E72D297353CC}">
              <c16:uniqueId val="{00000000-505A-4D4D-AF83-34BB1D3B4584}"/>
            </c:ext>
          </c:extLst>
        </c:ser>
        <c:dLbls>
          <c:showLegendKey val="0"/>
          <c:showVal val="0"/>
          <c:showCatName val="0"/>
          <c:showSerName val="0"/>
          <c:showPercent val="0"/>
          <c:showBubbleSize val="0"/>
        </c:dLbls>
        <c:smooth val="0"/>
        <c:axId val="939857679"/>
        <c:axId val="939859119"/>
      </c:lineChart>
      <c:catAx>
        <c:axId val="939857679"/>
        <c:scaling>
          <c:orientation val="minMax"/>
        </c:scaling>
        <c:delete val="1"/>
        <c:axPos val="b"/>
        <c:numFmt formatCode="General" sourceLinked="1"/>
        <c:majorTickMark val="none"/>
        <c:minorTickMark val="none"/>
        <c:tickLblPos val="nextTo"/>
        <c:crossAx val="939859119"/>
        <c:crosses val="autoZero"/>
        <c:auto val="1"/>
        <c:lblAlgn val="ctr"/>
        <c:lblOffset val="100"/>
        <c:noMultiLvlLbl val="0"/>
      </c:catAx>
      <c:valAx>
        <c:axId val="939859119"/>
        <c:scaling>
          <c:orientation val="minMax"/>
        </c:scaling>
        <c:delete val="1"/>
        <c:axPos val="l"/>
        <c:numFmt formatCode="General" sourceLinked="1"/>
        <c:majorTickMark val="none"/>
        <c:minorTickMark val="none"/>
        <c:tickLblPos val="nextTo"/>
        <c:crossAx val="93985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[15-8-2025_Nikita Divekar_customer_orders_Analysis.xlsx]pivot tables!kpi quantity</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tables'!$H$98</c:f>
              <c:strCache>
                <c:ptCount val="1"/>
                <c:pt idx="0">
                  <c:v>Total</c:v>
                </c:pt>
              </c:strCache>
            </c:strRef>
          </c:tx>
          <c:spPr>
            <a:ln w="34925" cap="rnd">
              <a:solidFill>
                <a:schemeClr val="bg1">
                  <a:lumMod val="85000"/>
                </a:schemeClr>
              </a:solidFill>
              <a:round/>
            </a:ln>
            <a:effectLst/>
          </c:spPr>
          <c:marker>
            <c:symbol val="none"/>
          </c:marker>
          <c:cat>
            <c:strRef>
              <c:f>'pivot tables'!$G$99:$G$111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tables'!$H$99:$H$111</c:f>
              <c:numCache>
                <c:formatCode>General</c:formatCode>
                <c:ptCount val="12"/>
                <c:pt idx="0">
                  <c:v>227</c:v>
                </c:pt>
                <c:pt idx="1">
                  <c:v>258</c:v>
                </c:pt>
                <c:pt idx="2">
                  <c:v>316</c:v>
                </c:pt>
                <c:pt idx="3">
                  <c:v>287</c:v>
                </c:pt>
                <c:pt idx="4">
                  <c:v>206</c:v>
                </c:pt>
                <c:pt idx="5">
                  <c:v>248</c:v>
                </c:pt>
                <c:pt idx="6">
                  <c:v>254</c:v>
                </c:pt>
                <c:pt idx="7">
                  <c:v>143</c:v>
                </c:pt>
                <c:pt idx="8">
                  <c:v>133</c:v>
                </c:pt>
                <c:pt idx="9">
                  <c:v>113</c:v>
                </c:pt>
                <c:pt idx="10">
                  <c:v>128</c:v>
                </c:pt>
                <c:pt idx="11">
                  <c:v>139</c:v>
                </c:pt>
              </c:numCache>
            </c:numRef>
          </c:val>
          <c:smooth val="0"/>
          <c:extLst>
            <c:ext xmlns:c16="http://schemas.microsoft.com/office/drawing/2014/chart" uri="{C3380CC4-5D6E-409C-BE32-E72D297353CC}">
              <c16:uniqueId val="{00000000-9EFA-49BA-B5C7-CC408DC56C2C}"/>
            </c:ext>
          </c:extLst>
        </c:ser>
        <c:dLbls>
          <c:showLegendKey val="0"/>
          <c:showVal val="0"/>
          <c:showCatName val="0"/>
          <c:showSerName val="0"/>
          <c:showPercent val="0"/>
          <c:showBubbleSize val="0"/>
        </c:dLbls>
        <c:smooth val="0"/>
        <c:axId val="939864879"/>
        <c:axId val="939866319"/>
      </c:lineChart>
      <c:catAx>
        <c:axId val="939864879"/>
        <c:scaling>
          <c:orientation val="minMax"/>
        </c:scaling>
        <c:delete val="1"/>
        <c:axPos val="b"/>
        <c:numFmt formatCode="General" sourceLinked="1"/>
        <c:majorTickMark val="none"/>
        <c:minorTickMark val="none"/>
        <c:tickLblPos val="nextTo"/>
        <c:crossAx val="939866319"/>
        <c:crosses val="autoZero"/>
        <c:auto val="1"/>
        <c:lblAlgn val="ctr"/>
        <c:lblOffset val="100"/>
        <c:noMultiLvlLbl val="0"/>
      </c:catAx>
      <c:valAx>
        <c:axId val="939866319"/>
        <c:scaling>
          <c:orientation val="minMax"/>
        </c:scaling>
        <c:delete val="1"/>
        <c:axPos val="l"/>
        <c:numFmt formatCode="General" sourceLinked="1"/>
        <c:majorTickMark val="none"/>
        <c:minorTickMark val="none"/>
        <c:tickLblPos val="nextTo"/>
        <c:crossAx val="93986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[15-8-2025_Nikita Divekar_customer_orders_Analysis.xlsx]pivot tables!kpi orders</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tables'!$B$120</c:f>
              <c:strCache>
                <c:ptCount val="1"/>
                <c:pt idx="0">
                  <c:v>Total</c:v>
                </c:pt>
              </c:strCache>
            </c:strRef>
          </c:tx>
          <c:spPr>
            <a:ln w="34925" cap="rnd">
              <a:solidFill>
                <a:schemeClr val="bg1">
                  <a:lumMod val="85000"/>
                </a:schemeClr>
              </a:solidFill>
              <a:round/>
            </a:ln>
            <a:effectLst/>
          </c:spPr>
          <c:marker>
            <c:symbol val="none"/>
          </c:marker>
          <c:cat>
            <c:strRef>
              <c:f>'pivot tables'!$A$121:$A$133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tables'!$B$121:$B$133</c:f>
              <c:numCache>
                <c:formatCode>General</c:formatCode>
                <c:ptCount val="12"/>
                <c:pt idx="0">
                  <c:v>81</c:v>
                </c:pt>
                <c:pt idx="1">
                  <c:v>84</c:v>
                </c:pt>
                <c:pt idx="2">
                  <c:v>94</c:v>
                </c:pt>
                <c:pt idx="3">
                  <c:v>91</c:v>
                </c:pt>
                <c:pt idx="4">
                  <c:v>65</c:v>
                </c:pt>
                <c:pt idx="5">
                  <c:v>85</c:v>
                </c:pt>
                <c:pt idx="6">
                  <c:v>82</c:v>
                </c:pt>
                <c:pt idx="7">
                  <c:v>46</c:v>
                </c:pt>
                <c:pt idx="8">
                  <c:v>43</c:v>
                </c:pt>
                <c:pt idx="9">
                  <c:v>39</c:v>
                </c:pt>
                <c:pt idx="10">
                  <c:v>42</c:v>
                </c:pt>
                <c:pt idx="11">
                  <c:v>48</c:v>
                </c:pt>
              </c:numCache>
            </c:numRef>
          </c:val>
          <c:smooth val="0"/>
          <c:extLst>
            <c:ext xmlns:c16="http://schemas.microsoft.com/office/drawing/2014/chart" uri="{C3380CC4-5D6E-409C-BE32-E72D297353CC}">
              <c16:uniqueId val="{00000000-49C2-4A05-B68C-81F28C57586D}"/>
            </c:ext>
          </c:extLst>
        </c:ser>
        <c:dLbls>
          <c:showLegendKey val="0"/>
          <c:showVal val="0"/>
          <c:showCatName val="0"/>
          <c:showSerName val="0"/>
          <c:showPercent val="0"/>
          <c:showBubbleSize val="0"/>
        </c:dLbls>
        <c:smooth val="0"/>
        <c:axId val="939884079"/>
        <c:axId val="939886959"/>
      </c:lineChart>
      <c:catAx>
        <c:axId val="939884079"/>
        <c:scaling>
          <c:orientation val="minMax"/>
        </c:scaling>
        <c:delete val="1"/>
        <c:axPos val="b"/>
        <c:numFmt formatCode="General" sourceLinked="1"/>
        <c:majorTickMark val="none"/>
        <c:minorTickMark val="none"/>
        <c:tickLblPos val="nextTo"/>
        <c:crossAx val="939886959"/>
        <c:crosses val="autoZero"/>
        <c:auto val="1"/>
        <c:lblAlgn val="ctr"/>
        <c:lblOffset val="100"/>
        <c:noMultiLvlLbl val="0"/>
      </c:catAx>
      <c:valAx>
        <c:axId val="939886959"/>
        <c:scaling>
          <c:orientation val="minMax"/>
        </c:scaling>
        <c:delete val="1"/>
        <c:axPos val="l"/>
        <c:numFmt formatCode="General" sourceLinked="1"/>
        <c:majorTickMark val="none"/>
        <c:minorTickMark val="none"/>
        <c:tickLblPos val="nextTo"/>
        <c:crossAx val="93988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[15-8-2025_Nikita Divekar_customer_orders_Analysis.xlsx]pivot tables!kpi margin</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358276643990927E-2"/>
          <c:y val="0.31415448068991381"/>
          <c:w val="0.87528344671201819"/>
          <c:h val="0.41798941798941797"/>
        </c:manualLayout>
      </c:layout>
      <c:lineChart>
        <c:grouping val="standard"/>
        <c:varyColors val="0"/>
        <c:ser>
          <c:idx val="0"/>
          <c:order val="0"/>
          <c:tx>
            <c:strRef>
              <c:f>'pivot tables'!$E$120</c:f>
              <c:strCache>
                <c:ptCount val="1"/>
                <c:pt idx="0">
                  <c:v>Total</c:v>
                </c:pt>
              </c:strCache>
            </c:strRef>
          </c:tx>
          <c:spPr>
            <a:ln w="34925" cap="rnd">
              <a:solidFill>
                <a:schemeClr val="bg1">
                  <a:lumMod val="85000"/>
                </a:schemeClr>
              </a:solidFill>
              <a:round/>
            </a:ln>
            <a:effectLst/>
          </c:spPr>
          <c:marker>
            <c:symbol val="none"/>
          </c:marker>
          <c:cat>
            <c:strRef>
              <c:f>'pivot tables'!$D$121:$D$133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tables'!$E$121:$E$133</c:f>
              <c:numCache>
                <c:formatCode>General</c:formatCode>
                <c:ptCount val="12"/>
                <c:pt idx="0">
                  <c:v>0.15</c:v>
                </c:pt>
                <c:pt idx="1">
                  <c:v>0.15</c:v>
                </c:pt>
                <c:pt idx="2">
                  <c:v>0.15</c:v>
                </c:pt>
                <c:pt idx="3">
                  <c:v>0.15</c:v>
                </c:pt>
                <c:pt idx="4">
                  <c:v>0.15</c:v>
                </c:pt>
                <c:pt idx="5">
                  <c:v>0.15</c:v>
                </c:pt>
                <c:pt idx="6">
                  <c:v>0.15</c:v>
                </c:pt>
                <c:pt idx="7">
                  <c:v>0.15</c:v>
                </c:pt>
                <c:pt idx="8">
                  <c:v>0.15</c:v>
                </c:pt>
                <c:pt idx="9">
                  <c:v>0.15</c:v>
                </c:pt>
                <c:pt idx="10">
                  <c:v>0.15</c:v>
                </c:pt>
                <c:pt idx="11">
                  <c:v>0.15</c:v>
                </c:pt>
              </c:numCache>
            </c:numRef>
          </c:val>
          <c:smooth val="0"/>
          <c:extLst>
            <c:ext xmlns:c16="http://schemas.microsoft.com/office/drawing/2014/chart" uri="{C3380CC4-5D6E-409C-BE32-E72D297353CC}">
              <c16:uniqueId val="{00000000-EE51-4FBD-895C-3BB104C2CC70}"/>
            </c:ext>
          </c:extLst>
        </c:ser>
        <c:dLbls>
          <c:showLegendKey val="0"/>
          <c:showVal val="0"/>
          <c:showCatName val="0"/>
          <c:showSerName val="0"/>
          <c:showPercent val="0"/>
          <c:showBubbleSize val="0"/>
        </c:dLbls>
        <c:smooth val="0"/>
        <c:axId val="973181103"/>
        <c:axId val="973172943"/>
      </c:lineChart>
      <c:catAx>
        <c:axId val="973181103"/>
        <c:scaling>
          <c:orientation val="minMax"/>
        </c:scaling>
        <c:delete val="1"/>
        <c:axPos val="b"/>
        <c:numFmt formatCode="General" sourceLinked="1"/>
        <c:majorTickMark val="none"/>
        <c:minorTickMark val="none"/>
        <c:tickLblPos val="nextTo"/>
        <c:crossAx val="973172943"/>
        <c:crosses val="autoZero"/>
        <c:auto val="1"/>
        <c:lblAlgn val="ctr"/>
        <c:lblOffset val="100"/>
        <c:noMultiLvlLbl val="0"/>
      </c:catAx>
      <c:valAx>
        <c:axId val="973172943"/>
        <c:scaling>
          <c:orientation val="minMax"/>
        </c:scaling>
        <c:delete val="1"/>
        <c:axPos val="l"/>
        <c:numFmt formatCode="General" sourceLinked="1"/>
        <c:majorTickMark val="none"/>
        <c:minorTickMark val="none"/>
        <c:tickLblPos val="nextTo"/>
        <c:crossAx val="97318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[15-8-2025_Nikita Divekar_customer_orders_Analysis.xlsx]pivot tables!kpi sales</c:name>
    <c:fmtId val="1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tables'!$B$98</c:f>
              <c:strCache>
                <c:ptCount val="1"/>
                <c:pt idx="0">
                  <c:v>Total</c:v>
                </c:pt>
              </c:strCache>
            </c:strRef>
          </c:tx>
          <c:spPr>
            <a:ln w="34925" cap="rnd">
              <a:solidFill>
                <a:schemeClr val="bg1">
                  <a:lumMod val="85000"/>
                </a:schemeClr>
              </a:solidFill>
              <a:round/>
            </a:ln>
            <a:effectLst/>
          </c:spPr>
          <c:marker>
            <c:symbol val="none"/>
          </c:marker>
          <c:cat>
            <c:strRef>
              <c:f>'pivot tables'!$A$99:$A$111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tables'!$B$99:$B$111</c:f>
              <c:numCache>
                <c:formatCode>General</c:formatCode>
                <c:ptCount val="12"/>
                <c:pt idx="0">
                  <c:v>17578880</c:v>
                </c:pt>
                <c:pt idx="1">
                  <c:v>19979520</c:v>
                </c:pt>
                <c:pt idx="2">
                  <c:v>24471040</c:v>
                </c:pt>
                <c:pt idx="3">
                  <c:v>22225280</c:v>
                </c:pt>
                <c:pt idx="4">
                  <c:v>15952640</c:v>
                </c:pt>
                <c:pt idx="5">
                  <c:v>19205120</c:v>
                </c:pt>
                <c:pt idx="6">
                  <c:v>19669760</c:v>
                </c:pt>
                <c:pt idx="7">
                  <c:v>11073920</c:v>
                </c:pt>
                <c:pt idx="8">
                  <c:v>10299520</c:v>
                </c:pt>
                <c:pt idx="9">
                  <c:v>8750720</c:v>
                </c:pt>
                <c:pt idx="10">
                  <c:v>9912320</c:v>
                </c:pt>
                <c:pt idx="11">
                  <c:v>10764160</c:v>
                </c:pt>
              </c:numCache>
            </c:numRef>
          </c:val>
          <c:smooth val="0"/>
          <c:extLst>
            <c:ext xmlns:c16="http://schemas.microsoft.com/office/drawing/2014/chart" uri="{C3380CC4-5D6E-409C-BE32-E72D297353CC}">
              <c16:uniqueId val="{00000000-7EEE-4030-892E-95BD85C0BB3D}"/>
            </c:ext>
          </c:extLst>
        </c:ser>
        <c:dLbls>
          <c:showLegendKey val="0"/>
          <c:showVal val="0"/>
          <c:showCatName val="0"/>
          <c:showSerName val="0"/>
          <c:showPercent val="0"/>
          <c:showBubbleSize val="0"/>
        </c:dLbls>
        <c:smooth val="0"/>
        <c:axId val="939967599"/>
        <c:axId val="939965679"/>
      </c:lineChart>
      <c:catAx>
        <c:axId val="939967599"/>
        <c:scaling>
          <c:orientation val="minMax"/>
        </c:scaling>
        <c:delete val="1"/>
        <c:axPos val="b"/>
        <c:numFmt formatCode="General" sourceLinked="1"/>
        <c:majorTickMark val="none"/>
        <c:minorTickMark val="none"/>
        <c:tickLblPos val="nextTo"/>
        <c:crossAx val="939965679"/>
        <c:crosses val="autoZero"/>
        <c:auto val="1"/>
        <c:lblAlgn val="ctr"/>
        <c:lblOffset val="100"/>
        <c:noMultiLvlLbl val="0"/>
      </c:catAx>
      <c:valAx>
        <c:axId val="939965679"/>
        <c:scaling>
          <c:orientation val="minMax"/>
        </c:scaling>
        <c:delete val="1"/>
        <c:axPos val="l"/>
        <c:numFmt formatCode="General" sourceLinked="1"/>
        <c:majorTickMark val="none"/>
        <c:minorTickMark val="none"/>
        <c:tickLblPos val="nextTo"/>
        <c:crossAx val="93996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[15-8-2025_Nikita Divekar_customer_orders_Analysis.xlsx]pivot tables!combo chart</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08620072279995"/>
          <c:y val="0.18756986772002338"/>
          <c:w val="0.72079618739640672"/>
          <c:h val="0.68397903750403288"/>
        </c:manualLayout>
      </c:layout>
      <c:areaChart>
        <c:grouping val="standard"/>
        <c:varyColors val="0"/>
        <c:ser>
          <c:idx val="1"/>
          <c:order val="1"/>
          <c:tx>
            <c:strRef>
              <c:f>'pivot tables'!$C$3</c:f>
              <c:strCache>
                <c:ptCount val="1"/>
                <c:pt idx="0">
                  <c:v>Sum of Profit</c:v>
                </c:pt>
              </c:strCache>
            </c:strRef>
          </c:tx>
          <c:spPr>
            <a:solidFill>
              <a:schemeClr val="accent1">
                <a:lumMod val="75000"/>
              </a:schemeClr>
            </a:solidFill>
            <a:ln>
              <a:noFill/>
            </a:ln>
            <a:effectLst/>
          </c:spP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tables'!$C$4:$C$16</c:f>
              <c:numCache>
                <c:formatCode>\₹#,##0,"K"</c:formatCode>
                <c:ptCount val="12"/>
                <c:pt idx="0">
                  <c:v>2636832</c:v>
                </c:pt>
                <c:pt idx="1">
                  <c:v>2996928</c:v>
                </c:pt>
                <c:pt idx="2">
                  <c:v>3670656</c:v>
                </c:pt>
                <c:pt idx="3">
                  <c:v>3333792</c:v>
                </c:pt>
                <c:pt idx="4">
                  <c:v>2392896</c:v>
                </c:pt>
                <c:pt idx="5">
                  <c:v>2880768</c:v>
                </c:pt>
                <c:pt idx="6">
                  <c:v>2950464</c:v>
                </c:pt>
                <c:pt idx="7">
                  <c:v>1661088</c:v>
                </c:pt>
                <c:pt idx="8">
                  <c:v>1544928</c:v>
                </c:pt>
                <c:pt idx="9">
                  <c:v>1312608</c:v>
                </c:pt>
                <c:pt idx="10">
                  <c:v>1486848</c:v>
                </c:pt>
                <c:pt idx="11">
                  <c:v>1614624</c:v>
                </c:pt>
              </c:numCache>
            </c:numRef>
          </c:val>
          <c:extLst>
            <c:ext xmlns:c16="http://schemas.microsoft.com/office/drawing/2014/chart" uri="{C3380CC4-5D6E-409C-BE32-E72D297353CC}">
              <c16:uniqueId val="{00000000-838C-4D51-A071-01AB38894D15}"/>
            </c:ext>
          </c:extLst>
        </c:ser>
        <c:dLbls>
          <c:showLegendKey val="0"/>
          <c:showVal val="0"/>
          <c:showCatName val="0"/>
          <c:showSerName val="0"/>
          <c:showPercent val="0"/>
          <c:showBubbleSize val="0"/>
        </c:dLbls>
        <c:axId val="95255760"/>
        <c:axId val="95258640"/>
      </c:areaChart>
      <c:barChart>
        <c:barDir val="col"/>
        <c:grouping val="clustered"/>
        <c:varyColors val="0"/>
        <c:ser>
          <c:idx val="0"/>
          <c:order val="0"/>
          <c:tx>
            <c:strRef>
              <c:f>'pivot tables'!$B$3</c:f>
              <c:strCache>
                <c:ptCount val="1"/>
                <c:pt idx="0">
                  <c:v>Sum of Total Sales</c:v>
                </c:pt>
              </c:strCache>
            </c:strRef>
          </c:tx>
          <c:spPr>
            <a:solidFill>
              <a:schemeClr val="bg1">
                <a:lumMod val="95000"/>
              </a:schemeClr>
            </a:solidFill>
            <a:ln>
              <a:noFill/>
            </a:ln>
            <a:effectLst/>
          </c:spPr>
          <c:invertIfNegative val="0"/>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\₹#,##0,"K"</c:formatCode>
                <c:ptCount val="12"/>
                <c:pt idx="0">
                  <c:v>17578880</c:v>
                </c:pt>
                <c:pt idx="1">
                  <c:v>19979520</c:v>
                </c:pt>
                <c:pt idx="2">
                  <c:v>24471040</c:v>
                </c:pt>
                <c:pt idx="3">
                  <c:v>22225280</c:v>
                </c:pt>
                <c:pt idx="4">
                  <c:v>15952640</c:v>
                </c:pt>
                <c:pt idx="5">
                  <c:v>19205120</c:v>
                </c:pt>
                <c:pt idx="6">
                  <c:v>19669760</c:v>
                </c:pt>
                <c:pt idx="7">
                  <c:v>11073920</c:v>
                </c:pt>
                <c:pt idx="8">
                  <c:v>10299520</c:v>
                </c:pt>
                <c:pt idx="9">
                  <c:v>8750720</c:v>
                </c:pt>
                <c:pt idx="10">
                  <c:v>9912320</c:v>
                </c:pt>
                <c:pt idx="11">
                  <c:v>10764160</c:v>
                </c:pt>
              </c:numCache>
            </c:numRef>
          </c:val>
          <c:extLst>
            <c:ext xmlns:c16="http://schemas.microsoft.com/office/drawing/2014/chart" uri="{C3380CC4-5D6E-409C-BE32-E72D297353CC}">
              <c16:uniqueId val="{00000001-838C-4D51-A071-01AB38894D15}"/>
            </c:ext>
          </c:extLst>
        </c:ser>
        <c:dLbls>
          <c:showLegendKey val="0"/>
          <c:showVal val="0"/>
          <c:showCatName val="0"/>
          <c:showSerName val="0"/>
          <c:showPercent val="0"/>
          <c:showBubbleSize val="0"/>
        </c:dLbls>
        <c:gapWidth val="59"/>
        <c:overlap val="-27"/>
        <c:axId val="70022208"/>
        <c:axId val="70029888"/>
      </c:barChart>
      <c:catAx>
        <c:axId val="7002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0029888"/>
        <c:crosses val="autoZero"/>
        <c:auto val="1"/>
        <c:lblAlgn val="ctr"/>
        <c:lblOffset val="100"/>
        <c:noMultiLvlLbl val="0"/>
      </c:catAx>
      <c:valAx>
        <c:axId val="7002988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SALES</a:t>
                </a:r>
              </a:p>
            </c:rich>
          </c:tx>
          <c:layout>
            <c:manualLayout>
              <c:xMode val="edge"/>
              <c:yMode val="edge"/>
              <c:x val="4.6882325363338025E-3"/>
              <c:y val="0.4392493089526599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0022208"/>
        <c:crosses val="autoZero"/>
        <c:crossBetween val="between"/>
      </c:valAx>
      <c:valAx>
        <c:axId val="95258640"/>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PROFIT</a:t>
                </a:r>
              </a:p>
            </c:rich>
          </c:tx>
          <c:layout>
            <c:manualLayout>
              <c:xMode val="edge"/>
              <c:yMode val="edge"/>
              <c:x val="0.95263703851364567"/>
              <c:y val="0.4245759977677209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5255760"/>
        <c:crosses val="max"/>
        <c:crossBetween val="between"/>
      </c:valAx>
      <c:catAx>
        <c:axId val="95255760"/>
        <c:scaling>
          <c:orientation val="minMax"/>
        </c:scaling>
        <c:delete val="1"/>
        <c:axPos val="b"/>
        <c:numFmt formatCode="General" sourceLinked="1"/>
        <c:majorTickMark val="out"/>
        <c:minorTickMark val="none"/>
        <c:tickLblPos val="nextTo"/>
        <c:crossAx val="9525864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[15-8-2025_Nikita Divekar_customer_orders_Analysis.xlsx]pivot tables!pie chart</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chemeClr val="accent1"/>
          </a:solidFill>
          <a:ln w="19050">
            <a:noFill/>
          </a:ln>
          <a:effectLst/>
        </c:spPr>
      </c:pivotFmt>
      <c:pivotFmt>
        <c:idx val="19"/>
        <c:spPr>
          <a:solidFill>
            <a:schemeClr val="accent1"/>
          </a:solidFill>
          <a:ln w="19050">
            <a:noFill/>
          </a:ln>
          <a:effectLst/>
        </c:spPr>
      </c:pivotFmt>
      <c:pivotFmt>
        <c:idx val="20"/>
        <c:spPr>
          <a:solidFill>
            <a:schemeClr val="accent1"/>
          </a:solidFill>
          <a:ln w="19050">
            <a:noFill/>
          </a:ln>
          <a:effectLst/>
        </c:spPr>
      </c:pivotFmt>
    </c:pivotFmts>
    <c:plotArea>
      <c:layout>
        <c:manualLayout>
          <c:layoutTarget val="inner"/>
          <c:xMode val="edge"/>
          <c:yMode val="edge"/>
          <c:x val="2.49567804024497E-2"/>
          <c:y val="9.7274778602314996E-2"/>
          <c:w val="0.63184496937882761"/>
          <c:h val="0.82558140598278873"/>
        </c:manualLayout>
      </c:layout>
      <c:doughnutChart>
        <c:varyColors val="1"/>
        <c:ser>
          <c:idx val="0"/>
          <c:order val="0"/>
          <c:tx>
            <c:strRef>
              <c:f>'pivot tables'!$B$43</c:f>
              <c:strCache>
                <c:ptCount val="1"/>
                <c:pt idx="0">
                  <c:v>Total</c:v>
                </c:pt>
              </c:strCache>
            </c:strRef>
          </c:tx>
          <c:spPr>
            <a:ln>
              <a:noFill/>
            </a:ln>
          </c:spPr>
          <c:explosion val="1"/>
          <c:dPt>
            <c:idx val="0"/>
            <c:bubble3D val="0"/>
            <c:spPr>
              <a:solidFill>
                <a:schemeClr val="accent1"/>
              </a:solidFill>
              <a:ln w="19050">
                <a:noFill/>
              </a:ln>
              <a:effectLst/>
            </c:spPr>
            <c:extLst>
              <c:ext xmlns:c16="http://schemas.microsoft.com/office/drawing/2014/chart" uri="{C3380CC4-5D6E-409C-BE32-E72D297353CC}">
                <c16:uniqueId val="{00000001-D63E-451F-97B8-E9F003CB4776}"/>
              </c:ext>
            </c:extLst>
          </c:dPt>
          <c:dPt>
            <c:idx val="1"/>
            <c:bubble3D val="0"/>
            <c:spPr>
              <a:solidFill>
                <a:schemeClr val="accent2"/>
              </a:solidFill>
              <a:ln w="19050">
                <a:noFill/>
              </a:ln>
              <a:effectLst/>
            </c:spPr>
            <c:extLst>
              <c:ext xmlns:c16="http://schemas.microsoft.com/office/drawing/2014/chart" uri="{C3380CC4-5D6E-409C-BE32-E72D297353CC}">
                <c16:uniqueId val="{00000003-D63E-451F-97B8-E9F003CB4776}"/>
              </c:ext>
            </c:extLst>
          </c:dPt>
          <c:dPt>
            <c:idx val="2"/>
            <c:bubble3D val="0"/>
            <c:spPr>
              <a:solidFill>
                <a:schemeClr val="accent3"/>
              </a:solidFill>
              <a:ln w="19050">
                <a:noFill/>
              </a:ln>
              <a:effectLst/>
            </c:spPr>
            <c:extLst>
              <c:ext xmlns:c16="http://schemas.microsoft.com/office/drawing/2014/chart" uri="{C3380CC4-5D6E-409C-BE32-E72D297353CC}">
                <c16:uniqueId val="{00000005-D63E-451F-97B8-E9F003CB4776}"/>
              </c:ext>
            </c:extLst>
          </c:dPt>
          <c:dPt>
            <c:idx val="3"/>
            <c:bubble3D val="0"/>
            <c:spPr>
              <a:solidFill>
                <a:schemeClr val="accent4"/>
              </a:solidFill>
              <a:ln w="19050">
                <a:noFill/>
              </a:ln>
              <a:effectLst/>
            </c:spPr>
            <c:extLst>
              <c:ext xmlns:c16="http://schemas.microsoft.com/office/drawing/2014/chart" uri="{C3380CC4-5D6E-409C-BE32-E72D297353CC}">
                <c16:uniqueId val="{00000007-D63E-451F-97B8-E9F003CB4776}"/>
              </c:ext>
            </c:extLst>
          </c:dPt>
          <c:dPt>
            <c:idx val="4"/>
            <c:bubble3D val="0"/>
            <c:spPr>
              <a:solidFill>
                <a:schemeClr val="accent5"/>
              </a:solidFill>
              <a:ln w="19050">
                <a:noFill/>
              </a:ln>
              <a:effectLst/>
            </c:spPr>
            <c:extLst>
              <c:ext xmlns:c16="http://schemas.microsoft.com/office/drawing/2014/chart" uri="{C3380CC4-5D6E-409C-BE32-E72D297353CC}">
                <c16:uniqueId val="{00000009-D63E-451F-97B8-E9F003CB4776}"/>
              </c:ext>
            </c:extLst>
          </c:dPt>
          <c:dPt>
            <c:idx val="5"/>
            <c:bubble3D val="0"/>
            <c:spPr>
              <a:solidFill>
                <a:schemeClr val="accent6"/>
              </a:solidFill>
              <a:ln w="19050">
                <a:noFill/>
              </a:ln>
              <a:effectLst/>
            </c:spPr>
            <c:extLst>
              <c:ext xmlns:c16="http://schemas.microsoft.com/office/drawing/2014/chart" uri="{C3380CC4-5D6E-409C-BE32-E72D297353CC}">
                <c16:uniqueId val="{0000000B-D63E-451F-97B8-E9F003CB477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tables'!$A$44:$A$50</c:f>
              <c:strCache>
                <c:ptCount val="6"/>
                <c:pt idx="0">
                  <c:v>Audio</c:v>
                </c:pt>
                <c:pt idx="1">
                  <c:v>Laptops</c:v>
                </c:pt>
                <c:pt idx="2">
                  <c:v>Smartphones</c:v>
                </c:pt>
                <c:pt idx="3">
                  <c:v>Tablets</c:v>
                </c:pt>
                <c:pt idx="4">
                  <c:v>Televisions</c:v>
                </c:pt>
                <c:pt idx="5">
                  <c:v>Wearables</c:v>
                </c:pt>
              </c:strCache>
            </c:strRef>
          </c:cat>
          <c:val>
            <c:numRef>
              <c:f>'pivot tables'!$B$44:$B$50</c:f>
              <c:numCache>
                <c:formatCode>0.00%</c:formatCode>
                <c:ptCount val="6"/>
                <c:pt idx="0">
                  <c:v>0.18270799347471453</c:v>
                </c:pt>
                <c:pt idx="1">
                  <c:v>0.17088091353996737</c:v>
                </c:pt>
                <c:pt idx="2">
                  <c:v>0.14518760195758565</c:v>
                </c:pt>
                <c:pt idx="3">
                  <c:v>0.15497553017944535</c:v>
                </c:pt>
                <c:pt idx="4">
                  <c:v>0.17985318107667211</c:v>
                </c:pt>
                <c:pt idx="5">
                  <c:v>0.16639477977161501</c:v>
                </c:pt>
              </c:numCache>
            </c:numRef>
          </c:val>
          <c:extLst>
            <c:ext xmlns:c16="http://schemas.microsoft.com/office/drawing/2014/chart" uri="{C3380CC4-5D6E-409C-BE32-E72D297353CC}">
              <c16:uniqueId val="{0000000C-D63E-451F-97B8-E9F003CB4776}"/>
            </c:ext>
          </c:extLst>
        </c:ser>
        <c:dLbls>
          <c:showLegendKey val="0"/>
          <c:showVal val="1"/>
          <c:showCatName val="0"/>
          <c:showSerName val="0"/>
          <c:showPercent val="0"/>
          <c:showBubbleSize val="0"/>
          <c:showLeaderLines val="1"/>
        </c:dLbls>
        <c:firstSliceAng val="0"/>
        <c:holeSize val="53"/>
      </c:doughnutChart>
      <c:spPr>
        <a:noFill/>
        <a:ln>
          <a:noFill/>
        </a:ln>
        <a:effectLst/>
      </c:spPr>
    </c:plotArea>
    <c:legend>
      <c:legendPos val="r"/>
      <c:layout>
        <c:manualLayout>
          <c:xMode val="edge"/>
          <c:yMode val="edge"/>
          <c:x val="0.65061487314085742"/>
          <c:y val="0.15473878486037301"/>
          <c:w val="0.34938512685914258"/>
          <c:h val="0.696411711786910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[15-8-2025_Nikita Divekar_customer_orders_Analysis.xlsx]pivot tables!bar chart</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3881474561443"/>
          <c:y val="2.2491980169145526E-2"/>
          <c:w val="0.74861185254385576"/>
          <c:h val="0.94344196558763493"/>
        </c:manualLayout>
      </c:layout>
      <c:barChart>
        <c:barDir val="bar"/>
        <c:grouping val="clustered"/>
        <c:varyColors val="0"/>
        <c:ser>
          <c:idx val="0"/>
          <c:order val="0"/>
          <c:tx>
            <c:strRef>
              <c:f>'pivot tables'!$B$79</c:f>
              <c:strCache>
                <c:ptCount val="1"/>
                <c:pt idx="0">
                  <c:v>Total</c:v>
                </c:pt>
              </c:strCache>
            </c:strRef>
          </c:tx>
          <c:spPr>
            <a:solidFill>
              <a:schemeClr val="bg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tables'!$A$80:$A$86</c:f>
              <c:strCache>
                <c:ptCount val="6"/>
                <c:pt idx="0">
                  <c:v>Garmin Venu 2</c:v>
                </c:pt>
                <c:pt idx="1">
                  <c:v>Samsung Galaxy Watch 5</c:v>
                </c:pt>
                <c:pt idx="2">
                  <c:v>Sony WH-1000XM5</c:v>
                </c:pt>
                <c:pt idx="3">
                  <c:v>Samsung Galaxy Tab S8</c:v>
                </c:pt>
                <c:pt idx="4">
                  <c:v>iPad Pro</c:v>
                </c:pt>
                <c:pt idx="5">
                  <c:v>Samsung QLED 65</c:v>
                </c:pt>
              </c:strCache>
            </c:strRef>
          </c:cat>
          <c:val>
            <c:numRef>
              <c:f>'pivot tables'!$B$80:$B$86</c:f>
              <c:numCache>
                <c:formatCode>General</c:formatCode>
                <c:ptCount val="6"/>
                <c:pt idx="0">
                  <c:v>10067200</c:v>
                </c:pt>
                <c:pt idx="1">
                  <c:v>9447680</c:v>
                </c:pt>
                <c:pt idx="2">
                  <c:v>9215360</c:v>
                </c:pt>
                <c:pt idx="3">
                  <c:v>8595840</c:v>
                </c:pt>
                <c:pt idx="4">
                  <c:v>8363520</c:v>
                </c:pt>
                <c:pt idx="5">
                  <c:v>8363520</c:v>
                </c:pt>
              </c:numCache>
            </c:numRef>
          </c:val>
          <c:extLst>
            <c:ext xmlns:c16="http://schemas.microsoft.com/office/drawing/2014/chart" uri="{C3380CC4-5D6E-409C-BE32-E72D297353CC}">
              <c16:uniqueId val="{00000000-EE0F-4CDE-9F27-43B076CA38AE}"/>
            </c:ext>
          </c:extLst>
        </c:ser>
        <c:dLbls>
          <c:dLblPos val="outEnd"/>
          <c:showLegendKey val="0"/>
          <c:showVal val="1"/>
          <c:showCatName val="0"/>
          <c:showSerName val="0"/>
          <c:showPercent val="0"/>
          <c:showBubbleSize val="0"/>
        </c:dLbls>
        <c:gapWidth val="98"/>
        <c:axId val="939916239"/>
        <c:axId val="939918159"/>
      </c:barChart>
      <c:catAx>
        <c:axId val="9399162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39918159"/>
        <c:crosses val="autoZero"/>
        <c:auto val="1"/>
        <c:lblAlgn val="ctr"/>
        <c:lblOffset val="100"/>
        <c:noMultiLvlLbl val="0"/>
      </c:catAx>
      <c:valAx>
        <c:axId val="939918159"/>
        <c:scaling>
          <c:orientation val="minMax"/>
        </c:scaling>
        <c:delete val="1"/>
        <c:axPos val="b"/>
        <c:numFmt formatCode="General" sourceLinked="1"/>
        <c:majorTickMark val="out"/>
        <c:minorTickMark val="none"/>
        <c:tickLblPos val="nextTo"/>
        <c:crossAx val="93991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35F111CB-754A-43A4-B90B-9475C7D2C17C}">
          <cx:tx>
            <cx:txData>
              <cx:f>_xlchart.v1.1</cx:f>
              <cx:v>profit</cx:v>
            </cx:txData>
          </cx:tx>
          <cx:dataLabels pos="outEnd">
            <cx:visibility seriesName="0" categoryName="0" value="1"/>
          </cx:dataLabels>
          <cx:dataId val="0"/>
          <cx:layoutPr>
            <cx:subtotals>
              <cx:idx val="6"/>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62740563-2288-4B38-80EA-4AD8F7A410DF}">
          <cx:tx>
            <cx:txData>
              <cx:f>_xlchart.v5.5</cx:f>
              <cx:v>sales</cx:v>
            </cx:txData>
          </cx:tx>
          <cx:dataId val="0"/>
          <cx:layoutPr>
            <cx:geography cultureLanguage="en-US" cultureRegion="IN" attribution="Powered by Bing">
              <cx:geoCache provider="{E9337A44-BEBE-4D9F-B70C-5C5E7DAFC167}">
                <cx:binary>1H3Zchy3su2vOPR8i8Y87Ng+Ebe6q0vUZI2W5ZcKSqJqnoBCTV9/siXbQWKTog+Ob8S1Xhxms7Oy
MrEyE4mF5L8/rf/61FxfmR/Wtunsvz6tPz0qpmn4148/2k/FdXtlL9ryk+lt/2W6+NS3P/ZfvpSf
rn/8bK6Wsst/JAizHz8VV2a6Xh/9179BWn7dP+s/XU1l371y12Z7fW1dM9nvfHbnRz9cfW7L7lja
yZSfJvzTo7fXzVWXX3VXj3647qZy2t5uw/VPj2792qMffvSF/ceDf2hAt8l9hu9ieaEQElxj9eiH
pu/y338u9QVCWjHNmf76Dz7+9swXVy187y+p8lWRq8+fzbW18DJf/3vrq7c0h0/SRz986l03nU2W
g/V+enTZfS7hdUvbH759cOjPal+++PqeP9429n/92/sBvLn3kxv+8M300Ef/4Y7jdVOUf5jlf+8K
oi4Eo1QjIdDXf/i2R+QFxpxJxfE3j4g/Hv3NIw9qc7c3fv+a54njs3+UJ15fVVd2Kq66P0zyN3hD
XHDFKKFKfjO3vu0NeqE4wkRh+c1Z/I9Hf/PGX9Lobo/c+KrnlddP/lFeSV11Za6mPwzzN/iEXAhN
hODod5d4PsEXXEvEKSffPpd/PPqbT/6CPnd75M8vev5I/1n+eHpluqvpqv470we7kBgxwhi5M2aJ
CyykxhzC2td/9LZH/pJGd/vkxlc9rzz9v/8olDy/gtLhyhaT+Tv9oi8YJ0hRru/zC1Kakt+Tu/ai
11/U6W7P3Pqy55vnj/9Rvnnpuurq4x9r9n8fwCi6UIxgrgmEppvVFr9gWCik0e/JxsPJw3rc7Yo/
vud54WX8j/LC26u2bH54cfXZ/X2ewPgCYYERUl7dqy4Ykogg7iWPv6bE3W64+V3PFW+hkP0Hlbzv
pgn2SS/N1edrW/x93iDiQhPKBQaHfP13u/RV6IILAWld3Z1G/rJWd7vH+7rnoXcv/1Eeen9tpx/i
a9gmNn+jf87VLsMcydtxS8kLLYnQ7He/+HnkLypzt1tufdlzyvv/vyPY3Yi+uWe/9Rv/wz07IReA
BY6I+r3oIreTib6gggqJKP8GJi+S/b6lvl+bu93x+9duKf7/eH9+/979z5bGEQra5Gsv5Mb2/fuf
fn09aNF4X73VUrn1ln/g6PIz9EswpOY/OyxnEbfaIrds++fvX8Pm9KdHWkKSx5JyTpmAqljA7mUB
tP70SKgLrGFbrxCUa+BUCuGv681U/PSIygsAHfRnBBKaQjnHHv1ge3f+SFxIgQB5ShIJ1YPW5M/u
08u+2fK++9MOv///D51rX/ZlN9mfHoGc4dtvndWMCGaSSc7PCB4+Xb2Gxhb8Ev4/Nluzvi61eFzg
o+Y/2xn2PH++//9A7vl5N+RqUs7CNqtMJl40Rbzv2/a+IGL91tj51tf5H4gHr9wUX8mo3pa1k0lh
RmNeL2JH+dt83fsv31cfmip3mgUgdlO+bvdauToTiSbc7q8G3GoUF7TiOEYMtSRmdJyy0/cfdp8P
wP03H2bB99WSdyJZLVU0VojmJu43oX77vnwA/p0vg27Ll3pEQ6U3kTg8sOcYL6x9s6AKiWebmro1
jeQuTNxu4/D6+w+854UUrPSbLzQoNMzy/MC50XJ90hcucwdmXVEm33/AWdAdq/ZcxN18gCr3BU2O
8mSprVyeiI1m5DDUlhTPeF1U5Dl2tasPox27TcaoYXg8oa6YDexPvre68dl0dylwNvWN5T3I1tbc
bjxxeT6PB0VUKin+MtR0XOp4zJe5jd0mo2f9kuM6caTvVRdHuSIttN6+p8J9Nj6v3BsaNPnWzg1f
wASK8AM1/RfJl/KB97tPuBcVekDqoraJJ9tm5a+o3/o4m131c5jq56feVF1VpbDU8KSmZXmNoPP+
rIvK2h3CxHuxoY8WPowF50kzyfkXvIwsXrNdhkUe5UUG0yzVMJCRJ1Mf7XuC1mg2RzH0vQxU34sG
ZM2x2poKokHPXHXYhFhZPI4ApWOYfbxwQKot6no7RGnXb1K8tCU0J35ppyl6IHbes3ikh36rkEPL
ylW697hNtpxFJl7L2poHDHRehHdgT3rg133NGke2LO0jtbenxeBhTpplw+VxLAumAx/jQZyyPlPL
EMl0mhyZHnei71Cyd7hZk6GcljUMatLD8djPY0bXVqUDqfe3tdmKnzsp9Nvv+/o+W3lAXupV4QXK
jpREa5k01kj6LGdbP76vuarXB0x1n8fPP78B6ELlQ63koFLTsO0yanf0s86xaeLvv8R94ult8X1W
bgiMI1InR7LGqFrZB7H3QxIm3kO0m2UvFZzKpHMDHpiavE2Yi+QQqL2HZ1fSbmu2SqXMzjX4YFNr
FFu0lXvgAzw81zrio17B+hq3Y3c5YN4tiankvrwMMtC5cL3pXkk2anG0ilTbovxFKmtfrmU+bg/o
f17pd+BZeHhu9bzwyuUybRs7Zq9l247uFzruGj2ZokLLV1DrUnEZ9i4equVm4AQOuj/pQNlUPp52
uuq4qNsFheFZeHhey20UEzEyrW0+sEvbklnFlWPmodx8Nstd5vIgveVVjtoF1tOYbYM5VjmV8mUb
7bN4kk9ZWydrTrbu16ZV9DfX5Uv3gOXuq3mEh/JmzTPZ7wvE3UY1w5MispmEyr7WUNapaanYFHdT
tc+HshBDe6rXPZdHwRbav5nRJFyggb1osGUikqqOsrSVkTvScpGpkg19YDHiMyzvMi+5vdj5PK3l
SEadUrSbPtlxNk8Jz/a9eTxoKrefc9v2X4aILe1jtquOv1gpJd1zIpWqflU14fwBVe4Je8ILHKqr
+NAvJUsHmVl6ELu+HtZ1GcOCtvDCRmOowNtaydREw5LmE2ZNnFOVfw4CGveChsNGqKrKWZoPq/rA
IZW+sChqw2I292LGSPOuiiKpU97ATubgsGr32JVmsw+ssntQdm4H34x5thw3Tlaj0mlbMnKpmDHo
4zpgQFxBCtTHXemGNia7GPJPQ7tbEuYW7sUPunQNLCIjUqGy1sXDSGwbb45FgemCe/FjZ3s9OmFk
4kaOE7HN+XEXfXQMc7sXJESmUVeN655al0/p3skqFmaoHohB90CCe9iHhn4RrZAa0oqU7YFMuDpm
W08CF5UHfdj19AqX/Z4S2DfGqMDvu5w9VLXep7qHZiyGjq1Nvqe53KbnbusQ1AJjgavAdePBuajc
NFCz7WmUtfqSzGt9zKhiaZBbmYdmOsx8mGqQPmWEHRYqbWxbXIbpzjw0q47sapbg1mgixaGmbo5F
LVlYHGUelCsUGbRkdk9HXDYnq7v8MHO2n75vmTNs7sgXzMNrl/Fi33G0pEvEr2HbWc8nNtVDl06L
FIFv4EGWznLuqjpbUgrAfa2nvkow6+uw7TjzIDt1UAotu1jSnnFxqTR3x2rrAsMN8yCLp7bJ1F65
NLcNe1o2rXw+rE2g6h5iIVFndY3plI59leGD4cQeZLHWxfH7zr0HtMwDLc9yW0c7tHmGrlyf1FM+
PXNZ1gSCyoMs9EejGbtqOhmXL/YNXZBqfuZGiSJs3VAPtTUu5zGfyQolodsP9cA/bHrrHlj499iG
eqDlVVQzpbI5GZsCx9Q6Eo9au0DVPdDSoWIkq9QMlo8+GAL1XafXLMyt1MNsPewmiqz4XXVGRhLz
WYSq7qOVq8ypAs+JXqBpTM7Sbbhhzu64sdeu0TxkjQXpa6WLg1O1i4UgVaDZPbQWjKseTsdBOiPX
Y8maU17mgZ0t6qG1Bv6tKnMQrnfXpo3UBnZeYg2rDc6HKDcNs05UZs1WzwmfsiVe8UxiPGRTWIqi
HlbbYiBdT5FLunnv4qUor1214zCrEw+ndjfT0BeLS9q6YLFg/EM0WxIo3MMpyrihWxFNiRxRd7Rr
eWXdbgOFezAdrV4rqIRdUgldxKIqm9gZIgOleziVtIryMtKgunb4uYXjkZeZzJuwIyri4XR1jHQM
JKc7BvZ3vHdK8GM0RcqGrRniQZWMq27dkM/pxtrOxBEdeDosZPoUlJyIh1VcZsT0awuZNbPNE11Z
fLR1tSVh0sltODmTDTTfuEsnTX/DFXllGX0VJtpHqt2qdtuiKS2L6AWExw8bkYG9QuLhVJdlK3En
p7RaCnV0BX/b11kf5lDs4bSrbWS0ci6Nyqk8NJV8JsmIwhb7mZB/M37BsfAy2FVFSdesn8sNvye8
fRpkcOyhVJVLHkG+3lIQa6d4J7YQ8WZpHhZ6sYfTOeeuqJmZUiCBol/ZBHEgtuWOwyoN7AHVjQ1B
Tda7tO3NfuxX+bEohyzQ7B5IM1WOci6NS/lmtkPbDqB6/dDJ61nIHZuDM3ngpk91J1g5RO2Uwmm/
fq5sjp83UTa8D3OrB1EykcnA3RFYjkVWxLRdfpWqDHSph9Gd9brKitqlhs80xmr90IzqZZjeHkbZ
wtalpCA7quxb5rbnnNnnQaKRh9B+ybJ8ovmUoCyKDlGVPSt3FNgfQB5CMR4GuUckSgTSP7eb/KDM
1oSFFuRBNCqgTjc92KQpuld93p+ytgiL5MhDJxuWja7QwE/6fX5sFvKU8bAMijxgDhufRD/A3k60
+TPVr2lnsrBjVuTBsmymtXAOlB7ad/vsDpX8JWyFeJBsdGWGvQYnsqL+aFb9Su0iLE4hD49unOt1
W8SUbrbCb/dtImnlqD2GKe4hknbZ2lWlnlIbAZWAdPVjnelfw2R7iKyb0nIg+kcJL6G6jZC4YpqG
JTagnN8OgrCwx7FBkJKLUqwxtyw6ai3nIOAw7YFS2VlOjM9RMoo3pj8q6GKH2IRpD5FFXoxsLLYp
dQrIHAu1Q4xH8TZMuIfJBc67tq3LbIKL4fHSwNn+SKspaKXAHb7bBjfOoTpqQLhq+Evqhk8l20yg
VTxcasY3NCptE9PSlxxkr24Ole1BEy+lpHTF0DYmFD1zKq+ejGwVgVbx0FlYNjdQz8JC4buId1S9
a0QRVGAx7WFz1Y4ttQbkr3SbqgNimeiPBCqgMii0MO0BdFhalsFZzZTmbLiKlvk9HD68C1qKPllr
phQZQcEuzuX8OLq6jKkiMqiOgIaQtxaLWUI/egXF1/Wl69GTdR4DEao8hFatREwW1Kaqps8bIBwm
SkoSZnHlIdTlBjiXbp5SNDSvWNQcKlMEFSlM+fjkUbfltLUpIZwclhabA2bVlzB3egDd4ETBqnay
wGYQH3K7PiklfxMm2sPnaqasViQy6YabJW56OZ66tgqjYTCfWNXzpdMzcIVSOELaj93ev5DUPsQx
OL/9fxbiTHkAdQOxdYEXk/bAtWli60z0NJrR9jrMMh48l4hCVGQOPDpvny1UcKtVH4NE+2yqCRJP
MYjeprXIX6/DcInaNmwd+kSqOVO1qBpm0n0ei2RecnKMmu5TmN4eOMudZdastU11MRxqtr1o1UNl
5xkndzjTp0wtEfSD50GatGhn7mIjRfV8FMMaLxVx2yFMfw+kvO7Wru65SZuS/tYU7H001G/DRHsQ
XYHx2AiZGcD/bB/P1uAYzyzsqI5JD6U5KXhpKAHFGX7fzlEXs2j4JUxzP4eu41AbVNiUk5ItyU7d
xuJONUV9DHuAh1NW5LlyqoEluUavypa8LcewvTiTHkabko+wYQbR2aZfTaj8OaMi6BiK+QSpRm1Z
O86bSWnWkjRSZHqF86UMYvoynx9F5Iz4XMJKzNC+xZsZU8oC2WlMeDBt1yyaVluYtJsHFKNZnsYl
D+sOw62H28l/Msw5psHkEB6fzht52vA1DEPCg6de8sZVY25SmeVdLPftqTZl2LkZ85lOGlYJWklt
UtzPLykenxk0BertodOUcDohlmhMrVDvS2xeNfUYtIljwgNntrK2zofKpAIsE2sgocfj1qqweOiz
kSZajVHV6xHObYrxYEj9ykX6XRDqfSoSQrDP6jga07ykbRUv0KhIHIpEmGF8KlJVaWClVRvgRm/t
QTkhXjcl2sM86lOR5oqLDLh2Y7prQw7YsheQScNOz5lPQ3JRp3q+9rBces1QDbF2q20RKz3XQT0c
OOG/jVHgAiOdrx3YPi8WeeigeZZmGRvDzhGYTzfaaueUabMhVZGtx8O8DO0Xp+USuGnk7Lb+uCWI
LToaUlNs9tjmoorBQvwUtDJ9wpGU66rQjIbUNYIckAASO4Xdbxwm3UPs1AADz9JuSC2T+RTjndRX
9bZ2eaB8L5uupRFmWcE2fVH1cTm179YGh+U87qdT0i9tJB3YvVPD480ie1qavngcZBmfbzTTmW5D
swxplfH9Peqz/DGMxhnqMMP4hCMKcZKTDdyqu2y0J+kUZTHPejEGPsBLq3AYV/fdMIPlqV0ujVHv
irEJ680zn3Ik65YAx9gMqWTTmzK3r5Z6ehNmdy+t5tm20KbJx1R2+reuX3BcMPYQt/YMyTvqdp9o
NELLXEWuHVJqKvWbhEOFx65u58Al42XWCUXrtlPep4BUHQugvsTRFskkzDAeVM0WwRl9A9L5vLmY
4+FJ3T3EYvpagt5lGA+nY7kCvU6RPp1FnWcxnBZXEGxkudaHvNV5/bgdtuWNa21zSS2NRDoVxcjf
whU3Ob6E/p81b7RsxeMaziX7x1XdMRHLpoRmfL6OCi3xzqrRvFtGErkD2sauvuqLIhoPAgpLcsQc
eu2JHNzqjg2GLtlBwCn1eunGSFUpkWvBLrO+WrYDRtBN+DUCZu92wrSy8kjlCjKXppz2Uz7qwsJt
O7K7U0vIuh/t3NLut1Uylr2cmIiqjxbzcUzVTvScmhXe9zhMO08qNHN16CTB9UFsMnePc9zn+plQ
HdwLQ+NO3hCll3gmwlwOpTV7inqtttPSNjM7zoblPJnlwqCF3RQzO+TN0PZQz2q9HZQpqYzbvjT4
6dJllb5sKJ5YuoO1lwOn9Xy571H7wnQzYkeG5nmPq8xk+5sGV70Mq0KYFzDblTlRO9qnghc9dH2i
mORUh8Ubn+lFWbZBIdkMaSHa64zVbzJZhunt87xmOIlZGwJ6c5elVjdPMo7DmoPUi5J8BmYKhg5S
CgOd1jiLdB3rBveBNvEqG4NyKmo4tEtzUlXxWo9fRGXCij7qxckKrrfOnUR96jY3vIDbYOXjnk5t
WCijXk1TiBK5jgib5qZmzxjUr8D8d9OHoFBGvUBp2nye52Hu01rl7hejxh2a+Z2aAs3uRcqxKye4
JqL7VENTOeakelbsedhNM+aTvBBAmDM19OnWD1l77NFSpeuIysBdjk/zwl2J94jCihR5y9eE2M7t
sYx4PR6DjO9TvaZ2XLKomPoUDqq+LAN7wiMbdqODEXW7FB7cYuZxk31aIA08ssnKtTlQXZEvYbp7
cJ35uNPZkSFtRr2rWPYjhTN2RUgYF4MRD7HL0DUYrTkUCDBzM3ZyqZKyLAMLBJ/vNcglq/YcUjic
0ZgDMMrEYYgWlIYZx8PsguCqNC+7Hm7VNs0TQWc+xWI0Iozfz3y2l626HIhMPYThzsknRUfRb7Cn
3cJawcQDrVzbcW8t1KvQylovM5a5VKJJBi56r74htHG6PGenqmzzg13GPHZT24YFHJ/yhQ1e3Qr7
5DTaOnpdANv8em9dG8b8ZD7pixPaVUVVDykXco4ua93hA8qWhT9wdnjPvTrmE7/gbmuWiUZ16d5g
at4OdTn3h0x2ZDguto/ewoWzF1Gkm+oIVVytD7mGzeipiDjvw7zv88PgUrBAroL6c9nGQh2itoIB
FG3RDU3YNtoniAlEd9iznCNTNuHsaVvmcO9sG7cJhXWnfIrYjpyB67WkSynFZR2vS7WwuKrZHFhg
YQ/ewu6t6Qg8YHMEaMu7ew/s/U9BocNniTVTu03a7V06mM4e1px+2SceqriH7HzcsbW1bFOobU8N
qZ8QYsNaAF+vUN6gordRhPIFJoikE5vtoY4YHDUs++swo3jl8lQ0JsfL3KWZMypxBcnjlpeBqdLn
iS0Spg934NG0NGv0sa0W+slEkG6CdPeJYrZiXc863KZQa72Q8/60GfMHZrmc19sdW0WfJ5avcM4o
TN+ldiXFE9wYFcMk5SUsiflUsaUWpZpr2qa0Vn0eV0qNTwrpuiIMpj5hjOm1p6JDbSp5Vx1GrR7X
DG9hecCnjJmhy/NMl12qWbE8s6ZlBzlV86vv+/Rc2d9leK9q1ku9zQuG/N7sbISSH9lcJw3CfZ8I
2NV1YTWWzyFTm8iUoHmfIkenIS74VJ2hhXQflouRl4vbqLTjrEtYm5y8cRN6neMscNl7kIVJFpNC
BnSH7ho/lgZa+bvDXZB7YeLc7eq2g8UY1cAKTLA02et5i4Y3XcHDbjPBVK3b0puyww4R25xjsHo1
tJSnU8lVkNGpzyUboLuAsrZr4DAcuhL9qF5FLC8DDeNVzW6bus1tZQMMARjhdIDLh+OHvdH9HCjf
2+vCQJosGybTpLuRH6F39LyVxfvvg+ruaEbP081u8qPZjOC0Gm4IwqXVPqvi0br5eqFj2OgNqj3M
lrB964rsbPZBZdBwtOqyFdwFLXcK89duKd+Tyq27AeWzvIC2EyZDDCNVwjIU9SllWuxy4xb6b3iZ
8HbsSuAjHKquq+ag5gtMvbitvpqXbIDKtklxIbajyhF62cN9vtdBnvVZZZsoocO1jNExx/naP6kQ
Ri8IGbh7QPuvnZb/jMfUJ5bBKH2yCuFg6QjH259HjDv3uKzn0ZxgI+bICWbpCXscebP2z6INdgXP
BlmN7QeCKTs5QfZLyaKNx3rPHExX2KK6/rnt+EoO7Thu5WHPi2z/2Gdb6U7dADn34Hi1fqItY0/n
oZqebGUxn2jmFhABMzCKGLUl298WGO63vKrPcyredqUa7BE2bGyHT81yKBAwP19UQxHtR/htWz6n
JOvnoEISRtffdinwGkdyvpCc5BmuXsy61s9ISfKwBEt9Slwf1byH7midkhVdCzK+0jh/GbZcvBgD
e82tjcRSp3QHnm1D2CXp7UODNM6B8K6l4kUZ56I23+1ap+MAszoujd2b5ag3YD0cF9gh5JdCi6YI
6q7BvL7bPsCj5oLNvE6jIRIJq5fmtA9N/i7MTl7MKbbMwR6R1uncs+IYZfv7qSIP2els7Lvs5JUG
GOWlq42rU9G48g2wqtnPqsjXq7XC0QOdzfse4QUdlGmZk2GsE7vSWhyLaTRjGc8Gmu2X5QI32h7Y
VN/jcp81B/SE3M2iyRP4gyd1fXJ8xcAOi5qkbHdFDsDoDusqUZ9ElxfQO8lMA0brSAREN/EeAlFg
AjuP372ZHyMYOAKNgK5OMRzHTXQ5TRQ/EKDv8YRPopMUuJw73ME91vkop0vdWH7qlYZzf5HPDQpi
F1B5fvqNLSIH2aIsZQRjOmCQINx1z3/Vowy72kqlB2y76bEsN1OlUvLpBJxrFWcFDtusUJ9IN5fQ
iqQOF2nJFDsN89YelS6D9nFUekBGYsBNI5vsiOfyCcpozHoRaHMPxhtFje0nEL3vLMn0eGpLErQ/
pD6HboOpa6XVdXasS/JU8ujpKMK6eNTn0AGt8DwIt8yOQ7WMTyprpzTi9E1Q2PQpdBmXxbzRCBY7
zm0yDIbFm27YKUy6h1Kka5NxFJWpLO3wFFiv78d8CxsOS30OXS5kHs3ElWmzkebk9NQ9RmMTRkWl
Po0u2lY4T2lNmZZVNR6HQj2LpLFJmF08eK4VGp2lvT5OLSvXEyHLu8HUdVhTEWZe344tRa+nsWGd
Pnbz+KJu+rQyfVgS96l0W7GueZtDIdVMrow716HD3vAHIu/59e9Isz6TbgZ2/g43/ABEdu5jYI0d
BgEThcNs7iXYHYb02HkaSri11G6HLh/6Mc5Mp8MIaTCQ+rbRdbvBnYuaa7ho1e8kVk1mnvZrXYbd
g6Q+m86JLuvkSPWxXXY4s30FLIAHLPO1VXuH3X0uHRM7huFUeZHiLaLzU1S2HC4Y5TA49C1MSurT
kuudxnKcW54I6K4th3Gq+QzjOAexnUan0ZjsA87JVSs5mdNM0VIGdeDhTyHcNusajRjmbkzn7ZKZ
8suSIuWSwta2OwatC5+G15XlJBQu5HE1hYAAtVWuOxTwJxlo2N7D5+GZqXb7nA0ucX0xJK1iy3HQ
LKjTTH0aHpRsnA60dQk+z/1a+Ag3tZkM4lfDaP3bth/kzGw2gfDZwezmxrIx7hsSxvGj3MvGrHBw
G951LiEVHg60xlUMHYmPYV710N7XCv66H82mZCZFG6soggtcK0Nhec0n4eXANUUsolPSA7Mm7muT
v2gknX4J0t3n4LFlGCgW45REGk49WL3nSbnxMMP4M79Ks+AeDmKnBGZUkpddu9YfBdplWBnkE/B2
Xizj5GabdJ1oDjC5GibCsCxs6gllXs3c6InuVHGblHI1J55NMF88qsPO2KlPwqMLoXtTTzahS1sA
42p6C9er1wdi7D2pzR/25ZYRRmbJzSabxHtco9ocZB1YqzAPp7x2IqIjWH1vYVzLMm1fkCnC7hJS
f9JXtA/tmDXUJTncnjnqpSgOEI/DDu+pz/3a4RpEVs5QWMmBfLQtfdMWJOx6Nfyltdvhq2ihpdwP
zCUlMiheB5IlWQY0uu+j9J5tos/+anA9krqn6iSyhs8vC9eW7WkTpDEnZgbIgt9/zD0Lx2eCZTPN
GK7gJeCPAEXHmfD80K0ujAlG/XlfQ5HJaRIgPc+78qiABnbQ/fY5THUPrnUF4QD4jCYZ1mE7lO1Y
HW2bhSU+nwmmB4amlnOTzLWbT22hSAwDjPewzOczwbYWthu7WUwyFXtzwrZ+t+OKB7rUg+tetGzv
odeTDKqQh7ZZqwNQUsNo/3Cqf3vVd3KTk1TZkERtZA7VPnQxHbawyU1wA/q29IyxxuBKDEk5jcVh
521zUDAmP6wW8zlgDm/Qcja5OlVVt7/d0bD+UqHuobn190DJZ4FldFmwA7Jywg2G+yjngmOAv0kX
FuHPf8juZkMH/sINtKs3rU8sgtb5HH3qm+5tEJB89leNCc7g72fIE8z5ypp43v+bsy9rkhNJs/0r
Y/089Dg4vl2bngcgIiNyV0pKLS+YpMxiBwd3cHd+/T1R3fdOV05X1ZisZFYmZQYB+PYtZwE60dbe
fP65y79Zp3E/0WknizoyPYwA4Lae17c87kf5c2v1rdyXNnJFFK/VUZk4a1Vy3ZOfjMTegr8gxDXb
kODSQ4rj74KHGH8OkEjfIr9gBtGUtZjVcb9IH3UuTvO0lu4np8ubZdqSvrZ7mNICKlyncdGPhP+c
miB9C/siDKAiOgxpwQF/aMfoNh2bdz81Vf4H5AsyQvVCx7RI+DrEV6nuwbuu3bB+/Lnrv2k2jzqe
236dxDGdYg8J9dSk1xeq3p/pCV4W47/IdN/iuZqo06l0JT8OOjInW27bcG8EqaoDeKqiPFfD7uo7
u5f/i+T611T1X33pmxRWhKQct3bukbZ6N/o87ps+0Yeuw6rrj3Xpuz6bpwF2NdlIZ5ztvg3LKM5T
r3k9HJFYt92Q9Xu3hXNdhqj8RqkD7G4kgLR2GW3D7lyGIEfPtx2Ppb7bTOlifvZRKuYuW/a+ipqM
UNXQKlus0AiEJo6hy5iap+qbXuphjbO0E81wpnsHueciIKEXVRHmzS15F2jr30NCzm1NxjpY/EDm
OzTejFms1oinmQqQhu9Ose44pO8H1CztkIFX0K+4QSOm8aNOBiQyrWjlL4Me8M/LOqdbwQH3pdmK
N9Tl2+aS5moPq4frUkeoGb9NKNqKNfNLTGKXMcmr+svYpJ36MVQrjH5A5NynZcig9tWGzxeQ3knv
Q/DZCNEokzvXmLgrBIiT5WFHyyY5REnpTV5KzDSVb9wFNhTJtjNyE8uNq2PD1n0AL2yewgkuAWMu
uN74XUvWRhakoY7mteAzojA5yEIOEMDN/FzxeQR+s53qqrAK+b7IUSHx1YQ7m8dFZDLhAryRrbkq
U4GwEXsJH9ZrjNZUN9kiEdllKo76oViHMfk624EXLuxe/FibPdCjXibW3e9LIvlzPSdC3FNbUnq7
l7Vcq6LfwVFJj8qtMRQRdi7W/g4MDYnx0k2jcXMV2VW1HglUjRGNDWTau1Pg1LvvsxyaqcqnDcXg
swADSX2IvfAm5P2YwkmsktFFBrJf+9FFYLHsAG1BQUes23oIGMtpOicMhbTkzLtR1lnHO3XkXT3m
E/duWFBNCZHZLpHlZm7IarqDW7BH3fOpWtsP3ifVKDEdpmQ9tpQZn09VnSZQia1DXyCvqeUXaek4
3Si/I/GrGVn9kjltUczPlGQiQQRlLaU0V3Bcbt/FnVz4EQIrnb8ZExejqk0stNV2tJntVoG7RYLh
FkhODpE10q/fkz4CZ2bZRKrfCzbEsqhLw9rvyH1kj0UzpNNWmJZN5r5bScU/AJ41D8c2CNCE1EQm
dr2zKOlu49p1+0sz9tMKxswSTen9jEVbH0Zdh+Ssh7idP9XRIEmC7a2rOMvEkCp9T6zt4u9pW5Yy
ZGWlhurKuW1j12Rp0ulz63hgOTTvCdjolaOxgrQz4/2P0rqqq7Ju7uR3RvmsP4Fdvtc5uks4u8Dz
mMIdUH1G4sNTlP6Y2mXbz0OiQ/jQ7SSOc11jJf1oU0zzU9Ul+71VpDqSZJbtg1xWwQ9ENrp+mrva
748OBI8kQicaugGyuCgR87Nxdhx/6dC5qW9aPtNwNU1tX17NiYqXm3WGV2bepjRNvkgO6+WX2HXl
PSjk0TXaSPsPUFuGrHWsKioIBEWFb3bpruEhse0niAfRz71qUlXoHkzHdyLU/XgfV2UTn93UrOEQ
zXXrTyoshF8J7jvyifCyK5/qWVU618FG0ERsiTIg0QwcRn7bbthyZ8huyZlqrvuPMO4op4cVLur1
kdTdJArr2w17p2NyqY/AT8fL3aw2/qOHJsCYlygZuofakwVbST15d+BssktVEHSrtpuuhcDxsaxW
DXpNJLbqQy2NSs+D1ppntowW/r2uVavzajSdbTM5xiWB0VFK/dn0g7GFdQmJCmvGJM7Gfnf6C7UK
d1AwUsWQM/S4iyaqzJK1PjLjYbxI8mQQtNu7+9mBmHZgenFfExIch71aBavIHFYQ/A7hUvVaYgmL
vO3rZMj54Nj0KczwZ4TA0TBA8iyj3b43Z2fBkv0Q4E+3lFk9W+Gx3+/aTVPWWhzTLkPFezM/3LpR
9gwLjgUHQge1GvXU4yqXgdR2XQ4wcUSn8zC6ZGAZuJ8ju+pVrLrDtlW0D1kVW7nfOG8qVC08bKzU
iZQBMSKYbHV9NnBZi7J9aZroPWfdkhR1yteoMGSLVSHCvrfPC9lpe9rs7tTVOkxRWcwuKcMthVnO
I4lN27xH5SgJXdb0vVVHqMZX9lp1yGDuA0pi8ph2Dc47W5ZsBs47rf3tUJG2y6d9iW2e6kVE4C0s
pmwc2HO7iZ8s6QaQMcbU2sfGE5GcJrSM2/sJSnfNnG0hhYEOdMWz2S0qPsdUGfvAzByN35LGy/6W
99Rgjo310NcvtJc7ZsIAyTZzmCrZbEc8mW8PbOhS85F3W11em6pp6RkkWt7frUsCg68DtqOeF/Bl
ouXrDqlkaJqbumUnMzVVBWwzGFiYIxI6Std1a4M+6XagwAwnwBCTg9FwPcw2G8bkPb5TPm9xbf3X
HqLx4KSrpJ7SfIb8YpVH2J/K3Jfav28TbulJKg2uCxtHgFWHbZFRHvRqYSm3TM6DQLKJOEdDQdaP
uF3GHrwLVXOKxiRF56gpu2j9MAz7NF4DulvviIrG3f/AqWHGDhqphMTvLp0aSnJaz2K/24lKB4Od
eA/lWbYYegjNcrib3TpsyPMD3C/Mcia2VvbkLVfscnL7GpoAFV6jMZlVWOUEenXVvlb53LgQ3lHl
e5XBNU3yo0gH7G9ZR127PBAby/nbvhidtllvN8/OIaXE36eY/fXn1nhY0OAh6VQ+dCiHuSfZ4SVe
70m7+GKkK7MnnP+RrvByk2E7uF0IVyF4stOOwVyq7bi5Lho+ijjY4XHDO9uu5xaw0Id2a+omT9t6
Mp+9Fgn7MiQiyCGDQhgZNd4U7auXEZqp5BGq9an6NkF5pfs693OXIL+CICLNhzZpxWkQ1gTEbzWR
fMrmaA04CnuP4wPRHiRjecQ2URiINEwBGD0RfYeqfEhzgkO9Pe/r3H0QK+b3oSOu53njd9RcBzGm
n1gCXEROgyzbHLloKuCIOIn1KukF41tGPRnme13PNSjHMeQ7j1q1/XRHB+2iPuNgYH1rp9n6I4ub
dHuIR7JAfxd9VvUhlaOrj1sPp5zHOanpZ2ng8lKYtEQpQDaR5fdh1KU4kqV1yQP6T3R86jth9pu4
HecJG2aKtQFYPIBq8qqDiOpyVw690j6XaVo9BiBfotzzZtiezO5mEKLBe01cDhnDssuFihv90BnU
mLJ6qPr5QAN4tf0RFLX4IEs6jsVCygQj0dR9fJeu+uLkys0l+JGAVtZVruTGkmJYZxKvWbf78KmV
PVSTsn0Aa/GDBrmNPleGT7fLuCLiyuuqjfK4hSpcyLG7b5lwnNpPyQrZg1PFncZ5LzxBmE5B4NU2
CzSN7LnBLZB36zRakSeMz0UX6nW86jyW+hdGFrcdE9H1MZxJFkiexWlDZUF7wIMzQ+P9qHAYOZst
rGzN/QrolBrzgQ+iv+1MGR5kuBig7stOb4yUHTlIONh4HKMIOYplT7Htu36LqnPHR2Y/rH0Zb0/j
ssY5eiRz8jX0pdvy0tXpCeEaXDM7sGgmVNqzxbf1qbYawhopeNU4bGm+71bpbIIZEi/sQpJThXjg
kxsEvakgpTRkXLWzyes44RU0W3WSTVPa8mvpqvCSgv3T3iVYOsPV3ppd3c1RsjwSB4lXpEDU3lZc
JjtipzhdHrdIA7Zrvcg5aOR36OeArA3zUgo1ctCQ78Iik4+Ti6pDl7S8y4bB25ut69VD5aCgX3SY
xjnzq8uTumxOaZqq25VX4bqKff81VFv7XtF+yRvC3/VsGT6yVo0qq4g2gJ2sfdfNmSeNciarEO2G
Y4BVXTjxLameeez1tW2DVAWmM8+Hfd39cVxadh0AX0w/ukiK91XvgFooEjuK6FQOYnN9VmLmStDk
Q01eGlsG+5ExzkO2NYOXgHLGmwtFc9EDOPfB75BNkUscNJx159kkyGMaOrVFxbc4ut7iFGxs0Eod
uV7quFT3JvLGHjfw/MnzzvuE5yqkm71ZU82qr4hch/nAbBIlJ93oJr1t/dbD7LUatz5zsV7kM117
TR5mulJ9gExDGCFJYHh9nqJN9V+iGl7Cbc5Cw5qCmLa22coahKLKrqLJlx4xistKGlHaZ4GFtfnh
JaPz7eanbf8OUyqHcKi2kmF291hbTGctCEPtASo6ZXK1yL5p3/kYuf9hGlM6HK3AvlMgo6nEeb7A
7w6zGBL6AFJNy26An6VxESvP1DkGbcr/0gCMPTysxkpN8qCqrb42s6GEZxAUkWiP7m3Sh3dIjUWC
LBiQzf3GmN5gX6hH4eI7PWBJvu+QrLovHevUOZ3QIqNmcOJLbGgXfR3QYEWa7CcGx0UUoescswPB
UlauG3Z3s6y+2IZqkZ84OP32WTrs7Z+NmVXSFkzMEc6rcmTR9p67vfVVFiWJoJm15TLkqqR9cm92
6cMvKej+/cvSgM12kC1sC59CX3sFwQE2LY/weGadP4wb1F2vVBMl0yPHKsOOSOgyS2xPtRcoFtYj
aM2nlpLanWhXd2Qo0n1BCJD1nPMKMvAT8g9EfO2ch01fYhHYuFj3rrXLUrkr1VXd8tybaNqOUxtZ
dTZGrQwjtiu3FHPS++1rpxi4SLzulPlqXTdvR12RIcpVt8Y3zVyVPJ/RCLe3oW3TCkMiGpABDars
+aK3GUHpzCEn87zuUMkFQXoub6cqma9c6eXTTJNgER2wfdcPoe/7bIE3aAZSWLVS+IvJdjoGJ1nI
K9ipruedGiRotVpFZqybIp3Z1TrzTsRO1L9ssDaRh70jpC64u5yrWWXgMXEqEWbfNpDmwqyj8UCv
yxb+rDe6CtMnJfESCmptGvcZaQB5eDb93kaIUgOJrvyOeX2FOCAW1xZHQPvNOdpcIQWI1ZcJEuei
zpmqSPOkN1bXkISOB96sGSYZo7nErhqQzUUgzu2ijpt72Tqy5wsW/McuZsOhLxs+YqmV6/VEUMG4
Q72Cskc5et5du21R31GJ+YzQwyYcliocEPAJHjHJ05hU5VfoWbRNUQ3YFJt26e6sJYjMdgiMuHMv
ZJ3rPcBwBLQOcmrEQvu72VLT3y3lam5Wraf2Gwyi7Ws0d8YUfo0wjKkXz92aXpo7ncTZ7lP3zBFL
2KLaZ8TqwDVZn/VODEeQlRXPWu0qxAZoVW4wu5Me9VrshAb1HdveO7BM4MAoL5UeEL+X5w7BWJYw
INDPKKUrc0tnOUePVADEB1CQGKvtvPGqsj0GZQ3EgNFdts3BEypbcWglb95VM7zhDzHYK/Mvfku6
LY9qVK6+QqsBbrgLkyY9jHUSEkzNJnm/NMhHrsLYmixpsYHqbFsXuNhVyVr/kGwwyTN1a73lYTAx
sh2R9pvP2k320Zemicvv8hKanKQHy/xj4PrVdr1NEe6qOUYwO6TdelLwBJG54svwOjEs2UzCsiOH
LQhJD71K5a/Fv47ueAlBHqBvWaZIZWCqfvSJcOKzriIF/nGjSlQGIzVAGcloSBQUCEoGd834NP3o
e09j7HNp3Y7PUGpTbZ4staOn1qbhBalztd8sfVK+DnW/Kwb/77Alt0Pt0vljVBLOXmNYZrAXpJY1
KiNtxW7VtHTYO0gd8qSKZ/e4qFJo8DrQW0orXpHHJuIc1WyEHuSGOQiKHtW28KTwdif0sPHNbFk/
rP49NJHj9JNe1PYuilLzSZYi/gjsh92vphIkoFM0ITH2/eC3A08lBH33dtOf8M67mzHuAGvjLQy4
oXGSTuepVmrOmR4Hl+mo7D6DqeuzmYG8pXXq+M3idfQouPN3XO21PE4lpBcOPQv+aoatxFWse3JO
4cmMPW+k5rlWFQsPuprAHt426P1kbF5L+96tkHj9CgERJGcmuLT+jNIwFRnfAt5D4toW24KiMZ0Q
cQjwjyWxH2vPESRSlBKqClFGyyLIw4o9KhbA4NmByQp1Ewd7dfiUiGVvrhJN9DPk19vuKZETSOAe
DgxPDW4ko80W6zXHth2syxbUxuiD7mqR5lTjdj5OU+mmYzuXbZ0nqdDu+wXrep7GfhhuvBB7j+/o
IvPUxanrH2glHAK20NCjlDqaToBQCvcOpejxgG1iHI8LY60pknrrY8DlYAx7mBzBJgJ9jGuMBcoR
pWaTRrrtAFreQrBPJqrbLR/ZGvfXUbQN+xXkx/aXiME2KethDXlT7ZPH8iklXkfnyKFT6ZrPs3XX
dIoRcNbNeBN0zZ6AXp7BEIC+I+ocEGqgqSg/Rzvg5EcJhkz4iDqT33AQGRK/WLlUiYAHTrejPGD6
VY/nER2K5mu9z2bIMVIgvMuuRmSOHbPfhryeSw39cogXqTtIpEmRK8f1evZTOssrAQ9wWKOWG5dN
FjHIHh6dopdFGLVbVcFdcUbGhM2nK9rdKHe2IGWoLJm87bGM0e96XXF2lme9WFIVGxS1CZCYQ5LG
z1OKCK3YnFrqXKQbB9fH8tA9NxwyNQWB3nzzuUdBI82Gca3rj8Tv2D2qKOLxNRfxwPJBJX1STKiG
bfk0bihtZSBB+apoQS4kD6meF/kOhiDNlgWoQOvDGko2ZSHZU0QwSsf2R7TAVSFjoHqod/Cy2cRV
HbQTPzgeyn0yCFD5LTNxL/K0F13y2FeOQDRZIymoGzMMTwEE/u6YtIYMIWMg228oYNbjXiFRtyg5
YFJ7BIXwaC9nGGsrU97VE2n2c5wSP94pjTptxjV10EvX9fJKGG3q+2QvR+CSStKNp1VuUfII3qTg
WFML3R36P2PQR/g3uuUIpJsecnRV2Pp9dIOJYJC4W3mOepRTPpN+uIwQR+JTxIvSLcioSMCG+xX1
wy4Hv8KaNYMWS5zcEJ4wJJfMRuOpAc5i++6SoExRcl7aK4f92hUL07o79JTKuUjgSGO7bF6GUB+R
DfbqpkwhvwbwZX+xB4Nb2lS0daP8dWmJkDl4IpViBZQYCBZUUw7oZ6MVOlXXfPN0R8xidXpCkWBC
t35GbJehDht3GQije1vMmAb9MfVrPL+KhnV9hNwhTi2F3y1ETH7R3dCDz9WhQ2ZxmA6IE9M86hd1
xROdBH/uYknlMzSjB3vrkNp7jQdv0jZFDOLp9MBE0/tPEZ5GRVkdWzqtx4uaNRLSTe5ber9eMuib
Mpo6j+ALeFkITIWyqh7CEBskK8tKORZ42qFmJXL0WhiyVWIGNf5oArJrYPuCGMjrYrdoRjAgGBKm
yYLbuMGtZlqujZpW+cCweVQIFWW7v3Q1uhFf29ZN3TGt0jFyeLuajvBi5kvzLkW4j7WcKJGyo0Zo
NL/WOmVOZjZWUGt2Il3lhxj1uQb2L6j/2+9qSdfuWUfrFD1OFRo+77ZLogrFgiD7JBfbDF1j0Ob0
0p/rAX0vTJJU0+MikPjwA3wU1/kGDMCKuXxHD2lCptssohEFYdzKG6fRSbpFdC35LcKi1Lwf+7Zb
rkVF3XSOVhizf6WElCTnl5jtuE5DtGa9SFx0OxGoU72LVrM22OMgQ58rRMbjIayDXO4bY0F0GRgR
24e9B6Qxl8SgydPQfoTEzFJF9ofkRpcfqDPY/Ef4G7Tbfh3tsO9GyApdw/7sdEUD4ilYXOex8HY9
hWlU9LSgyu6u+o7v5BlVRcaumw6dwFyTAQCAA/jEZJEF5uaO2talohYd5yVJ1pzyoY0yrLk7rk1I
0WtkkMc4khjQ6vnYRDH6PXxEiydkPSzWZBZmr1mx1IKlJ+tXtZ906iMyQtItcatCTa+CV9q0qri9
ZfFizDMzUFV/FVW6DrcIbBtx7Fm9qvfOoTVT9JVsK7ATAUh7bMax5zdl1Y/deyfxYm5CIjtzTVZY
6txtuNcEjuZhZ4/tKobq2reL6j4i0WvKLScrouW5aCc5oGydQqOtIfmKxayjHNofPOgCfUAh1bED
HPAiYSy+QMGQmDhXCgKYw2FAK8isZwRgC16sFa1eHnFOjyg8A4yDVhpiNxXeU7x2kKsUq7v9I7on
pT9uWMlHte/iFkk0j26SqFQI7DiBel1yaePJ5Iq0nOurrhUzu937CczrOAmT/eKaVUG0olshHXK0
lfahzmLHmUCPMwHoisxGbjlHYcN8HTZI1j9OkF0wyfEi9RqjpuEZzN3lsqutzdXgXFeEYbk4ylnD
79lSpuM5BZPXneZRr7SotqDH28RApwYlUoJ+6xQWsR4bFPHjLDJxHB3Ro7RN0ctKIe3Us9GIkOjQ
0G9ewEX+ptyr1j9BkiG1qL3X5bK/0JHR6rvuJtKfCQXV8UxQ9Z3voBqw2A89JKkR24ws9bdxGpnw
S5hZq29DqCKDAp9PZL4rhCMZ6ssreiuNMQD7zTa9W8lgXG4DjEPPC26hLdY9Sboc2HiOnnmaXuC1
mzwqIJvv+w3OwB+J6ypzt9g9Hq8FbO/2y2iLElwHZQOc4Y1I2+8o80W0aJmMtIFYK/KZ3IyY7cMB
kXWHAxIb6SXNd4t2DypaNpqHKIoXLBY5L6BLaHZ5g0qjXIVIYmHqwYitjyA30IjmZb2cjy9ihXwC
uOSsOs+TCnFGsN/17+myJBZrr2LDbDMtDVjVKDHBKErUpCEFTVgEeA2t5vI+qYV1R2yj0ELc+rHZ
Xm3rtb+ddjGwT4tfeYrkZW7X6xDE7j9JMejt4aLhSE9mWMtsgNjNnCEarS7Fcu03nLloYD7KEJS4
NjWYBvdolAwgvCM23lHamjtUrRiMK1Nmv4G4OssMxKLEHTzXHap2y1w/ASYRIyLaYMr81ALZiHMR
HhvQblSbLNWz0EQBaT4S9LO2q7Fc5slmDfh+aTZJ4Ahojt73sr6ikFSheIuCDbHfUK3YmyjjFuFr
mzHsshY1xH4C2yODSD3yzqMHPRTmQKNPef0FDOuwLtnqYGIzXw2bZU2buxn64YhDCfcsLhZaA8pR
/LtZLOR5Iyav0KmiNidABJksknYucwgl048Un45uNldX+qzqS+23Qvrt9WXPTMuHKTHLAdWCfQXI
Oiqj87+Xqyc+mLQ/Qajb+4LwdlqzPdTsAQ2rcS14CfL3zyGY3ioL8ZCOwzSa/kDU5zb9wLefA9e/
FRRiPd3QrsF1afMkUbRo2E9SaN7KCU1Qa1RlI8QRxyRBEUlt5M5gtzZ/wuH9HcEqtAx+iwFEKSyx
QKShMxFh/c311NibwUUTNBDNolFwSrYWtgBCzcmjNyjdIsFqI5JPkcc4/TGE6oIq+ldoozfAsgot
Gt9EizhOcDPtiwakljuAB+cc8Rraj+jFyfMff9PvganeYEGX2WCqAVN8hCDALN7bMJVroSvEuYXD
yQR1Usg/9IhKfRj/5A3/DoTzrTpRC3wYTpOEHbmEJ4eF7MxhRq35Tx7o967+Bn2m4ehnRK0YkCPD
926Jn53U5Z/AxX/v2m/goQjT50FXJTsG2H5k9RLOzdrTn7z4G4SZjWM7TitnR9SgD2ikNlkZo/L4
x8P8e3f+Bh5a+q2xTDX8WJHI4Ezfyiyucfr/3NUv3/pPPOik0xToILyXZB+gzWsVXCb36f0fX/x3
Ziihv704X+LBad9iutRCJS8GNSWXEx4S+ArJZNCZXoHGPoHkxPRP2fPRtzJFtaycgGYLO8IOlX1K
58XctzHKq3/8QL9urv9idb8VKRJtoCgLVelxkKpGBVqNwaG5gv9eQ2z5c4rIG/8ypvHIrxrdfmj3
5kOMmcZOpWnWGrlKVR/gzvjiNwrr5swKhGR/v7v/+OH/T/U6Pf79Psx//Sf+/mPSSPar2r756399
mAb8+c/LZ/7/7/z2E/919Trdfxtezdtf+s1ncN1/fG/xzX77zV8OiMtteLe+LuHp1ay9/fX6uMPL
b/5vf/hvr79e5UPQr3/7y7eXoRkLJD1L88P+5R8/Or/87S9CEZpcbLn/45+/4x+/cHmIv/3lCnX3
5du//tTrN2NxkfSvqeDQ8uEAoSXk1+PBvV5+wuVfYwVYLkniJCXJr9yjEc6n9d/+kqR/FTFIfIqL
RLKYcdyEmdZff0T+GseCSkh+JkkcK5yU/+/ufjNG/z1m/zauw+PUjNb87S+/Xd4iJfgGqQiYnipO
RPyWwa4S2ISZ3ouDZZdu9r6H8KlOuP+TdfHbY+nyNZKniUi4EjzBc705NAxHTOKqkaP+2m1fNxLJ
IyrQUFXcbLddVYgTr/5pFP7xnP/8XL+qRP73Uvn7NyIzSUH4I6iSvhVnUQi10c0q+UHEsJ3OkJn1
sIdHsxHLRNCxQLu7eS9X0QIPLJ9WR1CqwCmzfx0Dja/IrNpr9CjpdTxvyQEK3u21Cr27Qzqx38a+
039CdH2ztP9+vxjylDGmiCBvtRtaEXXBeeAuoWo6vLgtdLkBSASVJXSQizYqZeYqlJ2zRk4vy0T2
l9VL9xwqiPMytPB/qda1+ziiXghkzT798sevM/mf80RyuA0SEeNsx5zEfPznDRuxC9GtCvywIha/
g5Nf5/OGTbQQxtU3ofUC+Xqsp5veUn8gEalOtkr8AfcsTxegyKckVMND8PUNJKjPpI7e+QptqKzc
VvRJObxCv1B4/VxtJfr0/ZRM39cq7q4GSHg9/fGz/MrTfDs14HwH1z5KU4n///ZZZLMjxF8pO+i1
r28DW2TuLnDUwoOac+3gINzlAyXsEE3GvYzcTSUaDSPUuMfBspPn/5e7M1mOG8m69Au1l2F2YAsg
JgYZnClSG5gkSo4ZcMzA0/cXmWXdlarqSvu3vUlTShwiEIC733u/c04gHsdlGT48Z7JFiNPSbVUI
930xi33fu3eygw6tZTZFshTqHixoOg0YzO86lX+0rk7hoNz3wB3sywB/UNdX4gJb33b1qlPRld7F
rGp9y+F+a0N018y1LYZB+7SqmXlJKWm/+tQh1Gl3XWukn77XkbBiMl8/A4NsdwOslwpTVqNzVxnz
GuYWqfFxA1f2/t+v5R8P7m/XUhq269jSZBRBHfLXawk7QeO+X92dmdjVfUOblYHubNz6Fj1v2/wl
8nm5x40N+BoYgV137Mr5l6fL7jtd5eEOvTlpohZoM1hnWcZSaMjFuoYiE4ndPjTgUMdp6tVyVm21
fgbjbD6PbQIVXC7i3SS64rbdmNpFZZsZ4aqM5dYvxnw/jJ7xNzfOHzXIv71Zed0SfBgXHoXf3qxv
tBid8xCQ3DJdVGVR03JpnVPLsv4gaI3v8d2yOIaV2yPzcnUm4p4uN/239mjShnulAbX+7GZl/Pjv
n8N/WF/96yJr8Ql4UF2/ndZKBRRfurO7Q04An9U1vzD4ODlDsTD2m/5HRip/LFW+E1hWgJbaZ9D6
26G2YX+Y/fXK9VxNbAw4zetTnP+NbOj6kn+72H/5Lb89paWfZwzlGGoVdpb9JCOuuV3HmsG7g7/f
/r9fvqsm9PffFQTs0eyoRJtYv10+bsm8bS3t7mgdWWdbVNvn5mnv1uls48laepZdwj+CJqTfWj8Q
ktLF//0F/IflNXAkobpQKq7DH/96ZzVidludui4GG3J6M2cNUJls8m92YeuvJ2Ja177JwcF1fZZw
ixHUb1Ui1oWmv5a5t5vc7qntLYUiYMWFenpcONcF2f1S2xHigE+ozWhMS3G/mWUSsp/4cW7TmA/G
sQf8c5pH2sPzQaphCN3lqQeiQS6S0t7NFDDDmJ5oxVpriDazw7pC/8xV9jelw+/3h+v7rkPyq8SC
+nqu+u2UvzlboUevkzvNthMlzP9Db51UvHmN+JtP598uW4AMi43P9DjAmO7vAaXplsA3Eu+1k6Wn
bpK1EEdpbNNZdXW5t/tkPHKpg7/5pRwFf3+qPcPlJMBxiZVVuhzP/npXzNbgWpU5J7upnF/crGh2
tvK7Q5As8zuMCZWTufRPzP9PQDUfMqjzvZxX61uuwMcHIz1z9gkJmZFMjL2Hvm2v/TySuTKyckoU
ISFY80di9R/NZB4yY25CaL8+RK5rhbocmD/Ny8ktJodMyR7qlEYl0AFT6WxNQYxcBkeZsRr7zkzc
O79Jllh1xm1riXIvlzkNgwTJgN1Wj6NOg7DWquUBelplEbHonwrHf6arO95vxGu322dtbP19vVVu
XLuueu8bMd4LnVv7Oe9VnGy5GVaIVsKulzkplPjm8v9l/rFuwoQgyXDlDZZ++rTKoDs4qROAVQ+2
87FkFj1Zo3pp2+mh8w8j7zPLlfkjIURw5zICDEHqq68SEn4LB7i9vauLYldnQXtcSreih9JVF0fn
xYO5eMkIy4FNA0gee243Wj8huPy7qpL9PjOVGSdZMSdRYE5oj2ZPVnHCLvUV65J5l/W4VjLqitrS
e3bbrIkHTYcaR53RYVQEsHamTeg8JumkI5mtu8U2dkGzHBsGoUC2NkDRC0RYuC5ODNIf/CKf6LaY
xxc9jT9zTpdvmcWAy96YIQCjfqlSfdNXS7/vx2G6SywYI53n9uNUwKqEa9tU/KySAh/LRmAD/VgF
29uiRv9uKiRTlbYDrRsV7G7hL15kMti972BBDyb+Pw8D3j0QyXxsY+fTGU1S9cufhuCgtqTHlslv
H/vSN99r3ZZf5sw+1DninX2WL/4D4672URQlXdNFGSkzaEuvaG0mBvFqGx7tZB1Rj6HW0oyWX+Cd
2kOL5eJFtFodEQSJp4KD1oVsvzTKDcuIUeZIfrPXXpJNjLtiXozdSPTtN5GY3akBDLxYtOPilE/v
uOXV8JiO5XfEP+v3/PoOZwOaokumB0ORhdO8IJIxEU+s9zpZ7xIh+0Nu5POpMYvmB44C6QvYlBmC
NWYcwH2QBl2YN0KWWzwMeoi3YCtDRtYuCMScXgrdbLHRrmbEjKP+xcBt2YvJWW+qtqvua9f/SYTR
R02nOQhhgdCudLTQvkhUdEdHMZyjR15ypluQzfXpdvLnHHqrU1+6tv/SogDLw4Eh1/eyMYc3RZLt
sQp0RejI2uzapLYiKp/+tqs6JmZB5x3zDh6lE77auYTORKbh1W9OV4u7jFcV47PHFxf1EyvsctQg
0CfGuEiCvFqRgDTfJv3003bVmeGtR0c/oNdRG/YS5VnKFwiVPk8LSNy0TGJf4FZ6n/SMu2Gc/GdC
Ur/3vts8ld3s3TP/bEOewS12AFJOZeU+bK1hP45pxWdiMWKP034ebxwGwzxUQ7pPg3mOoL+ZuzTt
rcwntGe2l4VqTcFIky19Hey04e/a7WwYiNbcBnx4xWF7DxO+skFoGBwzzb/1+NDcTsxfL9mWlAAO
zXxH773aCSiLOC3zg+tkHzqt+j05enVM7LVmXe3iYkKSs5ALcGkKJi+rWKwfCAjoyPvYHRD7ZMQZ
opAHSxBXRZBPsXp7u3Le7ERDp9oq73ZpWsemLO7FYIxP5IydzWqKRhs2rchfkqKoecdt8Yj4wIzK
NbM+jW0pQf1yTvr+vDmHvLck+rmtzvEw8u47iwYsarPtqBf72UyWyK0dKxzHBGoTQr/e8CJiTPcd
iu6cmm5cOsV3NJVArPXkHObWA5UVxnNTtHGfLtNd7U4JIouG7EwXfvl92CozbjWBUV8V5dkUpuDH
+zVHxxC2W3cezEFFVmUjRCnUZdyQng3WbEZgYhvTcIb8odDdGEGa1eTg9LWz9wIHqHBObjh2NIcm
z4tzY4vpQZgZA1+jrm9TrDxA0PrmyfH0Y1pgjt6UgfiWOV2DTsPACZJkp7ek9p3dANp0myXdFYDC
hbyHZb3UEz7QweJvBEG16Tekllhc+cYYSo+ds7NWzXPRBseJgXLUDjnlYLn6ca+a6kSLMmPpd6Hr
u8K4I31v3A+axTvPusfO/AUqZdehJ9b+xR8kOlAzbR+suVyfPFX4Z8b+61luMj8bjr3ugFiSL/UW
rO9g4C0am9J8gkjSByaR7IUM+A5ON2RfybfcotaBF5+0f6XzDOOUpQGWwbZiu01XJONFGi8Mtx/o
7Aw7g3d7C6Trnoepd28TRCi7NJmMF8tIs0eCyK4Or7N/66ADZWiTqzuIDv7UB9NFy/wTejJ/Sd3K
iLIrrMktusOm7rtfueme/BmoV9ldVxc0WRAk5ZXn36S3nhgC7GzR3bTjvWtku6r36ntyz3TI3Ngf
IrP1kp0YfXlna695GrbM/SSvoHqXVu1GcHpvK4xL3KQG258epoN7ZU7DATXUwXCCOhSOV90MhfZY
wxzcVSQzUoi3PpKi088oWBzcXfD1nvayddOTtmW7NxjChiVN8HhzKm78ZOhEGy+155xyhf6x9o0v
vjPIB5/vD8dFiMcagcrdlulPr7fMHQ49yElB+Otn9AwX5BpH2Tu/oA5uFI5MD8DbXrysUxGrOc1P
5DIaLwqGJkL9iFBZOne9aneTSlBCdMm+S+hE0yBACDoJM7if0U3fD0OvXikxvavELzP3jNy9NJT9
1F0cO0jeZCfNp6oajDtrmNsbW6nlblmW/pM8HcgXssnTlxku6kEYjvsTyU3ww8/S+qbIsnxnpXyf
mWAa03l1Z4YZh7594uY2munFXr9ZQS9vq6lfBbBPU++6QNZPbS3rU6rz6Wc5L94Y5rZoz4puPzGr
rd2G0swAKhPOJDk0th83Lvv1RPunCSsPBSPeVQ5b5aiTF6c1Rz588KywnxGzrggMyZdPyCNnMoYQ
I+ut8q1xg+W9gyBETtKXQxe2aZoku3y0Uw9RfB5cwF7QsBRijm2KIXC0RLgfSrMFoWMvPzxrlIfA
FWJFeQixOs9VcBeUuuXFG/ABnGdyGNFWaBTMWmz3CxQNRyaUXfftmvZ3+ZQ/Vd723ZH5l7Fyxn2K
TvemUwRrjuP2zmCfB3qrwNfTojuO9tbs0HPVIRI0jK0tidw96DZ9bRExy66Q4LSlP95admei7R/T
vWSGfkMiKOGlxL0yME/nfVIx5keRtGd3hbmwK5Af4If8LJBMvtXLdh6TT5C6J3+2XhCHfzN1evJX
9dUt+vfUcpxjpUT1qKELj71Rg9IZlbwtJ0Rocdlk1/wvEy1Es23BpTLaLpZY+B2rUqDMkaXFOcl3
IeXcbngWfVHECCDtPnRaa7wUdaac8KrY+4ZbgY9qdLbGB5246rEMludkqewjGR71BzTu1oTdbNhH
WkvzzymHZd0qqQ/r0qD2bFt5REym0Aiy7X3C6Uw0X80kVI6XoFGwiekUQG/R0DWPvsrn42SY6qNu
BjPszNHfIQ/HLUEFN3ZdtI9eQcMFuwFwmqnP2hNBGfMb2mg2Hd+fbB1mym0jr9moWQ3mBvAxXvaL
76l3JaLBNtar8NhYvS51UBr14qaYfRinXPX3EoFxunNote46K6huJ4cQoTDzMKIo81Qe8sAYWHKd
xkbyZcHl94H/LBZJwSBpGr5CfjcfFOzGmRZFc0A7FPBwj8FBKAG1mGyP6EeiKahqeNJs2y/2YHzj
GbZ2qz0nx2L0twcxGeNukYSCh8vYNSe79sWdkdq4/xsLXH0JVnpPala9g/FBWo9ty2FM/CzO8Ow6
V8p/hU68saq++Y6+MTvAkabPziSa580Fch1bRikZ3BxFXeA9BoFlfE3dMngaC8u6s6SRhPxI9eO6
FH6tVJM+j3OlXf6yMM9d7lohk+rglWnR8CILDNTjcch+sLCUl3Sal1divrI8zmTR7E0UF1/hHzTv
IS2OqcJhvhwydTE3BRrX4Xrf5K19aqFqLpl5zX0QlvqStWNy3+IFwANE72WGjz1XHNi+VPhWbPgD
BOWBM0/b7vREmqVfLcFRTxLVM12G7J7O4PRWOHQGF7FWN00w9YSdNigzjD6VtFO2bj3WnNfOXjl4
P2dTW1e9DtYo5Ay3j6CBa52GYraskwspwqGPavJYdDRlwzrDrFznfn1M6zn/0vdV96FzxzB3tsHg
gNwK1Kkxh/P8dTSxALX81dw5+C+hHKgqChtfVcatTqf0Ijyj3pnAzccp6aZQ2CYipTXtHtgm8z0o
Km4YbMQqSld/fRNmXb+KTOCyVPpYGLZbQnFYD5dCLo8ygasJiaUZjy1vQQDttPUv/tfxotkpOVoW
q48/YSA0s45F+e6TSFUWY/HAKSSxCqS9wICv5mDSMDUMznf8s/5Rtsmym7bJujenChml4MBzSTox
fQPDyz8QF9XdLjHd4YoIO3P2ZKfpQPSdzWH3T5axgUANO7U+8UZpobfdIiiqKvvApr4eFulVx8IW
hv1WJUn/a7LyktKazmF9YzmVB3Y+ru58Dla45XBLTLnG5Vp089WRW4j7P6FIc0X8u1tc932slgrX
D99+Kjc7OGYi02tYTc3gh5zw84annRDZHXXmfD/oWbMUbNhlhEmRBem+qgFqBiJa2LQ3v90h9Vyt
23/ilJnLoMpv8i10iWw4LZpksQId92s2uWA9AuXXrCV1mvCXX1sbbICMljPfbKKpvrvohfZ9i9gy
WtlhAbLmyb6tZLV9sWqn/wVp4N0Zmys+eev6Y0xmjP1x7hpu2ApZBv4V1ITnXy994/lEaYB1XFV4
xi3dMMV6PlW49k92mcUaBcJ9NgXGBewz//onyyln7X/PkebQXWfh/qJNH+m9b8/nfEh9/J5mUevw
iqh/oCJr4rJ1kndGSjxXU5lR6GXNcz0l/m3SuarYC9/+Xlo0oK5AqDM4DE/oZx6uVGhRIPbcNlpg
Yb0J9ZStsnwhgm7Y20arzoh7zXtkZYLGRzd2Mhynut+v9Tac1kpbu1Zk3bCrrKb7YufedMzZvt4Q
miYDK3xKfDkKuv6m23JCejku7ea5GY48quqs/dF8APsWHiLmATORBdhRRMMyJHW0LGvSI43Da81Z
pu0uN00KA6rh75ar/RPdVXW2puVnb04/u168GpQAYZljL2FDs8Z+QyqGM7OENm5NKmir1A3S9+AW
qVn2E1IEaBLd0IrNR8DOUHGwxm/UwrRGO+aVcs36aEMp8hOWPwG/lPav3nLn/sf1V5AL5s1D8LSk
Toq3rjUhydymjNLeY5y5IrZbnbA14fzwxfDCZk0owbc3t+uwyyk2hBiirTHO8UF7lkQ+TGC2dwNr
sMvbSuJsgKQKg8Iez9Ogt1M3OxBvev0w+CleiCbMiSlMsOgf1gXrBeUvcbduX/2RPpw6BJXzITt/
vje0tN8hmHjnbMMh/cXhxIyr2dFdst/YnSJHpPqaDby6F2Euc8RZJg/nsvDjK8ab1pU+I0xCCjzo
9nMtF9pt1YhkpaXWFQtGGLaehyRK6lVGDeQEl9B0Tz1HWhW2bFZzOCxsyUNhLQev28ShMfoyrjoP
Yxo1Wu2lt0S9N5wO2yRpKSNkpTOfWxjhH7Qy8iCec38xIpEvJ2LfnggmSB8AK8MqEH1JDTjad0ky
RkPOfbh6K3Y4vo8BEJ/4AJNtOQxd/Zk7Ng3OzRS8z8KWb+nmeTfF2rVR4W8mrdlqiV323psx9+w7
fxq9qy2+fp9MLz9XblVFHA7anbVMc0QIdxM6QTDfLbNfEElqiHUX2CnTupr66lGC+O2daZ7OnQyy
H6rDUrrFUjqyXcZoRabq1wovjBelxu1JCCXfmNdjeCSRACAAHrW9I7imwSEhN+3YqQf/zRdZSQ+2
tCC1ENJba5Yghx/ak7kBtrboDyIcD/MIEHOqIweONgycpcoOM2fJA9t0bkBLGnNE2kmSxgSpKo5b
K/LMLIAYxUogx+ENcfcWJls2nJhC+1u09rqt9n0mxycsFYxjyfG+YTX19UzZZWUKZnkWj1m55heN
0OjG19VwSJuujEmS9G4Xp9bHuTDR5mgUCxBa1EA9jhddkrfYbjQPQNr2q7kkYd1ZX7PG+xaUgRu6
eA+hr/EmvfNSEjzjuvOiYS3vvDFxEZanxlPbII/Ute3fVOtc3mV98VKnAVrFckp/aUz3nmXnOC9j
0SSnjCPITujpObGwQkbCMj/N1WwcxxJXpoWdFPKi3vUqH58Ssalnb6uqA5yJt7cqusw0dO27uXZG
sjLbYT/2TR0yDPkY/c44G6pE5JlUoLSdPIwOtxHa518D1crnuuF/0YolulKl0eIiXES6HhZZW50M
qyl3uiMEQ6YA4yXEa8MdbqvdZm/pC0D4fmMea4NYYz6CoRLCrh9OX21nhYD03kdG5CJ2dRAjClbS
mv7TwUmMcd+ghtdhO1j+znLvNZKKEMPvdoo6t8eiCVVaiqA4r1o48PKMQQ7GDWIX5PVlysT4UQXu
5+gLdRjFYp7WeuCr/dJ7HI0uQjh6a23DUbTUd82gnDPg7j2934bZwdV2K39shGt8T9ttZmmiHLbm
aqGdP61nGmCviLpoKxgyYvAQWWTghmoa25PdZWdVIzsZuqX8xBkri4CCv26bujVNqoprFCCWbqal
cNEgUJ7tQKDucCmBNjc7SWslXKcJQPTCoWaSxdFDnl1BzHyHkjX0ylWGje2ilCaVmyYl5YSLMPxr
7QfeuZoKJ7Ybj6J9XPaKNTc2pCqmGIek701VO8+eVvhcq9RKsa0Slrd31nw4luvaOvRamvTGFVnh
HezKdD+6yRTqW8Jf8Hh2rUfdG5gvaNRwCZsnum3E7e0Knts2opbebb6/YloWtLQyumx9TISTPCNn
Qf47Bk1wkL51whQrVr62brRrZQwwp3lej5Pcsm+JxKiMypdbqsvMJn8R2ZYzcjTtNPimsoSF2HRt
Sc58KpKzl1GfRAqPufkjCPLiMVDStU+Ms/MyWkfmIwxo81vscLdoK5YF7hlmfcUNBxcA9kPPYITA
ehp4OkQD/5TPU0HSnsNqy7pBRCkpxFs4I1+HA8k8+UHs8fhtbdCL/iGP6JxgrELUbWh7qOsidGBk
CG0DsTV6NYdj7rLdlwYfNcXgRLWYECf1iHvZO43ibpdbMz5GyyBvpOfSwxcyhNR3Wa3Ki2egdIND
uLdz69RX7bfUwL2BOde9y/6umvreFurc54N4dkwkqKGjavXociC5445LPxKdaypiHc69Mm7lan52
uEPECm/KYznpjOnSqsMqDw5TFXyd1PTk6uXdSfplCHlweeI3W5+ICwiVr4aDU3fNJcDSOPI6bvQq
o9kIk36FbMzxib27Zocs6JLlmIHsKAOoVAfhAB2X21T93CaY6c6x++hq6UbUGwYAMqFmIlcOysRj
KtUG/fwc4BvyqsaWQIHMpklduvqSAzAYZXHX2yLZ4QOHA4Kf0qTomyR5p16ojB1Umo4lSuLTRLb7
18zMEUKixlnOsISGiia3yDn4ZoyFNUG2ohoVS16KFB2lYK6C42qYY2xQ6mDaW1TNxShr91nPgclB
i/5pZgiGI27+0SthHkiXpGG8su5njdvF2Pdt76ukaqsiRll0NhClZ/deV73Ps2k/qs1M1L4f7PVr
a2TFceR0fOcEg4c74GbS/GKsx5Foc6MmXwPjbimFoUMpuQzwYCI/VL1K7m1aQz+oTalCtjy5ZJOq
aVRw/biSIpXmLnHN8pUSLov7rjsU6LznyjTOTiCYF/RT8VoN+tiN7bx3q/lt6CvkDo16ZYB8aE1f
HktmSbtxwz+MfOwujd3OpcedC9SzjBRZV7LXoZElxEhLZULAJu0rz+h+1Vt2abUsQmSzeAJ0cT2X
BG3iuoWc0imizc/owBM0kFo2jnWQNmgRrRa95FoRR95Aw+AW5WbfrdFyW6DGdj6iKune8dmlt+o5
+uTmlv6s8QyCg7K4QeasS7IQ0eP0XLqmtUTaHIpjkWBh8oe8SKZ+9UrmHCYFI826IMI6YeN1SXQ4
taceU11cBjlyspja7IbJCSMHqyqPSxdgd9gZI0kcDqkWT9uSkeEizfmqDfatI4Yz2DFANjNOwNrh
PWdV/LERax3VwDXPXpuQYjwsbXZ2N4clzJXTAyZVQThZ+B+zbohzmVlonnzdOKfOmpwazdJcXGbO
MTcTOkMcRnB4YpqWIpsI/1RADYYFwD5wySNhjW9Fv+Hq42/+LvOm7jD7Zs6xDq9D2bINzql7QMyK
bgOlnnVHBdeEacdUcYq13h7r9hPrMfETeaOIEDSJ2+J64p03K3uC12sudjCNUYPK8iHfNu/Io2Q/
BLSD3pzUkjs/ILcAF7yaes8dQmvrrcgtkDk7ORJXZnnFLZyTw7Fs4uyc6PnMirtEE2e5/cgqffDs
grl/010nYzoxv2Bz1N4kTIHitghSNPa29zRuQXaHTaD7wwykTEK6emweRb7Y8ei4yDZngb1iOs4x
PSQ7NlIcjdpCDO9dlrrPGFgyjmlNbiWFhmXGdOPJBdUKG+ZQVzvGPs5ZZGlQTdgVaKOgm1KseI0X
bvWcVW1xGHFi/KIT1rrGsBnozzVkW7giacegUVw9EUoSg8NWSbz5ZZP+wIfL+kBflt2vVq9jxoki
sgAVwwb3yMjHnzCysGjkSpUNwZD2ek6Fz5ajmolPZ260/03M4gNDiJ9qkvadG9gP3FB06+km4cc9
5A+pMKsxHvPuWjk4abVcgo3R9QFRcT8esDJmNUu7fjpyW2uOjzYt07nyU3xiMvUqtXE1zzSyyYib
AKedSHBlQQa24LaezOToyqr7Yak5tOm5J9Ie7tE6rafawI8Ia6qpi4Y5B59Jhyx5VDSLnrm7si8F
/rjvmCeVsScxicFjQO1xpNnuPRIdIi1H6stknRg7l6bxDnU5vBabRWPKrzTt8M30T2ln6QhsTP0M
1ObHLXLoHTq89VkHur2tq7ras1uUO092/Q0qmZZ6FN044xfzjyp5jBa71meRU31Zqixv3FWZJ3xb
gMjZQ/BwKvHR7J1pu9BoGU5bWohvhVLem91z0MYKCNxepD19WJkelizP9mDru9Jaxk+BLIasu6vi
T1oz+RGYldwm27w8cEeWHKmd7gN3xfyHHVwtOVO1PUtpTXO4Uu8gimJ8DMEQ0zUO4Rv5b0GX5GUl
+niMGG74S2RMQ/9sLlV/cYpGuxfDr6ebYTVr2CUx47FPrXXUWcoEHQuXh9VOMYwTXmUeAzMtd603
wKiYaPNkkMsXvPmtS9qiaLVMSdOmtGaeZx69VvUMMQmRe027CoREgFBtfXMnGvEqa/HTBu18wYVI
P2ESmuxFs2TXUy2SeyfL3gx0fffrqOSLvRTTk1gnJN/5I24x5d5y8vG9aLz+wTXt5V0k6bDLAVHO
doP1xyiT8Z1l5d0rSvtuFdfzwVwVF7twrHNd9sahVGn1gIyyiBJ3Kj6nKen3GqfJqKumjFLFYHUA
sDpSG2bYirTWkEbgHy5OLr0+TJ2/fVRKd2s4rJv1o7KvJhZ9a2AHyjn5nGdYeNZ40R012rC49yQC
9HbEAgXLvwO1tM/ShJataj36Pt5w6Gw53rRzgqDTM813N0BPTENzSqpQZ5X5SLM1O0/bYO/p2eb8
VLnsm9YoTgpFw0Mrdb+rgsCMRVr7Z5xEgWLrXzP9Gm9hzyiRwx04Rgfd1SwNY5c8NaKkz+uj9uga
IyH68NP0E0rpp0+3NVJMsbPE3C8SRE33Xn5odfMTN9smDDxxqHEzDiscJNtideK0mm5Vp25n2bwt
I8vOshEhVDIYEuZqMDfGSwTLzdF04imT5qmc2ue1N48QQ5E0pvS45nUZuXMGgcBUCHnpwiDLH2n3
VD0Or5Y4boa+KW3nOObrraPpfq+mx0SIH3ns/SXfOwNZWUzcSWxnup9/lUg19kKq/M6XWfFsMf96
cWsqxmbLaIVXjXn4X1tjcG5kdL+TxaC+iTR17iiBjf2GB9Gh7rP+9Q+e8Z+ajL/oDP6PzuP/by2I
5dkm/N3/WwnyMH6OP9KfXbf+q4Tkn9/2pxTEt/5hBcSEGo4BzWc7V/L8TymIdP8BQ22AmHkmB/o/
/uWfUhDT+4d0LPK9LWQgEL7O/5WCmMY/4KgZLSAssai5CEX+H0hBfodgPc+WvuMZEg6WLdf/Dah0
22A1xnZkpum7H8kyRr0/1yGtJokimDsc3JI6N5C3bf13IVn/Bjr+9quveOy/ysFySJjC6PUuwNEo
VAR9hWmOnL9Ivs80rsN/+Vz+gzbEur6Tf8V9pcVxEujIdg3Pgfn9DS3Okyn3BgeKeMoL5wZp8xCx
sgMK+FZBWnL7bqg8P/BJ612JSegukBM7dGu48eSN71ND49zZ1FteFZhKyjtikJldlPQpjeSL1sCT
hab4zZr8bNq4j/z3V2/+h5fP6gb9CvnqQmH/nkNlIb+XdLjw+i2G5iixvubcNYguZEKGL/JAkTO3
UCxbYS8cKzHBdRL33lq0EU+W3zM40+8FzDzjYONDOFA2tnMAG/yu5OTifZmd4NewMJ75WvpYOSZa
29VB0T94cIikL636pLRlvIia1muYlN2xQfEJfBvK7XFtDDCBDMQ4fXLc/KjW+TsaAeb06W4aqxgP
nCFSWfEo0+KpLddnR3/iTzqGYgm/LtmyHSSt2HiwK3nXdEGTo/4uTujqxhM6+/rQ44Ibuz5vBmoI
ZM20ASMt9eIVxmMtyiykD5g+2Xoqb/83e2ey3DiTZtknQpi7A3AAWxKkKGqi5mEDUwzCPDrmp6/D
qMisP7Mtu7qsuxfdVqsMswz9UlCA+zfce66K5+UToZ93UQfZfDEnfXfF1omWv60EHAEZdKEjByrK
joWZU0wtfUge710PKasLOOHoWFN0jSh2ZWqbmdOEO+XAWLE69qb2P6hIPVjOaX1HPBWnccBuc1Np
/TFz/ezcKVHfG3cdfzVDT+MhrybMHLdQ2GIkBD7T18w+z+yJ3j5WA99C6HXrjJXcW0Ts/WSm8jON
a30JWo65rWon+jR5b5mGDf+SHKO8eE/xq7RO8ByPrMw8fjVYMbqDNHxBkwGonMooCwFLtzcYH3fz
UD95JET+J2k5igPoH14n3xWOw+nh8EgqDGv/pJ4P4lpS9LH7HIqiisPUBe+7xdyR5NvKj5sLtM32
U5qq+XpNBusjoYlmzugDbYvStr7GofM8K1ZIY1RdTQgGfs0U6Y+wwYoL40YGVqcRD4ld56+mHYYb
b47E1/+V6+om/dHhM/jq/9m7+OOvdsf/hwyODEG5OM7xW//6Xgt/FUn61yvtP77oj8HR+8ZI6mxS
9IGXnP/377ea/gZhmqsL9bvCbuVzgf7N4Oh/g7NkwwA/OxiFPj80fzM4+t/ObsgA0T1XLv9F9V+6
1c5P318Pe+HjOwwcR/KAYq3w/8l6mFYu8pNAnVXvCDY2bIJ7JNTx9JaMiJkxOzwNFmLiyu7Pt06R
NFcLUrmN28g4h7mRFe9l3o2fYCPSyygPhh1gGJd9ZzBsYCahZmbeez9rMT/wn0/Qwk7NKYZi9wvI
yveJNjec1sDatRloL1079QmxbvTUKgCwwG7Mq1075WfNhi20oOYhlcq5VWr3Ia+L8aqQNgexracX
dqNiJ7IVIQ0UyjDg6H+s6+ANfpizlVOM/S5v5522rOlCVAQlzEoxpTqfFsPSPrKGT85JJFhYGjaP
zWzl4TD07aNToqpgg1Hu4skAD+xwuIHpbi96EUyY9maY4ioqvsADVtfU8cl3XzPVApnWfx8q3zxl
gyovyC8A/+xggw0ZlnkpMqfZQhytI/mRZzD+tOOiOWz94HpiUQjzbwVXxNKpnz/sMkvJuA/Q2rI8
HcV7Ldmti6jh5vHJ/0RTMLo36A4YfuAdOK+0CnOVtJjktra/NiOZsfXwJ6Hn/3QF+//fkaBpW/9n
58HVZ1fhtM4//+FM+Pev+nMg+N9cV7GqDvTfX/s/Za7zDV67C3pNCoGPJqDQ+1uZy1vP8kQIsEES
D6PN//XnQJDyGxeLDCh+pcMfiKv+3ylzMQ5xR2kbK4+GU3Yug/9Sa2rjWo3H5GKHFw9E2nIHYfNL
+gzbeEGtqL8f6/yrdRAl/uVTOv37ifNXR7L/28L715NIEw9BEc++Exkd/5bzPfqX7xwnrr3qtRh2
mub0F4EwYjM4DhXU5I4yvlRiheKberxFGy+11ofZNHNBC5ms6KVM8+W4AUOl/ByUw8vu+2+1v9RX
KE8UkPcUulAYxy46BMZQ/skpWgjYAz3n3nYj5P8dEutVj97RinuoDnDO1021MDsqGCZuZt3dTTEL
Vm3bPzKBHIs97h6qvNwy+UZC3lYPS1kSuRMLDhmcpeDf2YfMXfZgz5KXfwYtQLqHJUH7yfzWM9BI
2PVmTEf87CkOfL5ftMzmguOsvF/cepc32XVG8XqTN3wUc7DKdRvNghifNE/54mlhYoEWbPxha8t5
7j2Di9QMMr5LvaC7divIhTJdoo2Ce8uoUKEiwDKVwUrP4pcUse2Ddsd5hyWgCYH3XEg0jdSnrRNG
wOLeACna8TbvHIvMhRzOpj1a/t0E3+grmlVAmlANN2EbZ33ws284HXekaqCb7QLxPGNW4o8knegw
auzkwcAXZmrtLKj0KEczgJ0YusFV+smVsgUzWgRU1wos6Na2XH07p6VzB74QBaLKF/fUWjlUcseI
69TQew3NXJ3meIoHCHJJz2yrZdiEmwiceIOf46J2hvl6zPx+z46u2p5nlvss7derah6b57byPTCY
jbHikFu4flEzdCsClX0gs/nUWBfoMoP6FCvQ35sE0B68wmXoo3Cs2nLrmCboNyNzqoMWIm22yLTX
FyDV6KMh5eL6YzQvgfEiel3u+HtTy8a2kr9cy3PFLkbiQ/3fB6dET+yoBax4dzsgY9y6WIgu4Yvh
O/CrOsP7PwrSrAwFAZ4tD1FWHTfui7uwqNyt2aKjUI8VwtG59zH4dQaBSc3I4zKiCTpT1N3mZhiS
/qOtFA9S3oo3BBDJr6j3mh98MumDyavgjohu8iXapUAXmjpD8sakKsWHPaQxyMnKdgCkyfGErJjv
sqpEooMH0bVdCs/5QN1sjnrN9LyNnBE/ZDpmuDcSWy47PDpqz1h0eVT1aj9U0s/bcJKqX7kCz6BC
WGjzD5xJOt5k8dTcj5EMPoxfJ69dyqe3c/yuRrlc5BiIAgamY4/HwRsGOe8GO50/y7o3z2COC7VR
iBk+2zRrq00DLiCUsqMS0Uj+BMuZVv6yTCofk74pX9CpRfd6tr03UI8Kr4ZdkLCjJhu5OgRwlkNy
zMF4Vozja00raZYBk2uMRQ9LPuh7Exp7KO19mvi0gror8Njp2VNUH+DJd4nA3y2TEXUCA1kJxgGR
B9CvcbxI8qR7YGfdEhgQi+JqzfNZnjVMnCI5uqlpw2rOuluahfUhkU35S7ZY8F+EQGoC4M+rfwgB
JDCEp1Ee1vYMRcO24QGvH5V3OUBbGjeatBfe+MzPThYxKifVey4o28DFW7hWcrpPkTa/8CtFytro
kl2h3+hd5OjuEb53EjqgfDE+ueV9IVHNr43RetPouX2zDdUlh5lY3ifh6A8Oc36jSCwtajvA8e6W
ubqFK20knw3iXQNWzUKVumJtnHob9Rk/qYWab4j1guTNzwISHsaKY2EkZaYOc2sdbwEhTy8FSRas
zNFsGgzUATtjoQL1nvZmdLfx4LooLaRF7B6b5+yGBMXhBDasefYpyqidotHzdxHykrcJZcLPNl5R
z5TJeR2QQrNgcUkaBl6SIlld9svdEl/KCInaholBfsvMXySnWuBj2DG7tY817OvkwhR2HxwXyJEx
FHTJ29XVZcrusM2szynq5mjLaJ3k3kpV0d5U7HtZfnuolmwy/EKg21SiZGVYzpYHp2MfxhIMMXRt
lYTqTOhlUStCdCPWyvBXpMvSf+5QzqPML/kSfz0G2Uh+k/KjG56k7sPDOXFj5Z33wmKmPI7oLq5W
hpxkkjEJOOhk4QbNq2F5JTCQQ488m+kW57sPdjjnpIbhS5gFERRtuwFk4P2s6dAf5xyNQkpjgrKA
0TIeh8HrvpZhTO47bTfJNsWruBupgW/9cpJovxHC2NiCXqs6PptB/DrdZh7XTqyLON/oar0qVcXa
2wNwjrsIcww/+Sd2ltthSqLN4Al32axSq+/woIpbBxD6tIMmCaIV+ThJB6pxPXGI4kVMIBj96FPE
C8vUQff5cl3rpQA1rMfkFZud4Bd9jjVg/jz7GJck/7Y5SpY3IiD1E8dvc5pZxF3EcOHea+7na80s
BFE/+V3vILMDGKYGFw/JFHplc595ACrVAGYLPwLxYFsNK/FjGtz+hO9mvI3mSJ2EZ7CbLCRg+FG6
Pru8SD+YkEfIb1CL7ue6uFCsp5utX6PE2XT4On6urNCbrdsazwVtyebq/EtT96nTDnQvcrgchMqL
65Yd3LsLm/hrzSNiuGXSsruUCAn54LKEECgWvrNyLtfZwYVSx5H/tiCd/uR2Se9ZIiQzxxZ93oxj
kMyWsO4bjHWb1uTeHaFSdctgZXVmFhpkEmwtu3NY4A9uONuF4SVgvD8bK/tsIcXd1mP9igKaPWnH
GCjJJHkYpYHMS2HQrqgPLG+8WhJHs5uyk2nbLi4hOWXkZPsmmfEblXwSsoyWbjcAdkRtqPwfrert
qyrRvrtBXBF326gOzAFds74eHAn9M2qf89l2vvu5Cgrs5Txmu0AZ/FRSUSQg7vP6L19byLXbwRuH
nZO6/oOwdRzth9FezkE+MYrXZB4y3k57IOxpmrCjsFkpB5xNfpazZUHoX18No0PASt/yRJVIzSmE
CodLnx3voSsEkyz23lyXXPDyq8tR7nFOF/Fb2lVIfKzBme+ImTMqFAsRR0kK2IVgCCau1/lcLse0
Ta3vUdpBaE3p6XJEP77YNgwrP5jKGeitQ2p9xJau9dY2S/ZJMBGnQKBKosUk8vvHym/wusQjKQFc
VOv0PEH25jLGjmUul4hpxIZHADlLnmVLfENalP0giEvz98UEoHmTrkXbYabEi9Br5f3Ez46KzkFZ
FeRF2LVNsLV7qfd4yJLXaVZnr8pKxdZFidzkeCk2oyA/Cc0JwDNoDyubQWn9WGTcvAt3W/WkTMFe
PKcuAaaOe7/cOylWJOz0uHPXhm/WxOqOhB8kaOTKhCU+MfzyS1imc3UA3TxnSGJ85z5rLGs3lZW/
h+pY7Lwgcrhyx+gEX5uttYcmYO935Y9gVfKVJ9H+gkea7TooxLxhtRecvKHrrrNknnAIZ4X3sMol
rXeiD5JHa5HljRomPj9eihfiFDiuIE6v1YVvsuU1cmjfDTwq3KqrOy8hUTZGboiGGb7YXw8/nAQl
B5RMk5Tb2o4EDBe6my/bx6u2XdkiYfdiVLGpjXIQQYADxiaDCTdWPIWoFacqCeWwTF+phdapWdvy
cVo5VDZNFTVDyPIbeVtUxejjor6f1WFw7Bk2cD4vR4cHkaK3IOxzWrhpRZ5g6nUdtrNcY1Vb3JZU
82WYw/IXl25XdLtY6vSxyVvroV4IHV09ZLU4k1YfIRuciEn505ZBMMgetx0mAT9eYwcqIoJq5gVG
HA+xDp7qaFxtgAkLlSAXZdECNRgLEnslMG5SxXSCJ6ghtiK0nIWP1nNqvBQlia0A6OEjsSe4wiGf
jDti/AKDgMsUr8vgBwY72JD8yr0Y6SSxs1RFlVVSIkoNaJv5uqpfxGAXT5MR/k+FG+dAWNncXII2
qN4qOmNSRewu+8yQzok9bax7Ny05KFfbqsgzQ/8sr4J4pDwMwMFhqqtYgYTjFDkcDg4SHq7hur1H
2g1Tvy95DJH/oRfXDMDirXE6cVJe2sqrgikQOXSdI568qrMRLxa/qhVK2IaMFMgPnfQivRlLK4sP
ro6hyHfA7et+pIRMeubVx5S0gmPUIY/lWHbzyz5zu5NhC4yCKSd/wnXIS9iMc5NdpLDRLic/xsZl
1dlPNA6iQyGRwgcPOvce69OV9FcS3Nr6slTkVM5JjvVKl2FP87UDxM8C0yku0hoNlpKx2kxK3xle
gLsUaha67r7B/YZbtPYoP7qaZFHmSH0ORYlpGqLlLAQEQNrsOAm86l16UbWyukc0X57KpYPRIKka
8RQuXcS3WZziuq5kurMQJ228hVHbMmf6jhGp2aPIOGA+luReTrvY5NOp0p14EVWpDAcsupKyM68V
zo9tnyr9MGqf9VKTLXu3mu+8xJqnULmDxms3B5foNJ2I+kTFIydUIMIgatMrKfMJnU3qrzvREYqJ
myM4riMq/20dBTiFOLx/+ca7aHGCfOF2zE/xyOa7H6vgHfS4f/RQib2pVsc/fS7QrccHNHQFWNze
GVDFNSRgY/Idu9w6rWzuPNQfhKhxJZvmqex6cVDko0ITBiP8ZJcJequoGjYjWNuDp5PxmRV9/hEN
Yp2Q5CzW1zh4lfmwc9ogCoAUuHQV+WK96DLMeJykag77s/kYOGZT/LRk310vmKlTgM4BF1g2S0E1
0Cz5tCcfhdTTzA/uGSv72Z68vmE/uNNIjyMa1EQDgtaINpNKIczPdyb2qNRl6omxGjE/EcohNZI5
Nr+PnZ4f7b3XDsItCCIRO6XZ4qEYhVrdg1vSJoCzsvEjqtogs2u8AYmtXUn90WNL+dW4qYpCRwX5
EvpsXS6DMZiDA7gEE2+xwVFET3ahf/kEXoYpk5wrM5npFlzairpWJBSmg8wwK5QOtBWHdBnMek59
6AfbfnB6MTKV9QVHYuSjCI7xrIAOaQw6q7T0FvciRbDREOhZjWpDNI+4HroG5Wk/Uj31PrjRPYzZ
/geyDb+/+D3O+u/56H/ChJRkybCEPzNo//XO5Jh8dnnyWf38xxnp37/yjxzA+xa4HLyBx2iTXtL/
uxzAt1mpsFSDtcdy32Ol8be1iftN+QB7ggCJAFjJ867lb2sT+S3wWAfT47ownrT+L3EhPfk/7OTR
LOFC9xEl+M55XPqP00pRiiyOrGW9KKWzdttiEAhOWOawRzCDO6D3dCP9amhXCmppnfa7xuTUS/HS
AcExlAQVZ387Pk6CpBMcs7277wurvPHnod/LKekfauyiUAPraZu5JQCaZinSQwLy44ofqAx5E6bD
FDCYuFlcf5qvdS06srPqKgUbMsQQa7SdAIcvMi/BMeMxoSM+s3jA+HLutcplWZBCrzarT3Ksgova
S7ja64zCBGm6SyCpn2X+QQSwLg75GGUP4+C2ByzDHtOVuXpz4SlypERy+Mk/TuL4MQz5dGwPTx5e
aY43K2IehAY4upjcxqO1oABFbYhBCtiIHmO8na1X70EOOjW63Ci9TXt5bvCS9jyv9ZoV924e2fkm
mmYyQDI/j7xDRjEtDg4+1WoXdU5KloyeGD9h87c+6iEKKICBglyTPUTTUg7ptVGITqgIiai5mvH1
rqFfLJCmS9vrNACLziAIws73Fk/18F6ofGLkNfT1L7Va9ldCl2dtLdwFKO/SBXcSvtoN/F9D/4no
nkCWZibn3VLTyVqt8T6zKUrPR39GDZ7ExW5pJ+vNtM5ihfgTEMI5SKlOlnIjsowcYhQ2qxlpNUmY
KZ5quxhxufWi77bOqsF3nTFBX7oRQUEujSzeV6+36Wuslhol8laqhLRLiWCHRwRyz8tX6A1kbl0R
2dnsZVONoepMe2oWqzklY9cd7L5uH5LMF7ftnCJnzQD+TGHBXH6HBLX5FKafb8WY2cN2aZFx142X
H62uVzsIpeA55oYJWOqPDRz1arnonbbe165c9kmcQ+VZQAIxJA8OBmv+y9zU6SsCASZV9kqRydDX
fytBxj/Kep5PVaxx2ffzuM1lMN1lzAh3RQ5cxKGMvIHCH+yJS8S0UeAhiSSWCGN6HxkuQ7DY8CNN
a8fsGZPGjTUwXqmjLjpKifZDlQmhxjaqCFck5UsnHUa1vv3MKrRETkDFx5gfWcgVkzOe/KBMl003
TflDMOLgSBP+pdMg/DD1U3PVRp0Ioz5dnpuYvFk9DPPR7sHbJMz1tq3QtG566YKtLLkvN7mK4hPb
jvXeVuM50COb73jWbfKsz1qaBN/kl08Rdc9ASoXZ4MrHNZ7WFwv73oGIOPwrU9Z659DYpnopkkq9
OhjEX3LE6l9D0mUvHl5ASIPDwUGWfJcJMpi3Ju/1aVFl+95ier+vSkd+TgFztS0IyeBRpQNWh6Rg
nJGVxEgSirAUNPesGXaTvaxhbGv1SUQipIDGMs4zuor4jqFuHjKyLL/PceaRfm7rjyyxzC4p3Yho
AW3GB9v3osPS4A9N6e9/eibCaVK3QuEdorO7yzwq5E0gsuZLUUO/nB+EJ3v11q/Em6Ym9CdRPK+t
8O6Xcj55NZilDYKUstt6rpz4d2IzQyDvy3ebJSvzeWeu3JDBcHQLkJVIBc6Ih4jARjLWcta4epyX
V9iwRb8xHM0HW+d0/Jkd2V95V9OxGnBejCxzBTEsIE5iOwwp08bCjR+6Mq4+defw9uO+xgLlN8VJ
IHRXGEQq+mDpz9euinsCXdczuICVccis7Gw/wCSufCp0Nlnj5iyR2seOEj24A6c7rsJFkksvpmVY
yWHF7OS77a4infbkS7ugbs15SRrNXIBhnzIPsSrYzNczvR0GXPOYZbhm0Jq0lxTL+srWRfQQF47z
TjORH0HERR/WZB5FU87XWTxM2ObFkt1DtMrLQz3hpBnNqug67Hi4zBmCAY+wFnUJg8W+1rnf3xCX
nADf0PQHuTsHt4FyBZ38ag18EIWz3k/axNNBpX3/GIm0eEogRH2ozJpQiscezQjRuyQvTceULJNr
puslCTdDSVb2gAGDaXdwR6oUVqt6do951lkdL9lY0XqLKbXoCntt7X2mJMi0dNDe8CqoZ52YmnTB
DLk1bdRxCaLyc8aY/WkV9nDRBrB8KCXt7qfse49ZW6qeRrIOd6sDMthvEx9Zatf8gF8yfdJPkDMS
227vb3ML2R7m4qk7kElDvk7aFwwVZfUVGRL4Nudq40D6or0fW9taaD6Me9lHc32dTbm9r9vzJ7qQ
pIUN2633PX7TyyQZ83vLcyy97YRfNvt0zrlv/SZob4OE4wVdg1tKLATj9GmxeQDfggvlIemX4cse
sQDfyRzPCM+dk9Pekyx9ExEfta8GrGxduWTc7J3p7qvaK4OtYVK2wYBHMF1uuOoqbPNcXuSK3BpD
JJiXlPUxocvGNoOP6yehORGBGgw+0P3adnoVuMsU7JUaxbP2ivSFOzsnWDZtejzAQT1+wDZwr4rC
J/NUu8FzkGAalV43VIwyUZRvczWcPSXRSocymuqJwRLclLY32RX7CeFcJUCjX5Eo6zmc3e4yZZuA
L8VU9XE0U3uFpUc9zAhVjk6Q5PvICFYCPkr/FW7Jaa0MHwjaMUTEXt+/ukELvhX/x6uYOg2osa0u
zeoXmMVIxaQFdK69zlaA+7TRrwz5k2HTTzblkBuTGnaZdY2+SZMkvS2iNn+t6ZJvKNha5yJqq4Hx
IZmD1wETifdgTWf0+/pNOEVzseh8DqHZ8jjHzhoGXeM84SvNLxNdopkL7MacUyyM94x6cqh2DfiU
iwS7xXsVi+mFnacH1ALE3lVAROmOWBMhCMFW80HhlTsCFBguF5Lhd6oH6kQQ3z5lFdNurCyDApZO
48cCj4sNeA7JorC9/N2HlNdjHrT9QxcJ/9ZehkSFrRTjr8g1wY7t8rajMNqJhsGbtM1nlTb+YZp4
/Ic+d69k7z85S4R/BxeT9MbmtWMBezE6XY9WcYTqxPTIFRcsR5k91kVcPLJdEq/tLFhCMwg6pBOp
gzvYx+mDOq/yjoPFin1bY4qJmbIq5y0w/fK9wXCZYrlJSRecioBTPSsjMxxWQrTOWb4UOvh9PbPl
14ztDoclfCSa3fe01RMfYkD/uiiuz4soU3KLTi4/QSbhTSXwLgpr8n5Ouk6fChF7qIuc6CkVmQec
wK7ty4HBXiizGjN0I2qLrrQUT32eEc9ZLFy9LCxIcYB/U6Sj/TQ5lxEf+X5ltIDo3L0xpRDXpZgc
BpEMe+aAkZRXJeUlzrZqy4AjPhm/b0LiAm+9MpW3mlKZsDox3UeIoq7ztZD7HFxJsu0ldyxWTgX8
wmsnLxyjWu2HMshu5Tx316RhTPnOMolbHso87m+6lWJx09HOvLi4F+F+AMq2Q7VUlr7CRdi/DHGn
yS6fnfgFewHWAszND403EYhk097be9lWBUpCC9fUxiW/7Tnr1uCWyVlywjsEPsGNl8XmEJvXo9+N
7ZvRUj/jTF6udeGxLHOqUb+cc6PvOewkIYmtSN55gcWeZUdFCW0x++GdqR69dY5vmtztOFH7WoXB
2vhHxT/8K9BjiQMQ2jm0OOrNSwIEcZAW63kC6Hj4Iw9N2as9dhiTQGQieI5Tc5FWOCBxZKxYqLbd
rqLkt9THMeCHwXjpDpG2qzAjO9bnOdn0sWIEwIqRmj1sWODdrV4xvNfeOVCsHZfqBtwarguSlrdQ
MShxCOoWdz5rsneTz3RoCQ6y8s5UiWBO3eKJDN0EtTqsmIhVhxxnZuqCsYV9mBtJAhusvfIQjSp4
jTxS3jejF8HSzz0e1S0p96bG1+ewiW6qc7atXuWrMUT+XvRa+IBcpgkgpIrTZ7CP5XJf1t0y7J0M
WL3pnLjGaFEyoohEfx4LeThgiWDj4bjrbYeWoyiIed/4iVy59Ipg4q5aHnhnmB7apZnBEOPH7jj9
kaKMmC7L6mr2beeVY8l90MDEobxGwVU1Lv3jvOQmp5paXydSvy1gdinqmLXO+m2H5xfsa6vxkfz3
iOR/JTbDQUzMtOBfj0duPpmPfBpOvX8Qkf35uj/DEfEtYN0thGZGIvjtox39IyJT37QrEZBBYkbD
Rd35H+MR9Q2bpmCSAseYqEbNF/0Zj0j3G9YKN2AkoM6mDP+/NB6RGDb+SVeqHd9x6MNtG9krurR/
mo+oYQG/oqx5t/SNGg/6HF8/j7gaN2tCGkPe4z/rSy+wwzkY1zMM6jyZl7+H9JZnpfi3M5/FNd7R
txLJaXA7Mnzlb1QGmGir5XkrY196M5C3DZlxrAuK36sDTu+iuXe7NH21sPTGj2Jxpvq+VXi9CONO
exbtTjVRnVc6In6wmLoOtEQTkGW5avIG9ciiimYQbf+frduC2gUCi1vFp6qP5ReXiUMavVboHPIh
uGzPSxWVJ5a6Rag+lqFMJsdFZyDb/G7qmula/N7UuOeljay66dj36P/CzmXmcBv93vMAlRP5A+vN
N6BBi7wAo8SSqPXUOSktItRxThNy4iH7Otk1IlJpUI+fN08KAUEXMrZ3sm0bZyydfKvU++734mpR
YAS305il2Z2xyZeMEeQ869bY15CmlngPh3QsDnBup/zYzc0AYyDmsIfIcyZgLJzrWBjPqzjVy5zp
qjg7EVAlhP15e0fIpYITB3tedn5yP583gIZVoNsRpLoxc14PYR6UQHyCyfQb0pj8TeAU6Sv/NUR2
Y9ydItfy60u3aFhMrr+XlKx7nAeQsGt8w4HOkauLwQk2FCGsNytw1vN+AlcMcQJA+Hrj9F5nHWOP
ffdWQH61DiT8Za+48qbhYiBdCrBzNy/B1v29lPUn5Z6qeZbgZvzIVNe+6FFYjQHEb0ZAjTwgzGLd
a1DXBZfCyVE8s7dlT+trkip2APYqKja/70Oyp0E+xaviz/3vHbNh3hbtlzwfyVaEPLPQImNc2iVe
oxUD7GZ+MgnxX4fsvMsGAdo+l6T0bjXdyc/aRHI+8tRxrIvf+/GxY+0HU6MOsE+L4TIuDIVZS9dM
vWSxuEZaE+ljlgn7exPIYT5gQ/bLXTLHBmlJgHJuy7ixPpL6iw44bbr8mpQfNBypd/IQfjwbM5Bo
2EdgvOJBJkd/mtAaGlk2r36VyQd6NvMBlVXTJeS0bNSmGzgovnqMUB0n3IBpr57SjuiVjRTYR7eD
aJbHtLLXn2VSrjeUj93EdLRO5F2HfRMhRp0TUKgA7o6Y+eLyJsgCvOGzUyMkEtlYvvfW2t4FmSfa
kCRhLu9IBDkQF9d2ntolaRwIkyAloSH5dk9HWbnXhB4kbtjEEEoAx1mxvBpIOWS+E5cOISByQCWU
1Auon6xMP/qgJnuFwEmedhlbBLQ2xJeGNTwP0AIierHWIrpYPXBS5VxXPwkmBX5FVvY+jpz5NRh5
7VqT+d6FbLvyfSli3hvsz/0dgjtmdk5ZX1WiGJ8MXOQE5WDBWQAnkpbYsU/IsFiKOYGdHYaxLgGp
ywJCGobi8tCK1nmWZW6uzDKdwZYqCXbQBYvongoFF45ns/6+IPB62iNhSL7PGGYJMAEMgM5byIHH
o2ifUpwIl/PqIRl3iqrGrq4ZBTiRp4uf0GC7o00RaKMmxVOPYLT60Y71GOzHwp7jCwhsPioNFrHs
Badx5+AGuE3a2rqMMOJlmzGui+mxmWAJbxP2lNg+2bAY5GVly64TysBx1E0xXMyLTdqHWYnGCXPS
a9CeRTyrW1fALxwh5tyxmKlxIaN3kHHkVc9+ZiwRTjMvCjQKNnpkILtu6HEN+j9Kizq14NC/cLuJ
xzN5JYNSfO+HQu58VWdIPvJuHwwJDHODFIQjHKBojYBNbKGStQfko/ThDH4Cjn3K62MLNLx6qufB
xiMAY383Om30UC4WMsAlP+vo1OSNpF7IdNoVFIf3Yog8QmaFYoPke65jXTmryj41hfx4iFMx5DeO
Ha1bP+bIIe7ZLneNSoXerEM3nEDfx09sa6siHONZMpqyU9hy0m15EgMXJBchRsH0HCwrSho3lWm0
MXzyKQo8R98Xc2upLRpNuKspg6kmJNGBH0S5CZn1rWLazNmAYIrdoIbczEoU6zjbGgZviNR22NFy
xpNeOl/lfSoOPMyrhWIQcfU8100KooR83YOCOBft+9YNDiQqpz/1HLSv1QCP1Bp7nLlzm64/cofE
a1bGrkKxkw1+HfIt+nI7DhmR45WT58x+C5SUKUH2yxaWrHIARpw/hEoNG4Jfy+xk8nWhQOhs+xOO
1VmvVVXN04Ki4qYWzeSEtNw5s+Gcchf+A7qW0YvL25lWj4FjMr5MC7vdfIkDey8sJOFZKXxkmj4K
2ps8WJencRV+B+YMGcQmzpG2HAD4+r+8yVkOhADJ2whWxRm1SboOjuB8ajcVKaP1v7F3Jj1yI9mW
/iuN3rPAyYzkojdO+hDuHh6jYtoQIUWI82icf31/zJddLSnrKbuA7sUDGiigEqlUOIN0ml2795zv
wJeAHm4kUxzegCWa5oMNFMS7nZGYwaccnfgalZT3KsUs7si4OTVWSrPA6Yp7jnPJyUiXLg5C5uB7
i0UuCKNBO6QJCgkkRl/TOifctmbNNHWVWW+iRa6GLGRxnzsO/d9VzQkytqfqHTWkEftovLMrfaJz
xBqzjoij9GHG9I7xtCeSmfiF1B/Aht1rTekQyeXo5n6w0KYUkYzX+Q9iB3LmEx+8SowCB7nsxgY3
zCFU0P11QrKrmyVsN3rE0N1mCpW9xUYXneWQjT6uxuUwFTqR0TVE2E1cj8jeAcbga4mq0d0g6+/2
XRyNJ40jnu3r0Pu2BDzNzhbyg3MZiCj4hkYk+rBHwmBjNT9qBhsrQRERjU5ngHOVTLWNOlPqC6WH
UyOiYC1aLeqLOVwxsJJfGy2u9b1R5qZ2HNL0yrCZ8Jpt6N7ZJoRJweH0MUeb+Aa7XsEQSZvhu3Sd
cqQ2yMziRnYxAtA4HTWUTeaSIdF2wQTpxlgZ6Amy6WtkRt7HaJfJ8FQhHE3wcxrVRyMsvb3j0E6w
lIkTF9djgSDlnHgGtzGKvH7e2ENYf1gRTCPKGzMerkIkY5LdOaPBmhtV4R3L0hoeGt1llJ5kGkof
T9GbIB6gWO6ttrkfIHZUR9FyUN1Y3jjfzeDTwZwt8TVCs+SQiFnpfjy1AAJitqwu7wqEG3Y8VT56
A14TCvHuNlna+KpwI6gSqZYcQm+0bpikxsiKu7ECAo94Hh5mvvX0PGIvpwb5gIk0fRGlE297GgeB
UyESYeF1nzStDGf0RbrbXbn4usp3uGVevWeh9R5pl9ofPW3RGnZxW970TMOe+gmtX0pjwDha2Zwz
dwPX4+dNZDwzgTOeIGhoF9UJMIr5EKEaYtpR7AV4UxJzzYn2ylzXjW9ltf2NDTIP2LLczEeXbz13
oXo324aG0TTknEkjM6u/o2dqno1EAHo1yH7UfBH2FBxaMpdPTdRHjwTar3hQSYqaTr34MDb5RLYH
zVjzhalj43vNko/fOhtssa0xhTTCZAt3bn6HTCIhzMUPaWZC8zAtVv5uEpZ3bLDNyIO+GMNyzpBh
zrsiL/v0klTALwJv1KDfajb69INZK7ns+KfCYc1zhtjXDUyfu6Tp651yGms69YgPHhV0YOEnZmQ+
JGlmJAwF2cpjsrTv21lFIGrrBXwOMjeSRtjmg3Lp+1vmUrZPInp90nNl7UyNqiDJ7U/cqOhp6lWb
FLduCjIyRaD5THB0jGDPpOe2IVZjdYZZunFdW01/a48TgrO0BrPcJ9tGxtNRLzyApsy1/EHBM+xH
Ugd6hQLVj3MHioYVC8H40OvuR6LY9hGGupeaewtaa4VfMnbLKriznsaAtYDhsdUJDASKOWjaa9yh
qjpCWMOv0VuF82W0BqkHwOoMWiftgMg9dx1otGy0l8heD2eVo2BOKA/cdjJPYb6rEi/lEYrllf77
+GZyFTJIx1iHtc79JkSeluzettrpDTthB6fRyOybJEbkT4HLCptiqd1BEMQsbFXTZxE2805CZ70i
sGdJDhhA7GsODW54bNLa/JpWtRXkBseZgCIDhUqMyRGhH0y3t8lcrUIAbG2Tpxhui5wEXt/jiXUY
Sqws3fIyY+ul9Tp85fWVZ5XlSONjQ2d3B8EUHcI4zutgiPPdqDMn3CBxLG5MnWJoGzZ6YhyVF4dy
x4lYB1yXaCmnKo430ueQu+whA5hvomMD85eu5/yKXsheNeo5Y6lQenL+0oYKSAazDC/dkbQTfwxN
KwCv98ZrgaWYWAvRHrKaZX4xkXltxB8wEoyUW9rMWVAIcOQY3jmm+zMqWuD2plRvtgaBO8IZv5dG
Gz+hu8pdCG/12shPc3m3tF2ljk1loh5SXrhCztegSywBWLH6EZLAZjAj6hoRI/FyaxJc/ahLvI8E
AcaDRRZA7HkwRkQqmeqX2BqKenF2KOD0PSgs9wg/ZES/xxSgBhN/6wxY3+tWynbL3pwzemdudt+G
IzrAtgeanJSJ+gbkV3Y7z/S69uB0JcQtI+4+6m4ZbrBsVQh/YSRk8DKB9GzMadbf7W7UA+hFxncU
ess9rjMIjsQsnbHLSISqEZ3ROByvqwGSpEN64SYHUTT7TYF2wpbfVE/Bk8nIQQRaYneKOSWZjb5X
aU7FO0jreVliIiCoIswCRVYvk498SIorRXIg0ESX+51SIWMmu9iFVh8LobigoapvXbbhXdK10Rs1
BeBwFj/5YGfvukliGgYwQaFfkg5BxsuWtqW4ykq9fgCprO9bF6kqC2dQVcraG0npfPR4WQ6h3tpX
Vp0dltJlbir7LA1qBtG7lB74Q8u4kOwOV//qtXZ5YjA6viOtQuoVZig9vW7Wp0MOkSfaskiO35Ze
YkAtM6PBliHcI7EVFF2Nye/uD0x230Um3XkLl1oQYmfBS5io6TO0dfs0BcVWI1Hna1Jnt6NrzRfG
o9DqBFEi5xFXnYdurVs+51SRRZ9RQfrCLtzHGQ3QeTbr1JeEqXAmztHS1ZkemFTyn7k2tfu2IxyJ
zQSCH745+p2iv1aSRbQjIj71a0uIcF9UHmGdxrxvchcYDL4+Rik1zY9M1t0Xyt2GBgVUDH/648yB
tDlokD18d6FFIrytlnsEussrGHl5X1a4Ezd6TExHY9rA1Ury6wkKZbmkc7MXVX41mlG9j3ND3vSZ
bfALTS4gL1GVFDtaYe+sHv0enXtxHnLOp71jNy8jvFTHmNGk68IR97lndwd6x9NdrqNtndA+MOks
s5cmt/SXUC/qALZoe0HtZ2zhfJgwP9f2mRrpVJNUQUUjbolbklvhJMmxZv7bMFs6WJNzQd86+nbj
2KdZmAaFlLcwFLUYYmMt5Iw8JFhVIm07sBkTYKNT3smoOLNQpVteGfe51BqUi1FLP5/5ULJBkvqI
jcwbSFgbpkcpSeMaVYXer/F6ceNGjosPI5Xz9ZgzY2bFRVdgESw3d1FzhGVam6fJSOtuSzcN9Xus
XjV0LY9CNqQTTM2iviyDR7UXZRaDq1TfO0Wm81QXZg6S59+WUbd1FJ7IYzONlCFjPAaQ5eAAkqHn
fJ3K/B2/R+JPlUG/oFuKz2F2wj3rQ3XfLONIORRql9xqcKuF43OXsrH2uK/xVMLB2otJDGgQ8b9X
uXOpCVQjfI7jADxVlAqrsEkkJ4yD5ZWjt+6n3lm3WkjZrZBaUpCF8620ydScGFj4hiJTbm2cpPgU
9vGUdldyWuhNzdUin6RZiFdI4j5sf3aSqE9OTtMxueS8gRyXwhanipi/LklufWEQr38f217jPOCJ
235J9qkUS3epNYSk1/EAx4+fxTRmyb81EA7VVrPUdKD0nhm/psVtpoR5wJrSbFu9IEdBz1bG8oxT
2O0ItCD9EszJtIjIpBwmuBQpFDovTDZjf6dbBXJ4URpsev9/rPB/lMZN9uIa5f6fjxVu+zJ9//qj
5PLPv/KnLV3+Y434tLCSYsSWf8wN/pwoWMAoqGtdVwKtl1jU/zlRsMx/MGtwHM/5jxjuHzAVHsgm
09D5i8KRUpL5/u+40v/gUPzoDkdnKUE/mZ5pC/5n/wIliiIIuwmuun3fD+rQopBgmo2MIHKt8NYi
o+80NjqRCJTwzLSo9kVRRlft5KYnTy8NH78gaIRyFh9ey9y2QdK3cwzdxvWZTictK2PEIoxDW9Z8
TngguMmJfpe9fYsgklkqBzk5FSeNiV6AhB+bYEXUYesljN1V6w9L8kSQwEdo9/ikRXHMVN3sAXoa
q/Mxm3ZNDSiKLmNCuIpjfMlForkbtDb50UKkwth0Xm5Kwym+QdamIexCx5gTMz7weeMN7CkNzJ3G
ia2WjHpNHQsk2RO1b899Qpc0zN7QjeQBSSDNnhwdLEdZktcfg25xfG6q6Nku1HillWsktTRoDpfF
XU1k5juxpN0xNebiamzd6abXXBfgtOAoplSFYQywZn8b59N00DJZnqpo7HG6KzHhRTVpBnSp+QUj
DSv6RGEOZ/uiYhwMBFdUe61wbtG5Dl86T48+mzxpXxI52ndM1JET6K7HCaYhqK4FAE9SUvIwpAVg
ZnN+SinjbmM6YA/I4sUVe15/6oowOQ+xWz6N2ODZLpjSToroDr4aPvtJ+j6ytVzi2OW02ySGQb3I
kesB5WFxgc4NUiB0fVZL0F29bF4kpZGPSaX+JpfwO0lt7hI43vQc4zTNYnHsezPbJrVh3JEgpG8T
HGK3qTN6L7ac6jM2IPtkUQ2BdF/yDzvTgZMgLWMWnsbiMpeWdqHH7cKTsj3xrUZhsqdqoJ6bYlKZ
YoZAhW6HlzEH5Y7/okAd4Bq0zjTzupmdz7A9GeaLlfLJOuyHB6Uh48mFUsESlo6gd9LXWwTvRDtT
DZbLhocAxVBWGSKjRe09Qke+mGgPbsBFt35kV5yT1TJfcsRTQaSTlDGbaOrQHGC5dwZApgYPCOWX
6V0XOKJAtla1OuhxCPK0xCCRa/J7P9rupUNYsG3MxtvJrpn8mGb6VYct+EIW8hc6Og34FQH5JXHc
HcAl59GD3rmr84KNNNaajVTYs3yBN5K0kcjYpi0ihwbp1G4p0dlOc0+zf6b7L/tK39pLAvOMLuJ1
AVgfb0Xv7PNUR3+x0ECmiiuIqtk47lJfh25oByJ1fdHJ1XpS7xesIQTHbNoUYy4SAH8kOV3E895g
CnWKxEQnoNezu3rCooniEWgxlBebg+KO44zcm2FSnlxTd18z9AgDhtByuCN+b7yXZf1qy+IrSWNb
saizKp1vKX6w2yXM3EOttfbKbg9ZfNafWLSu5Y/GmPs19aCy713IDDi9yVGEiDY/RF7SbTBfoAlP
6O5CP/gAS3DBfwSzpiNsy+glvi1Z988xYQIb3cjwh2RSv3HWIX01l8YJQXp3pIy3t31XO58dUukd
JkLruu0tXiaYb9sQMsSDBf9ta0+cVO3Zm+APr5ZRUdGmWPKV5Y6qg6NxPT1HReheAZ+NkeOC4+JE
VB0nRrO+kw1qP0CKvsoqgeHEUEqiwYqWfdiHy60bLWIXOWjAkBk6HGTnNfmWpz1nIvYFog9Eh3G3
z7yGuiR0KpTtPYi1nkn3BrzH1zrF4cp/Xc2MqzjOF3pHO4LEgWeEL4sPgaQ+d944HPVmKo9lProH
5mzl11GUHScryJ04GfV7XnKKmCQG3wu7TFLB4fD/gtDKMf2Omcw2K6cebYwduxdqVqxGceJau3RI
cbyF2H8mr/hijU2zredkr+UGvbxMHXK7cgI2DPEylCTdr4YVDuBhmPrxkJR+O8z4eBdXpi9tVCy0
AtzUJway21VVilWlzVHGpuvRzGpjZE5ez/vfzcKHTpDsu1Lot8rJt5neg7qNPJ8e3ICT0jn3KR5+
JGEwOSz7lC7YXOA5PZTLMJ0EhCSbesruHmJNJkHRjx+Za2WHsVojd5mBxmWCLJ2QtyxlgLqs575E
6fauq8ZlbyFC3luCFVzQufankIK+L0CzeVF3Fw+rpA2N6wY9OMq/rJ5f6pRlYxOFRSoOg8TjrNBL
+UjWA0UeB3AktTCOCuc3xl7iXpewmvjpfu4O6GWi1y5j1c+TR6S7F5x820ojvbTIo2KrOk3fCGgM
tDpVfCZyMz0yMbSvnJSRRshv/iwKz3pVVjoGSeMivxMJKQ1h/UBgREugHkkWAAWGMeI8XtYvTMGI
wpFzd+MUc32q0BB+Fp6tbfjmrtvgjAwpK8qdgi5JtoLy7pVMOP9PcGj0/qU3sXenxakf0+ViFBHM
PTR2EW8KbdSyQyHQJBVzqpRFFR8WffRmNTWps8X8p5iYIZlxZ2zs1NpXBKZyctYR06Q0TbWswEVB
zE+75lBNbg39hFMl/9WnoWZP7OifcRdzZbYPVjQ255q5xWThFkVeT98tc1GSCfMkutYt98OYdJJT
/Ni9L2xDnymDD07sen5rMMFGPQe8ge0NbcEjdtruMdM9Swu8OStgtBNLeTcPehfMtWivocrHgUB6
TdibOetPLD2EthJ/tVdNqbAPwm3RzdIIEF0iw1/TUbCjyQctiydaz/NS7GXEQSywYvVI1gCbdOPe
uJpAQVy42hMzWrALFSVKpNefeT1Nj3VBl1gD27gj6Jnd27IK7861gcgCL69KJIbg+i9d0u6Y3qAo
t/oXXHBf2qWg7V1m1h0Q0GpXejAr2fa86xKXfLLFeuO8pChfNxVlRSSyb2ls760qQneYnLrEOYwd
0sCRlj+56HYRFbxZDGQjeoM5NuIqRdJr6M2BvsAtQ8H7TI+/saE9je3woYS957woLkQfIfI2bFIJ
0prv7rwY7LtUYWGMWEA6QQpJ+hpx6IrZLcjEmO3mEpIemiOejxl2OmqNjekvNOyWjVM3dKo0ldZB
KnTrkeXXPc8Lwl4Mipq9pYQvUWtTddrxBTRMctKw5gfJMFoHzrr6HVXc/FCl+bKzh1HcGiSCiyL9
sCMK2GKye9zteMWbvL+W6SpQi5kOK0EIpVAmER017e0QcTfiBmM6kDar+1WrvUOaqQ9zk+fn0Z3Z
oteQjc6pYGoqRL3VEouzGkPYRprdHF1nMA91NXKgDsn40SYiXdLJecJB5AbmQAeWuA6NWXbXufdt
49Y3XmigeEmrdzdHCC7Q1m5Hdh9GU/KqoZ21ktBeGtm+M6cWQWJ29oZwLAKashQ0s6E9i6RwX8pi
1LYJQ/wvpd0GhVxxk4L2n4/jT/uctLDYUlHKO8SPkT+lpS6Yi0L0lk2WH7qmOXC0kAe0EpKbWkTn
MMIu47hsUky8A7we/XMdd81ZJC7M7aQygkw05Gq1stHWJE+yV8ZM7YywafnuECQUz0XoM9HVdtJh
8rrQt9rXQx9+QfHf3DFsIwiKAEPmP7V1kQkQaGqw8b4y8/K5jUhBsBCDrHKb+Z7ej44FoMs/qsLA
u0q++3cP0tF+Ar9D0gcVNP4q+wwiDJ/FopXFe2Im8ZnUkZS4ktE1T3AckocoosqD3t0kT4oZFUst
Th6zD8khzHV9j49XvxgOdFQYgORtxUpdhSQbA/4so7fShmXDIMwMRm0sPuym9y6aW4un2TDoI3Qj
IBmrV69MgqL7DODJQwU+4Di67qpRMJKBWw//vuYkgBsdvZJS6+ZaxncqtXdLK2IKNqWe+jikUa2m
8eJYMPzl2JQXW3XqVNDf2i5h+DmWI87XpY4lIbwzpduEHwpoq/tqTK1F6k1h3Y+LVNupM5pTpFJJ
/SkBmnVCvHFkbbYLBu/PukMB5nEAvAJ1Xd3IKEkugxEnB4G72YeB2xwry9PZNWxvN5WNa/hmcptp
Y7ntIypzlyHgMdEMgAcmIl5zaW/AxpjrmEgxq+6Ko7swat/UpnfVORAgxNhm3/lFm23o1c4pc2K7
3eQdxGq6md9J5/7WwcXa4CCJ/BrXd2C0dOb4FBr6oEKoGMvwRI78ZSCftGkM79rE9xvAzRjw/ojk
mbnADFExf61QyPsMip3rmnTiQiz4B/Ri9itTjaf1kI8Ftvxsxnov3IL8rs6b8dLFXlAjMn+KY1PD
lIigK4h55+gzI9yjWwb3rG8N9GdVRgfTLL+QREevp9KHp0gXTDwb/QHmRLiD4O6O4d7ImuwYFsNd
OsrAiUYWl5mSXNd3aHTmyxwuzQ4k/7SxZixMtvrK13PC0Ux0eE8nPRBzq4KmaxzO3NLetwvEYARI
a4/X4ouaw0TvWtzlPWkzS6xfcAwCJdaJu6c2SPBnwI8Yas3ccs4LD3St8iCzk/ZuqAkG1GPVHAbl
kWEl0uLATpEejaEucYQV7k2/zPYeCgx9SkEotGORxEw1Gh2TqWfikIN6DeIsNU1yYkMVbhbPfMZ/
70+2S4M0p1+do5j3q1rLfArfQ1ydgdKR7xUN4xnwrIuiTJuGByXS8hUEBy+PFRvhtzYkJnATxg7Z
c8SVks+GD++uaA3tfrJF0RVXrT0wdIdLgZaSB3+piqy8pF1qvLEDtjTw6HQvccuFp1kDrysxpsg3
NO+FnN7wyUQMtW0Gzi2bLpk5n5L1SMpCmxl7WXjdnuG7vG/LKTvODOmuSH0XIOxse98PZvtNAlKD
PRX3yWtVed23qSgWYPc1L+PA4smt8U5hY1RXHRd58Mxx3gxYBv2kUl3AD7BfOEuPT0OfFA9dM9pk
dpp0Mo2yYvCvtzcWz/TOLEwuhrnoU2SOn3WemltOQskx1gfjZjb4p34KPR978EDfQDQkKJeaccNu
a2wLe6AdGsbwCGbtrKVkB2ZID3YOhcXGMxqo/MzwGGQhSKVMT3lt9dpzHnAXktZVmMyOGTJd4+/d
mu3KxogEK9YQJRiEhuzotRYJSF31OMnsHWXn9TIn2CfH5CPL7PTKadrrYmgtH0xfQ5T99Kw4/DC0
QbhlzNe9N79VTakdkzSO7/6fyKn/K+F3HQ+W5W86muf3TMXvH+PnZ/1jWxMNxvr3/mxr2v8wTKbU
niNRNVt/MDX/KZTWdYOhP2BmtEPIlf/Z1gSp6eiInTCXYyRnZeHH/SmUdv9hAkwy+ROPjW5dKP+d
vqaF4ppOyIwJ++rjf/x3wGEr/ddxdIORPIN771eqfDWGcWsBMZNjcfQK+jajm5+jon3rFKlktqMH
mVwP5G2/D11wh8LRn5gD6+dKDS/WmL72dXuR7UKCLLw5ypjuFk8WpEeJiqDqNfJPqT0JqctfOpdS
GCnlC1a1wBvmo+WhSi17ic21Zsg0pjc/PI1/wfRcNd6//HKuZRnUqa7lGK79yy+X6jkup7myA9Zz
VG79Lgu/l219q0vH//c+yeZJCtrWHl09w7Y9EK0/sUM1mCtDQXWtjDXmDOBjqZ3nDjUH47jff5T1
lyAAG/GzQeiTtAT/Z65E5R84pbNMxkIbGy0o5fDNCRvHBzv5THwkzlDPuKLxScoGyqlAb2QdOENP
mpW0YYRGTbzHv9wdln7V0Div/FePZVlca+iRAiHal0gbT5V03k0QfKKWgZDV1xZoFKPIGF9U2Zxn
O2o3pUhIS7f0Y0G1dYVlRvndkE1bW0/GIA5n9IjLa9Mkbzim8FVmQJl+fw+M9cn97yfLEAAcgweo
1pQwFhj+rF/rH+5BSIIatkfNCyraxXGKLL+YGp/qeFdXyFOrl7qQ7yiUfZP5zgSGg/Kl+Mi1+PP3
F/LHB/18IY5h4GZAAmpDY1gzKH68kDmepqiIBC2qjiMSoLfZHzTnxY1Uy3k8/5b32clOIS/l+ant
l8dKzDAmU2dvsU0SdGreWX37kE6YE0SztyPnfUmjt2I2dliB7//mYleW9o8XyxzEXa0VptQdZyVX
/HyxZeq6WtZN8VbXF1ifXXV09PERE9JDo8nrukseVV9dYew9LJPcJ43+pCH4goKLjmeKA0J+g4F5
gtMhkllydJ5SPo51a//HBA0Ke/RZ/YvX9i9Pl+tE42vSMuJVEqx0P1+niBoHgpmjEdKSP9Ru2uzG
giZFQ8jqKPqTQkiCGGFcm3WcxLJ2eRua5WEuILrBRfj9TVvvyS/37Mdr+WMu9MM3TZe1kedOHiKm
BIXIATvzDOjXqJldc6/+9uP+WJN+/TygrWjieFJ0Qn/5QjlYPcgocjzOe6gKewKIKLXaoC9GvhX2
g4EVbefORRUMFY4+kD3JLYzFK+hwb85sWZs0DRWs8ALYrVe+4GT0I+XtilQ9MnbNTmQ05BAzvGkX
iuTOQ1WJk8Ij8Xw5u52yD+QWTZvaIKugHUw8jxWJzlF/ckmWpDARxda2m3PeaGRczQhwEZ2rA3DR
eVsJooYFebQbsJbWtrOW298/iJ8XcwcHDyohU2eSB+MF98cvXwoocvg8EKIHy2IzKot2aX3BGYK2
6/r3H2T+9TVxYNuzKQJ/Yf8Vv2wbYpGYdeiQbK3UOSVD9okAG2+9W5MZ7VnA3VX8nE7jg014c9fP
99ZsvoYurSCMO28IQinY1UfkwG/WM4h95mPXtdcrf/H312n/9av583VSP/y49uih50QmjAoIyihN
jHEHTjH19bR4Afeubxx9GAJ6b8kmJttrk0/ldTuhCHLr5iVaoLPTedUuiNK17TQ11gEF8XCNr7sI
yOTMSFl2w33USPu4yDZ7YvJScXLuLkOFd8muezgB3TBh5MYPUXp8sNSHOQCyn2/wQJuIlOeO81hS
bHFt9PvSrp6nLn0P49rkPRrnt1n0TyZ96mClsX0v6iGnr4MXNuyb6FRKBgJMJ59+f8/++iWi2hE2
VQ/bNMiv9dH/8Dbj+qLcsEoviER4wXfDIogSGp0PEIzd7z/qL4QeR/5Rczh4QC3bIHjh589C6tH0
yqo8jh2LxTRvwS9QW6ca0utTPOJkzcGCynK+VtH3yAGeUVkKDZ/HBjt2VRvgwqIblEJmM7z5by5u
/eyfVxkHdhFvLQx43qZfy748HQz0dFkIBTk/YsNyhIZX/svf3IFfKxXuAJR5FjFGuo5BBNLPd6A1
M1in8Fe3zFM27uRMh1kkWRCKbg8zswpm1d+PUV2/kz75JUVzLJS1TfXK9h2baN5mIfm3aZMSecx0
69KeOecaEJ4WD8TfFBT/6kolxCaxfi1M5pk/X2kHmANZbhIGrqxYVZKC7CEagTHzm0jXYQqhJtL1
kFFc9zf7y6ob+OlJoFww13E6+gI0Br8uNoNbdEtFZFhQ1M5TODosMa2P8jWwSvN+mHvgps3ffKTx
rz5TEi0ibYI3WOB+eS5eMes2yG0v8Br0ZSZJEGZST8fadvB2J5T2BVFa2fClie33NJHvJshtP9S+
4t2KsHVU1cWdyu+pY10ZFaHP6ePvvzf2XxZglwAA16PAdZBX8xb9/DQmjQO8bnZaoNwey2S7D0WI
mpPXZRljJBJY2kFQdXuae99TER/7Rb6By5jQzYWvbbPAOZD2vTkO3znm7opJx+pXQTLIkttRZvs6
HtmqqpU+U30jXsDdOmThDpHmXVX88VLb4zHNrIZ+tQqQmja7TKjPGdd+P9uvhooCtaqM2mxn4w/c
Dhagjt/fAefnYxmbnWtKji0ORS7vDha9n+9AmTBNcY3YCdTgPCKrultcoqTKQdvUhA74ObrRrRLx
dT1FuW+E/BvcoZt2ztW2i9R91473dpuyGWim60NsYPTYssHjrXML/cWBLRgUZA2jJMT1r/7I1mbx
bkaAWKOkWVBkZyeymXCF4buL+A9XpvuA1PHVMJNrI7KCLDev2pTdAAxCMOqQ8pZ++YhhQwe92Vxa
VCEDF2roxU2eT+cpTc8ZUCUEceJ9wK+ogdEhF3Dcd528rrRs33AG2U5e5mBQRbJuI87bTvRJK003
kK6TFt4RwT4bSFlim870hMGKPzqaov42ttFNlb84i7dNus+/eRS/vp94lSWHdIejnW7h8/35SfSy
RO7QEJxikZi4HISDC/HQgLMgH+aPT/q/jez7L9RA4c5J1pb/XBL2+F4k+X+7vH/0P/ZP/vxr/zSa
U4HxJpiU4TRJfgjlk/9A32V6UlqovDjN8FH/K63E+oft6bjTdVoIjskK+0P/hFXW5G/hDl8z+bCn
/zu6sF+/HR4MPto0QIgws+m/vqctToxeTmi9GZ7cGjSaN5nWvBU2wRUt0nt2q6OtpuXQK+xGP9yp
f3FKon30y4e7+O4B3pjcE4yM/KI/fzVJ8NHT0UFbaeTacgg7IuO0jjCfdlLTZhXJkJ2cmgRWDDFG
ZD05d5WhfytnD3R1PcX4dDubNYC46OkyCDqxcHHFqWyXCRVaYh2b1is3Sau8aytRTGRaQk8PIb7o
GX02rti2du4GTxfZdV24mLs4DVoxjE+qUn6gs1TQ2abRuLErZjtBL9U1wUsAi5IMxYjolt1qlyLk
Fe/IxcEK+MisE4hZXVjLHUWSeSYNT3t0AIOjR6u8GyA6HD6Jprlm9lHuE02bv6QJ6QjQevONAbWT
gCjZ7xkai5NH5vV+lbNfLeseiMhL01D7wnDNDrbTmGdHwDYJWi3p0aWhB7cgrKEN3rMJUvcmRB4g
GcEzWjGaeUPYk1qAhmrznphHmOmKVjUTDI27Blj5MA+pOneITA5j1sTFHQq4AUPHrL+WtlL4qUkX
mX19KfmrNKXHlzGKICxp7lg8lJZ67htNbAfALDj+u5Nb2icPIfkhSlt1GFoXbWyjvcle96713p4k
+umJRJBe9YQZZilCW5laE42dYpoufc2kvW+z7DS4U7HPY/Y0E0dW76eNW51L2opXCOqKgzXE42NE
wsjeC0eC4ehP7JRyte3S87iVkenvMJjJkylrFWKTLaZ9pkHPwvx79jKiOTJMPNcWi3dF7VeiiEdZ
5mjKPRiwl8Cjs7sFU9cb5zkZ49ovROH4bTqGNVInBsR5Wyz4ZWv7CpE1cS6aiQUYM10Av0g9Ay52
n9fcyes6rflOR+LkGiy8av2ed1FCtjJK0WsL5N3jgCMTiFXfBUi31dbS2biRadQEKzTo5XmC6tFB
jAaDCa37A90Z8mmHtbNU+bMH0yTAOm70SA6T8S11e8vY1RLZFbdYL0HGKIwQ29gYBVv+spBXYY2m
PeyKJFkubulYX0s77KC9lyuIK+0IhV0j8kYrdD6XCP2EMyrvS9cp839yd2Y7kiNnk32V/wXYoNO5
AoP/IiIYe66Va90QmVlV3Hd3bk8/h6XWoKXBCBIwmIu5U0OVGZERJN39M7NjuIoSOvaytW0v1aX9
JPFQid1UT613ayewCkIKYtj8R4MTjXthGKjMgcNKPpK6jDdT3sZoG3k8fjbzhDFtQAC6Zh316999
v58JjTvzNgADvtbAu9lnP3XF/VhmqHXU8z71qeUcq7o99VXqHLFC/1oUHe149UeSPVL+imlv+QF8
JTvOsZPegJdITktH/EZEzULdaCsHbHYwCUwnbbipJ6Ge3dEKvrJIRiejdped4RTGturHkSBNXzrH
3GyzdkdFUn+zENEJZ1l1r+y3Ecr0KDARLM5HtAzVXo91+mudfofIq9VjBQsZATcQHyVY73t4dYyg
k4iPcPL7Z3qD60MxUMijmMC9JZnTvsACls/sqexT0o+kRZuZxhwnX0OkWufjoel7SJd5Bchxy0xQ
dF800VfxJZFdjA6VFb79bCGs0z3CT751SwTvaU5+RZF0vaM9m3oJBXnd5UjYayGNl2YMPtyagUyC
nTxwltIHpdihmcWwQmipm2YXmoFBkeWUDekHV9pE1TpVEDyQqLU2d0bK05i0EnprgsEs23scjaud
pN0F833rBVfVzOV5kbOgFNqm8BvVzvJPEVrwdwfY1T3s+OEEuDB67SVx1F1mEGnZsbUCZofxittm
ALT9kdBQ4cFxD8ZLPDvji84q5Z0g73PoacknPwj08n4ryPeHEZSOD4CRza3CImadyW8E4WDM7/No
VBad3nwwlIYb3yotm5/4Bwfcd3USjh7AwtDUFM9tcDsqHJRzWb1x8WNSxM6FDAgRPZCHPFIMioC5
zpRAED7CfEVSgP5x5AMmLWMj3qdmAI5OSaXYl4lZrTjUVr0bFebF0COe+Qr92XxrU1LFZrtYX6lW
1lbaC4catXR70qX93Ti5wY9eLvUtRr0gw2GmTEbF2G2XbbFE9WGOJ4zM/LMUmlW71BRje/IJv6Cb
bEabm35T26qlFbrjDZT5kq+mrmVELRcZ6bk4z0pjA7qowQqr4SxuGH+kxaHOyamSM3M0eBRXLtPe
/13qhIHUNzaQvfsdSlH9wtIDvxJOOb0o9TQ0z/naEJUjce75yjCLZvRH2Tn7Z+xPLHgx4PgN4Tx1
BpdAD0SRSENRwVVW9y04M3JH3A7ovR4mOSI0PWnrBE3Rk3cZ4ugtnlOMuMy2rnDTR56mS3IpgxbA
Wa5x3hJ0yUDqcWgkr792ZhloHdQj/q7Swsxjrjc6bqpFgTuNzcD/kTFyjbd6ToMJcmTQ/+qI6t4t
v8u6sEwa+/53hVewtnmhi9o736zVg5HXB6nc6Z4hSPBI5j1+EYpasHotCANyCpS+SSyyHGuBWLJW
ifVJnNz1DAF6Pk7Dfi7W0rFhrR9LfjeRWVSxkIpa09vAXaW5kQS0bvwlQa6oQkJBLMi6JYtp1rSc
eVbyNKzFZwNVEB459za/tX4Xo5FLubUJuAE9xGb6OEHJgdGlzAuaBoYN6tUG8MV6LVwz6gUvRuDu
07WMjQ3sF7lSZzfS0wYPwNyUax7Tzhpejx9097Sne2e8jpS85a61LZsm2duNHHsYx5V/DxwETdjt
ATbs8t+NcXht60uNYv/GKoc2X3NRsQ9iI/SrXCvnSHzRPuevRXSuldFJR8gXcMs48IZo4i3xdVi5
Tei0191PUPoQxm0/VV/6N3e8/M0gHzpw5JilTM5moDA2rV+svPJyZZcXg4PZLsBCPJ7WoMOKhljY
reWlrr7Z9txe+lktekuuvvfZ8jmsh41O9avCyPVKFoK6jNhnhL1uVdwNUr4D89b37TTMWtP9Wprc
e7DJRb7QEA95uB3S/EyYolkBauy+wq436+c2BiUWCvqtFR9pENy3fbPc5mYHUazy7KeMFmBqmazs
Tsau/zZhPTS3k9AFRU4+NvkTSFYbBR7+A18eD/Bmu3Z10WTpYFIMcixKe1LNJY0SYzZ/I0sCVIYd
u2VvqzkznaM51d1VG0HSh4iq9TXJyuYXQDReJs7ENKzfi81ztSfcvyXVwkMML5zTX7t2LMY7ALhu
seliA1glXRnDEtqxMRNYhRpf7bJ4dQI00DbcTZYHKeYQNsTO3pkT69vQRXCF4H3Q6JcNljWcA7cd
/D39Amw6QL+d9eAVPtsec2IH7IKpE7Odnxu8oIAMORU9NctovXqJ6b5yU2fDWdh4k0raeK4LD52c
R3ruPc9NNIBmc0FeQ3YYW+DXE6LMDm9Rx5aV1OUFYIjx4TPLnQCiLF7FaJltVDhaVNOTDaRvZK9M
F5c/30nQnZM5il6LYsheGEgQyFtIW/snR43xqag7vccaYvw0RRad80jAejJZVU7zNPIorv0kQ1VG
zeCUYKhXvu3mho4ZgppLKdWJikaOIH1hXVAAMEI4kbqiORTY+SPMp/iU+Z54E3o7ufZ02wAtTHZe
QvMO6O5+1jty986TMq0WxMO/Po+Jf55accoM0CYYrHJSRQTmOPrX2TJYEVAwqa3CSJjFqVbxZ5VW
31rRvMmg/GY5FQurh8GJTeb3HiPsw79+/XXa/9dB4vryCEc+ihmxIQSkf3z5POqtMh8NcogRWHBj
aaorH35x+dev8r8JnuvLBNZ64jR5Heefle65XwYLypUOB4p1cOmRrNx6hjT8o53g6t7mQ1NaTLHJ
d1csTxb5JthjGzEU45uYZuc0G5W+uk2pHnPSADfrR0axomndGiPGbsvioJCSU662mnVR3WOtqKO/
Tb//b09a/r8rj10NI4hZ/+d5zONH9tErmhH+Oo7586f+tLPgP2Gsz9z4f3Uf/M3N4gZ/2Lgs1rGl
QJ7/q5tFmn+sjhV60F3of4ghXJp/ulks+QdKJ04XVkjT53py/pNpjO8y1/mHmwAnQIAo5tPA4DEz
cv9J36l5XBmVofq9WULFPRjR1Ec3VuGgzfcBZe2wL3jg9BMgwEOQZTwxWvrdq12JG/627wKDDZ4V
+xdrgK48ygkodctRd4t1n+e7B0sPwikxj3ab6dLS16Cc9trLJHOf1hvVAZYQ0bJhgOVE2avBuQMY
7I3uRhh/aVm5pySg8jnUuiwpXqc46R3GL6UyQuIjCGn+wdKc1yU0K7OK4isFV+6nbFsdEukfD9MQ
+PdLLpabFiJJCIggJyyd12HT6vxxQAv8YjE3oKRMRflsFpH7WeaqerN0zMNytjSaBsh0ZuKx3ceE
87zstUCAADoMUcrZNKOX+weMLNO33jT1gcR+Z11Nr9XvM8vErgGX9E7xxTRSoWA2tynJQ3NXViID
VVUpkBQ59y9UAIWevHOzGGfcUEJz2gydaKgDrWRzh5OwxSEndPDe1ELGH2YFxnmTAtFlSQGHHW9a
m3S4i6b27iuBuUONCeceO8C41vcSpPpQDpqDJqltefGHuQfJX1Hrc6qBG25hselXrRUpGms9c19N
DHjNxpy6ct9mVfYplc6vS2Y39wTO7B+JENMzWW94gxpDaLUZp7Y6NyCb1jbukYLaYmxeyr4qDgNj
eLrkHA0RtZpbmE0mhVkviY7VS9s2OdH7JUgDwmR2/SjcOGtD3sH0MoyquK+aNnnIRZ8hcc4qOCap
6g+MKuK3LJ6gzMPRIrEGH0JPrL4eeiE5qqE7u2IUxpayUUPs2XvO1tGwh+zD6Qd2ykGdx/IiPGAr
G4dgKd+ZQCUg4QhlpB2yLqSbZm42uJ3bgdRDr6KNmj3W6oChyItGl6Izrxind6jR/jVLgyDH79tF
POBVVDZcsLMV4e11OVALtDh5GAHFEi8YCZGEqi2pYYdqPBxsekuvBAysNZLkP+dZj72dTcWAb6Av
y20wlMt9lClZPE5xW2/g9cgjfGV5LwjmX6bBTLpD0eMx2Aj6nt9ZT/OL5xkUo4q6c7/ARXg7UZHg
2BMoU+c0ml1YT9PatAYUMQyq2n0P2JT5tOZBvtxiPoubHX73YNzKxir2yPrdyWdOlu1J0ei9WZta
bRHBJbbkUcWPsNQghrVJFrzBgm9fMZD5n+7g2xdvHMAzmga/HJ0SiEztv+oB1giiLRb5WQn7w3NS
8nAx5FyX0NVYxJtgKvRdWy3jTNeRts/dYHd4PgsMQHs89/rNqZP+M8liQhIFpvfi0PEcyPZWvmh5
zGdrZoDlmrxyZA40GzGOpEmFrcvITin1YFowbhUDe52ASszJ0WwV01z2JfFTrKEzJUtix8yyU9vA
F1B36sjnNse4O4M2xYmHgYML9qO2jRTUV2NERytIih+EmATl0rG8VtzhnJgI9H91LtIoaCznMGEf
eqHl3mWeGkn7qwMtcufPnmvTrOam3W2Md/q7sdBNkTH+RASqg6svsviZKwqfQBlwVTJmrvcsJvN7
rufitqVIaYRXTy6aVHJsHRyhqgAAxPCVdfZ08OK+3c4EGsIqmQCh60xo/PhKDO6VXuzlGw8bp3zK
A4o5/czwby0Oy7wAhthzT6/ZWwpEVWOl8T1ISEVpvLbwTW8ZEpuESgmscg5r9AI1vmVMwv19NU2r
/qFkG5AWaVML2ovg6fhiT0amIPCV0tjroZ+9g1113GYAVyngU9UirZvOm9XRi2rnyY9EIXZihNFV
4tjfMQxWVdhndXKRTvo9VoIxLEOojbIa/VFMuvmmx8HeWj2TEWdyDI5aqiq3o916w3bMF6Aw6wEm
5EQ3fDjBJN1jOsnqnoir1W0gtw5EeJVz8op2eaNLgJAuBT5+KBpZV2DalZ1+M+1ycvi3UfpCfIbu
Np34xT5AYqGSwSphftgLhmprNMUPgnneXa0L+d2AtH5PrXS9l+2kX4p48tP7MiEVzZuPHWaizlh9
z4pyOoLqmuRWjw3wPu3iE0u72g+hahL3HNgIek8ciIZfk5daJXPasoVAZ3vdRvV9h9BMccTWJm6s
tukUOYRe6RkIYZtBsXSG2W/Ju0b3uhsWM/RSyHY7hE2eWrYh3NfedW0W7jwCj4XL3yqprLEZb3/L
A2+6WIZlHWNaZJ+QuEFmCn8Im8h3zlGu9Hs/kyHaxCXGqg0MTXIs631obHxqSQmydPIODPWjLihL
lG77WscDN2a80i0zBR8qdaJLKqklIHBm/5iSzDzFSeBzQGoo+x2aeWfP6fcchDMGGe+nM6WfKrYN
qDecVlUUl6QryWBmENEn+1XlJAjCuuFJvKE9gY4F4v2jPNmuQ3iRDFfWnEY7IqzmIMjbW2m4Dmnq
YpYteJaCUT69vR39AYn/g1rBGtqdUOIlaXxjgUOvGP+OeeFPtwuXz4+I1uh6Ow5sdeykgJVONqGG
akrz3RKY2TGPMyO0hjblWiFLqSf2/jChiY4VMs047BRmmLBff8wdUeydIYKcBvXkC13I+uWnkXov
fNnvpmXuP42WLneyMnbKbCmrKbumqerWIyqMj4iWcmKxBbhESqZzbE1ZbRjPdpIWLaSSIa23fq7b
ame16bDctj5102HJBYOe3WTJHMaRkiIcung6Nakhb1sYaem2mOgGDim0pVfPIzRxChbZ//TbiGS0
W8A1xNxVnMoSNueWJ8IA32n6PckqGOsuVRfcjEsTXE1lUVmlhE4+y6aX0PI6A4DKkKjPxlIuGxXq
AL6blqeyHXOjte7O8JEBNVx470A6oCRFZ2r2obQS09w1O2Ddcz7lG9H5FiOcXHor7sk952UXbRur
Jq9Rw1J7YRO1pKv10Prq27l704zUzgUWHmpwrbXbgEVpuo27gPx/AWDC2NLOEwm0KZHdaQ/MyUa6
jto1rpEsO5Grzr2SKShPDmUyTGJ52O3HsVtXPxInBcuqyetZBQRdp+A23U7QOUBwAdQag6V+kat1
Y+v4aX3yDY+U49jq7AhOpX0YYFHBr0T2mEPGimwKCDzP6R1Qs/hmyvoOQAXkpQ/yru2DhU/3Meo7
qikiy1VEemn3RI/QFtcJOFD+ZokGsx/6bNcR6FknwtjSDTamD07sjBcdrag5imEXJrbJ4rwwaF3b
VVDtGhANVd6GfkIl+GvsZPTpdCWUylzNPC5iqNQdhWRMGIiNq+KDjUL0ONPbE199WvwopGxp5uO2
CcgF52XK3INoElkhHtCzInKbqJc8sgUJbtboO00TxKXSA4hmUXQ/S+2IxzEfkh4PeFA8JMtkPAPc
Cl6sYYKlNATBT03v7DOVG8xiHcd4n00EyG3UZsvDWGf6necv2wW7VUyjSr/PDmW1gvdHIKMns4rn
1zqd4RDSf1Yw4DEbBVXWBiUWF2aGJkfAlCFqQIXyNpaqKdgpmwSZTYLk/qZPq6hDAPLLs+sNkOHq
IaFyqrfcYt+aJLnI2LC6bewkaedDROo7PS/KzS+OZvZHp4XoOwD+OEF3OiiCXwMh2a++I2m3QkEr
K+w5S73gfE6SrZuMUycOZkL/xparN7HPqWQqyzMra7K9A8NowFBR1YHxUXe9x7zdKlaiKxbo7JRU
sEynLVjzZllbjmr/jdyr8B8dCkP7Q8CVhgMxn4QDejnSHzR1bvoZ8PF+XKUtNRVeGFs0nB+mynZP
kvuJC3Oh8uAKg43iTC3tQd4uTcyGVdZgV3EbPEFPbhfmUzPg44A9wX2hBeotK0KAMA1c04gOCZiK
IgR2qUOLqbMrt5IRHyeVonI6ct0VnebtTbLUbI+oIIMBbYmmtG9xm1XR2RHo8nf+6GmXvuYoGo9Z
T+4VQaJ6UB5E9yuxkawBTkXb5SFoZ0fusRIk6YmMfJq94TjoyqPTRXArmtyf++/lAicugN/oMlPU
TvR9HaNEpOhi4bFJorIt5nsfkXxwqvZsM7upTbfCmikUBZlnmd+lO/RULmAf0rBa6QWLUmcOrizf
7XjMfaHP9lyKLrScHmYp3eAHFSv2ElbkTt+Siprd05y6mcmIr5H+pgIimd3Utrfa2kpRq1DlFjIW
A3Rjp+LRPcylDCJo0EBe9k3ms3bR5+xF56rVc2ttgHubcG9qt6SWxHCL/n1am/GadprLm4ImAW9r
tAmy28Ydld9QQIW74RjB8Js3CrU5eWGRcvuTPamKbY45jtdhlL5pgwXuh/IZUczOPgX3MO1OWs1E
KpqVMNtGKUe73h3uszYI3jM2dzbuKtVgyOLPgRvapfNyFDFR40tiEHkNfTIJNsFXT+09q2Ogu/id
ccHv8B4wpGZHThLknkY31kQ7ar4bciIBWZjLfQZeMwMaqHddmuMnp0pjLVqRQ3bIJ7dJ8GDpltop
qlm4oozoFwQZg8YsL+NkxIhh7RItkvlrjjspTz1OKTas5gDzsB30Ny1aIKJUIq6YZiA7g2wNG20L
GSMmt7GjACW/xBN3LLuWCHRK5AOuo+UvHj57z9erhcuHH127HQjRmaNwcUz7DuxjP+Bj7WMZ8334
a8i3SGPSca4srBuIR0O846dNghfVYBpIjDVmkrpMJrElxTgdJkJCP1CtOhhdrdU/w4bkxJRnTfdR
Gm51MkCNEWPxoisOF7QtVS7C3RSxA0R3KR155xSxfAR+YB/SJitPGa6P5VMKPg4XFebCdan+Jg/Y
QWzy87Unaqr6+lNjVtNHjDT1Ms+pep3bWGUHkQnrPEjhwaMOZnBNvije43zwmm0OHdncenhnyh0z
alTvqs2M4jbQGvrMIomv7g3+MHiveXDxSdvDqM7XaTQO6rEl0Eo9W99FbrtTTprglEuBre9G7Uc8
sdvADX+P7P6fTTfXF/oCDYmZM1H9f/+PP19496E+/uE/wt9lIw/6Zzc//ux1of7uo1r/5b/7f/7X
z3+nsgTHPzY8ZoT/anj59LP4qOKP6uOvw8u//OSffjLxx++GEdyl/D6ey7iq/szjeX9YkpsUp5lY
01xrsOrvfrLgD6ROhook5En5mD6+8j8nmBSXoNVipLZ9ak3IGP9nfrJgVQn+OsZ3sQALsngexAZf
0k38j2P8NKfrEbZIjHaqHl2e9MeS6vVtjZi8D4xy/Jn5tLIabhAcdU0yi5huvx8SVx6RuOQ+qOEK
hAPbgQzw8+g89DwZ9wJm00mtcKikYJ/oRbF7I0EbnpDPaI3j2fWjs6KazNGUESejUPCzp265v8mA
JtNbupaQYZZJXlRT9Tdt3eFQ0ZYCD99p07940+Kf0nFUHDdiJ6BeAu/7BpNKh+/CpkmR+cxXBBoa
bca/oIUPb7AChy2AUgs8mXDTBXHOs4+dS2i6Rbug+KCzuxNunuy5Kj16M6vWxbVrFVPQwTb2jWpb
sS+7y0kG19R5UzK6Azjv3OjITytGFJ7zXHXm8B6AvIZB6aXq1ARZ9MTJh2CzZebE3Jk+Jbdz3lEJ
q43JxWKayPROIV29dGTc8jDvUtrisW1thnG+FYzWjvhYxq/aLEse4QVCS1/0/Z3KJwOUBk1X27kQ
zktkjvKqpDSektwz34y6wv7Hlnk4ze0wEgCLq7CTMQXfM+W429id1jdeSBZy3rtO8FLVPhhSbdVX
k4oLXEVTUX26uoGlnJhou8i8Fm/SD5hmSJwwuZmJO067uAbof5p3NM9SYOcbUm05m6cHC+GY/avo
TnYS+Tt6784AjckYa7D97IWTRz0RJB6zeBArtRKPAKH0CM7/Mn7ESZudx9kbb7igdBZtXL8xSGsP
dkhrGjH0jpDD1KO5mqDdgqVzj55Rpi8NgR3SHUZ7EQbCuWF4JRvZqb3z2LUd6rKeMSyO8i6BlhSC
KYqPri7NC99odLKMvt2XS25+b5dlOSdYre/hbmY3c8aF2kFW+1Twk/amnHowUJDq4Mo8te24HYOu
Zoigk3sYk3QAQ/N4ZvoR7WPt2x+p0PMlBS/Lphjuu4s8K72ufzXN5h1oy7wRHqouX9NLHwzMoiut
oLcC1E2/ldN47KbsvrFYHwC0uQ2UqQW9FALURk8M8aBqa4Izqmm2iNJ4mRv4cE/cB94NyGf3Mcgd
tzqaasrOBUv5W08G6YnzX53vaimkf+AfpeAaJlnGOC+L+RsnhvaYc03dmnx8WDQVA1yMdekJChHQ
8bJ27ReCffatU/ryKLp1fEU8DLSZN6a/zKFosHSXyOcwq/tPJl8oAVr7wZNXCbR+ehj4+km+U1vg
uPN9YlPPgiMCWkIG2WRDQCe+b6Y2xvaD6e5x8v2ZuO6MexTr7fDepMSw0hTH/GxWzi3DaJwkwLQX
flPRwm3Q4jGwWu/oL5ioaZx2hic/oANIl954dMdp/gyKtHyalVV3R8vN7E+u7/RX4g6E2YA+tmwj
Zyv5wORuY/lDEWHokngetIa2ArFTUgAhs1Ji0q+z9jDGLePSVeQ4NDqv7jjsy6cBTeccdY71LS9p
HuoMBsEcoyr3Pkkhpe4stxWh2TGNOWhTx3fLmIkHZgjugWC9uqqkKb8yLmG+1UhaL1gM1RUSl0Tp
XdqjL7EPCcxjt2RpOYYWHQ0Z5O0j8+JG9PngsIkvjhiyK83CcPI560Hy6gwhngzHHfuQVhQj5P71
br1clQ9+F5uPtjVZDQMqVyZnZHy4dkVpMlNj2f4a6aXcAgjotx7VJiT1HBDA2j9nnBG45zPOrYye
B4asRp0f0nJs+zBP/eRMhC6hsbu6NbMOOK0wHIrq5JRtkkCJ4+SL8sHN1Lh1uHHD3izTA2RVUq3j
Un3rB0YhZMIZ56bBHYVO8Q21RP5XLoP0ZoyjfC+sesEzrIZL7JYWTDHH/MyXNr8ZBmiNWRUpTkyO
R3xz5ju0YvcaBW2OlZUiCZ5F1YVWVuBfwI7G0CvLT2CzdVgIg7Zou3JfjaTdu75+zVzKMLn1k5PI
3TBpySobWT78sOv0Z9Y3Xuj2xgwiXtAnUmP5BYwLIsVuD4527BONGHeWYXs7Zk7GgzAqTptLXJ1i
IzqbcccYs3YnM1SFMb/NzernjETcPVgReiigR6MJO9vaYYh4Wkpv2pcOjow6ad4KkxbbolFi53bp
5+rBK86WbXkU4KLQ7UbCFFi3NFYwFdnDoxjs7GYajAZnWKNuO8u6eL7zXU/NEdtTs6ng3CNTsu8t
50lg97CuwlYLU8bEXysqOti9mxFA/K72dHaxZOVzpkefI6PqRMUhTUz+p67t8tDK7Nzlkc62kUMV
yg5MCdRR4Su2qVgdG/zFxUc5FwwCME+/S4A8AQOVOb0BGjccqkS0dDZLo31sFeWcSwsgYNPZVBl6
w6QvJY3bJXPWbk3FLJIYiCF/lgCG05Al3slDu1EJmxmDoEoz6hQ5qOlZB1KrrycCpn1FqrLI3K+q
pmfVc9V4l+bEFZsKuJc3sogF8KApHLVu6tq/488CKB87c/YkexN4ZxTQK0EEZpxeIF79CLjc3xfH
hWegbpzEJ/PfQ+bkgdg+pi6DsppzofxtkeePIhQEtdB6wJu5vEM3pZ8MDsc5k10wohKA1jZHsMcy
6EZ6gHPns6cM/jtnh3YTCzWFfiApOSkNb9/JpnuuvaE6MtoLC8xqZ05M+r7Jovgld1B7S3TjX9L0
ijfmR82exm8s0ytvKj0WOMePYxU4DZDxroEJyZlp49h2dc8aMB50kQ+3TAOWs8WG7CVFBThD3ZrO
Lb7uHfqweWpKR7Egec4VJ21tbZkJ+qeE2uWNgx/yy2od80iDY7+TDM/3fdlyPiuFcwA0elhU/ky7
LC2LjH08B4R/I7ud1a/FR9SfkfVqUU5KHeqx+yntkf1czaXI6ZS5B3I6D+JdqcZyx1Rkx3TlwZCt
PHMAsk+w+pxjWkb1h8PzbEtHXLR1+pJDn1+ZexLnNSsMmbqMydGDuxjiGkfwz5muRjcVJssNjFTw
4EUFT5q6J1IJ1m086Itlzb+EAPCMAToyJ5yPrgM5vofW6czUJrPVug3y2t5X8Vrwu8TJwVhwGvUj
q0rQieFJRZ16nm0OuFM6DftRTLdmzOHMI9HM9BvkXDRM1aYfCTPnEWDe2W6CPWjdKdlKOb3zQ8M1
Lb3lk6Y3NOLMzPZ2EldXswH0zecNJ852dZVvmyb19vQR2KETm8axSu3k7EWe99CgsG4ikhkXBg75
neV4xUokih5MBFAqX6sc3KyRWzTe5M49dyg2S3yDBLmkWT5UseX8XJCPEbyj6k5Olrh1tOWedVc4
P+lqCG5cTW8F1vv0m4RPe3HAQGCRaqv03RCluuGxWZxaDJi7vvW+kEUCImZ0nsR2pm+VLfx3xCea
dLKqwjXLQs++SGbNDYQmRJ8OiOqpLuO+R59oZp4eCBvxMlV7ctr6GHSw0wzHmx/p3OqXXd7pM5pl
tKuMoDrLKZ9fwBRWd1OZvIGciO7NqMkZefrtUXpNuptzeaAFIsd2R/7fS1e0DiGA3ZwIuKRexkrX
RHHYsG+iWIqHsw7cFNBU7ryaHGX4mP3yrtU88Ng/1m/gJ53v1LHnZ+rGuIC73kaSZKCzWWKtG+Zi
cfIQW8wcSu0yz2uW6YuEe751U9a9iBKCHUDxYd97rOOTB9Ox9tpnVw3xq29E7DJL6kM0G6Kui09L
nB/IhzQnAXIWO/9wz4o6YUtly7szHaLTdNjtTJNqOY5Zimru8StNR4182ZTnrFuhRTh2T/A/xNmb
GDJaPcUBU4msNSb+NjAxU0Axg/dT/BgHM/gR+408ZTW/ii2siaOu6L5mvAIXwFlY222i/3trZAYa
lSPYsHqlFS4jH5892neG4xMcSPLunsltBdWhbj5NLhjKJMXAYAXKZGplFEeInu1EGxhHhcB5U9J6
vp3idP4WRWnPfiErPnIRLPwpZJLKakm+OIxZpwGNYcewyt4MTFKf6ckaH/NhYeTfVlK8V15tfKeI
U+/b1GyOWOZ/OxCKBmDdVHLoUb6473CpbKOhJxGKPQaNJsj3fjNjGA7oYlw4yQ3ptun5vhykwDcM
MCNXFgPGGsc4hntNTIVBdMuSUjvWBlWy3iLf/wrY8A8quE5VwO9vFG0MFd3aCB5sT81z7nZmWHol
nLLpCEjvycc+u4Vfnd7jhMD6XVTzsfe9eD/bXctwrVYnJGX13pr18LEMjEoDL3JfAKwE13quoy/A
fiyfs65wznZOcODrAapYDt6NXIrmCs+ifPf8SLM3cpxTbbKlRYIEFRLM8KEE1lXzGCxrgV8lDHzh
VcUjnpB9cLDow6HTvUajm6fa30dd5n+ZVCfauFMdyoaLyPseuIbrkZv085eGLVLYBHNwq+C1MVMf
0sOcRHCmLDl9uDRMs3bklWDyPWONsavlIUYDPufOMj0YfY912UHf2OLEskL6SZfTwqTiMUDd/wC/
mR7cbmzeGtY3HvE9TamzXYZuPnY3PlNdhCbVuKFW9Kha9FQ/KJjJMPzqoftpQk1+Mip39Db9YPc3
roOjAgld1nAbLf+dvFh78HrrV5pXtGElCXNtRnny3o+FCU1Upi88OJhjm71Odg3gz5vJW6xzF1nW
3pjn8k07OTtX6pnvK253IOJFfbsWSt4WXbfiC+FU7+qEkuiNXVr9fe6p5o7NNfVE6IjzsctoRd20
LKKPcU1KDsavU5wat/QPmLO6b1nDHpbiwZwabSuwd2C//KsVC1zORdU/u+b/ZO9MliM5zi77KrLe
h8zDPcZFb3IekJiBQtUmDChUxTy5x/z0/8kSrY2k1GT/ve3WgiaKKgKZGenD/e4916Ly7TpAm01+
HZKQ74p0hGAeLkN2HCtPrlwzLqeS4xky7jK+MRUbnkNOoQ+9HNlNlky9lnJKT+FgZx+x37MXReNy
6y5ug/zbiPiGnlb7UhkqwaCbUbOdFe5RNAO5Mcr9qD2sM48orkOzEzYdJd5LD1ge4sEyfXHQPdFa
MNMiPHSOaLdxWPdnazH2VtWkhlZE5ZbdTA7jwj7efE2mqHkdaHO7FgVyMQAlsprpRLzDLBa8AJ/0
T8T3sej3Ax55S5a3RD84YmWdyVsSU+nwZvvwY12RJXdUXMq9NvbiY0HIva+LDY3XxZC26pqgAJXv
cuoEYk/RTO+0Wx/IJyK6F/PRBu/NiAKSZNZ+QbTaiZk7OK8Dqz6K/CDV2osCVld8sjn9tVftgbLL
8mB35MG0hWlOFQLmYm5oWq2Yd31Y1Kkxts44LoW5h+OFIokSVLbdRAK8YbXmVXO8tZh/pPQNXVLH
5ZeVlJq6k4M16f95aVc5mEX/StZ96bp3/Y97/f75wyS/l3Z/+5O/ybrOP8GXSYE0CyeGwDy66f+S
dWEJSxvyGrZlGdh4Rn+TdTGmYiJEbOXyxqzIvaK2fpN1MaZiYRX8SZTda4n1f6s+4s+kFhL8oLow
pnoM/yW8qD+Kuh2tdZ7u3WHfZF34BNx+vqv4/jXcLFL9YYVLfh5F2DZ/Q7UgX/BnOdnGqetxXHQZ
dKHxXYPQvzel98bLGTcPw95z+miXauU270AGOSOkg+0AGGrgM69TBn5vBTlLIvhOjfoa+IWiqC8f
hbcXRWPLtdGq+BoxGENJshmxOvYcd+tAM7IThka3dV4SQTqM8mrBxD9GvwyoMb4BTR3MH1DMV6qb
dcU2pfyvJQ6k97mW4WsJrgYelRyGhxkzVbPJO9SUFJk65VgU0Z402LJ/qxw/3YFYwetTlmcnrVOU
nt080pBnluqDdOw66dSwWWhM3Jiopu5R2zdGj9kD12//SwjTZ6+o5r7RJXSjdcKFAch/7EUv1lCk
GU0GFu09gZzWVA7+4JCQ77F47SLylcdOThmU5uQ+SHp/N0wQJzm00ApoV69pio49NuzH9khmAzME
7klJQwUtZSy519RHTeVSqJy7qhkhMWLVkYpGTnos+IO6dXdVA5LJuibTvAaWtZ7kO/FYspahQ8qS
I09S0POo9L6idA4H8sDqizkDOW1Py5hZG3cp+D/VHEIjM96Num9vCLp0Rxo19SpieAZkvS+ZWdIN
wmUeZ31smMKNqb+F0a42ZkKa6dy4P0ph7J2TKheeFE4Ua5Dt1tZ9D+TY0CQK2n69ELOmzKSShxyN
dRc1cUk+MMdODTUdRBik+mXUUE8ZuTNuhldFH5/lfDb2EB96h3Ovb3nWLSsqHGkOK4/zUph8Uzn0
msRgpjNAMVHCjZBSaRhlQVLGG8QGJ7wGesgmjsox73gNKWRuFoaZ65QqvK9x7wQXXCb2Bzmm8pPz
KbI60oqr4J+PPdt0fiPoLCo2oxbpbSbD9tiRYYJ5bZ1K1TSnZCnrLyXpN97rTKOsCgrWlq12x3RZ
U33HDVCI2vNY9L36viwGhrQicq++5DrHj4QOCSM4X67xI1XcFKa095NN6QSZ6SR4Kl1LtxurdMSm
9apFbl3LJl22wD+5CK2wcZl2Hh4kLUtQRZI5PsVxw1EE+df/arqAS22ELfS29RUFuy222Md5DMTx
Os6oONjScQXpUB5zm3g1Ds8gPpDjc55rrblkUj8JxNoNrgZw+N8jbguvKe5UWQ+vIcZJ6Dyhj0fO
myTwYsvR4zZwkVJP89jZP+q2IYWsSvs1V0nb77vSdn5yPIvCHTCdWa+Uaan1WS2zaz0GKDg7rD3k
GA2NJUydpVZMbzBhr1RBPXwvcThzYLfOuhHkrPmPWrtx6j/2KCKw12l32RWLxTlg/vTi/MOUyQ3q
6b4RlrPrZ3xS5SCLw5CE6s5zKMdpHTxGXQ7PFhXjJuzSfLXYKH+Sa9KmXKzukDXtLVQRc99m4pNI
KQyZWpfrqCvig8j85lL5PhekmFfkzyWy/hWrlkRWt5+Is1OROcltN071x+LpYTczoL4Vc0b1CzG/
8SYy+fSzLCMm4bgr0nNIG3bCAxxgnF4qoAlYB1z7w0dMPhWyL84h8vVEnJ4xj7E7tbHtyng/2nq+
srH9egaoXVkl30vrraOdoMIXucY95r7kyezvTDX0D6EClrCi7T24DpWHE/SVH41qWT8wKDhX/0W0
CQlUXga6pV0nR5kLJyvejmXMrb1LynvgKVG7dlUPLBYK6CMdMDlSubXobsW5iYtMTMqys8r+1ozw
K7YJLkJYit18F2iKRKFbSnsFdsDnySKqxmoRfwRwEDZw4oKDCnCx48kR6wIFAqSylC9Bge+VATpj
i4l0ODluLJJjfjtEuITRkA99Ict1XbonHA3+pZEebB/P/cnulN5iD2r2hW4pgfR4UswxU/m0biLc
wlu9LPhEUhPb1caaW/2ZWhgHr43L4sb3KujIEue52SbayiYE+AEnWjI8pnOc03hMlK3wFdVnid3v
uUdAkgTwmu5d4nbDoWkYSmyHYQhuCSeXrz6fE23Htj5wo6o+AVw592Zqo48ZsK/zZNqSZbZbqqTb
1B32fuY4QIs3DacDTqyIyVuwCQsojEURIhEfDYHynVuaZV9Iezj7abiZdPVm4QUuryUUEougwRiI
98BTNnJ+z9TRaWBRkiROu+eRvOhVpc6cW9/4xBVmT8tVMYwtbdHVQ6SYXoJL1hvTlNZ90dH5M4EP
5V/KdC9wdgILBr76q1O8jTFQxkcA79l2DBx9zrACWq4eVgrcAy8huYSD+Gz96fvM+s541ueoIOR8
TBdqMy2MHAcLaAYEVLwpUhZ0RhQT0Wjt7oOBw3IUS/h9CUUHdTLRIeLGr7EiAN92Iw9ANLI8Y1UD
f+aYYV1aS/JYTg0R+yzdWWO0Tbmj7Lq5lzfJlFYbYGA2nnw//ZxiyfW9H7pLYQK1Si163+tpAnxt
cBHFhkqQxkdt4RMat5wF1drYlWBmubxEBQNPWf5qgOKNLdoqusAur/eRaV5GN7Gew7rShy6k/ISj
Bh4zT3f7GjrTnhUooMOnIbiTa28r6GvauHjMDsA4HEzB4T2TCL6+pXTuJj53VBncVVIPk7OnzCrd
5pMf73XAJFopTfLXcHs4c1wwX6+t6fiQ0AB2eILNvZc2IRS1zmAJrqLxKyGo4tHvFnEWYZH/NJOL
2MaWc7SHcPxC357HfH6q0TVdUROJweCziX0R/RTJ0h88dw4Y/RWSkodMRHtrCFyU8dRO7oFgsXPm
8SBOKBPYdGSm3kPGijeDkNMdqlaO/ZLa3JT3G7ExDktSxwO0tFMse/j+oe2eRTDYz3glox+FgeyA
nB2Ue8Zaac7CZEfHrBPuKeatFkg8WbiNlZUynJpMuiLJPTAaRqDYl0Lar8oJQgzCznDN/07hOpFF
/MlgTwyYg0K/5kOoqAIEbPpMbi07pImZz9mULftKzMMblDC6U9q5oraQ4wO1WBVFQqZHguyEyAkY
JGp5zrN5/tFnHpTghhHdoyZY9BhSP8V9OKXBnKNtD4BD+ruMouvXYK7FbZRU1Skh6rmf8UWjGTAe
x7+kvfgtdVq6xEtR0DljTc/DWDqHgVbvByskwtpJj8I4UwcXfJj2uasC/83Cg7xuScW8KSc60nvm
rrwuvtVB5gHBiSlibC13oLU2p/sbtYHRHyuevSK7lt44QsHm9bVG7MJDQytLOq39lpvFqkd1LPCB
eDxMOc2PtyAjk31I5ddKDtVVtZwxmXTWcgQ7ka+roLJflDcM+arWHSCEaKRCdbGoHb9ni2B/62N/
mFnA4AKUBuZPgfuBgX9FFZeqgLl4dIvQG5qt/SIEHdfYW0va0NcpvtvLgRYEUlLJJ4cWipc85P81
TTb0u/bTXO1Ld9THph3MV760y6MVGk6b7lTtc80PCSwhtxlDmC2Q0ZgQiYrv60nL29GIYXqvlZza
B5AobfFkeWPsbzpEkoibCBe8NTO8bKRvQE/R2pEDrjS/h92Dj2Gw9m5TZ4+lM8bPU2OnPxcU9z2y
GYZx+rnjfY+M9NDM0v7a16Hz3E+jRMDTEpw9RfbLNktJ+callXxOo5edLM9R760ju3jlt2nKx9F4
06PggPpDKwak8Vgj9JTp1D7OGsCjtwBk4MBmbFY1t2tjWl1ylmxtVI+rtxTvObjDFxdGmX4OiJN3
t1HdOmq7ZOSvt7YBzRGXOJmZz2Y0T7sxKeewjIlTMNue02Nj8xBuegacGed2o7ddOXu0reZ8e505
C+xNzX54ru0s9HBbtw02cj/BzWIxcmutxqcOpvFpb6mHJj62da++FmD49pUdNq9NKPt3DM0lhYZN
+6hd5yG1iCFgSto0JgjO3QwsLuY5xNfoiffMT8ZvcRVmRy9101casK03u6ndYOuFsPWoxJtOQzfO
O5KO9Z1clPcQY7yi4iueooOTFdt2bvIjJ+rkZpLOeGhND12Lt/B98OMBwpXl3TtJo3cM5fY2pr+7
1M/mU+dJe0NYOXusKFm/hJ3qf03GKPeisw9/UNCicfoFFu5aL5oVx48ucRJ86+Pkk+DL9MCYJiLZ
0eqS1VpSqWa8IfxJGxA93H2Z7oAux5thlMmrDsL+y5jxzSmsqvuSFXG8iSZPXSqimqeUqr0HJlM/
YycRa0mt1WPLcfYeOkDL6SptfjhQTNhBR3moiN09L+jJpyUWYktZ0/ia2ypbGbqObqkyzu7rRavt
rKlv35Z2091MEdQ+TfDtSO1t8jAgAGxUk4LiArzU3PfcST/aWToPCZ6Q3UyD+MoEtb4b0HKPjDS+
9GJK680USMoJ01L126kmw8JIQu7yvlvgyBR4ZKZerPNCcQaif/FtoIKPKT8qBm3f4VuKJPctYv6y
x6Jvjh45xEfgCZRxcRa7rbp42S4m6i49dKenjlMeo2yagncLCbQT6WGK9AyP/GBY7/2m7r+lqa6A
3Hbp+wyVySXlz5XarhDNkd4zzFAz366UXWVDAxqFEyF7SjBea29n7lgQlXc0tWSXijKX1yJwzckF
kvBq1TxXJvFKboJDtWGcQMl4oux7H9TbKfKpJLQGmEnT3MhLYpXVT0rqgSSQKpAEu4AfipI9bzVX
kfoM4pwbVq9LfRaxgeqwEGM6WDxoSKbFYNG52+XEUtu8ize15TRfuqlpqY4OJ/spd+fm2dfSvGdW
grbi/4q4TGFbvUEsit7HThB/CWPWlzOcSzr+WP1el18BmexXWIa0s6N3WU76Le5G7lckntXH4FXe
ay3LBVnXr99xzTeI7cL/UnuING7Z1TcxJzXSI6wd/EIZ8JGKKFg6+M5jaLF6254mJ+QOhviGGS60
x3fvfdkPZ/uaBTIyiLamTosDrdkkha6ZIaYh9qqO0+ZN+yLdYQ6wHl3Ij2BFRIS5at2xxNdr4rrV
Z42pb7olKJC4B8vDSeXivZ1X/Rjbr0CqyCw1+ZT+HIQT7Ai1zNs5mydvFTG5IsuIXeRLzh1yE+NS
Pxg/JbbFi485E/zKRcnEOCUS8KBvZjEkX2WY2s9+VvEApfbC72CZ+nGuAzMhBMXVq1O2P82v1FXr
z9X7grP+Z80ZlIY3i2UIxXuTlG29cQcL8xvprTxG2LLrnLjgTHbPnTcdW/N67Dq6Fq/xLw5jr4zf
69OszZOIRrmP+9Q6xxlxsTAmOEZ0wt1YHs0sfRNxSg8eu9Q4d6C0yhsRO9B21K8c2hTlR7erqvOI
E+ZIEySPA1lU97SUuqcdJ1HXbarEAgVzKfQL5iih4ZtmLeepn4NLGs8JVOdQ7+0wEh8Jj89HA6Vi
wbtW0+6eFO3ZS4R7GbhB7bxCdY/Z7N/PS2Lv2ZuZ10UWM+DOpnykt9xxX1ghmQtEqTtXirurJvRV
UMNHcqcZbeigVpXdcbLDxSZYry4JUX3ULoilhGKx8sF24OKJqXFx0N+WbqOmpHilLq3wVuGovQeO
BoWzzpM8upNZivI/+nDGncSjyVpRh3udBgTRzPeyiEL872Bqdh0+BniFfa3PjkZLXDu9jL608SB3
RjfmawZC/ELeDAuWl1gs4M7gPqi0by8tP21dU4R5n8AAvYjGIk2NM9Y/90y3Dqqm5ksSdj+TQW7O
qZMGOHMx1lWjh5InK76nzIa7O8Q1021dZTjSBDBUt+1gzeNqcZpsGzvz95DJy4awJPT8WIpPiznx
cWDg/+SxMq08vyfo0zYL88klyHdxBpVWu2K5w5KQ7hPpY1exszK4THnXPCzWRLdM3wr+kaWqgwfO
m2Fz4Z8at8leqKVhFZxqYrNSgWdtEK/sFV9qsFiukK9A4x2G0WLgzIXzVhk2s64mbElvKdc9IkJa
Wi9BN0BOmTHI0tALf040ybTNpmJ68COJHW8OrGNXeM3JqgUoPatqv4mUA4gV1+nGlFnKYmwOXNcZ
jJXt3SDqbqdzIpw2s915xd+6NPUQxSkmf9ypgu10UyUZlPIZd/zWUQnf8XpAbvCCOdr3eattNh5K
Ee0iNK+kFu3XYKQ+jyFllqxQrkAJDV6Wbv2C7BcosbR5zomfi13qmgn3E/P7amcVaHnngZYpJNmm
xmlXIn4QtMxj60uVOeYUCOKMzJkRB9YJWNtHrFU6ZejvpU+JvwB5KEIMmSusRu64ydq0h4dcLvul
H71vuVy8x2AKa3vng85pt1mGz3TnUv2HEtImIZ1bhSfJe2IBfzRg6HNcqylljXkQNl96R2UfgyXm
hdj2KJzjdE0PnBak/ufUWaq3VkXj3sqq9m6C+kRTtNuaB+IYeMYkA9L7ZkSIU4ODASLvvrp2Cqwz
MDm5+jD8ZtUq2TXzBGFH+epkAlm+ZuaKM6uw5u56L5HYtO0CIaU78i4sTPabiXo44iAYf8L6qeuG
aUO55vKMfOmeglb692om+L3JRmokY8JVhpJJFXyiGngUEFSSkb7QjA6sabIcwA2jPqAht8tax/X0
lgYeGwQS6nzpSsff9slD2vh9v4krL3zOsbfcxEAknNzT+UaSv71Ekp3ggLm2wcQGX+gDbpCpKbyb
MFdMADSGFaqz+4AtQmGaGeci3NBbSbyuUyi1lCcEVb5RsC93bCPyvnDC7gGO//IF4Xx8sDDuwPOz
MdIRYN93plEvCjfxHXgmZ5sG1ih2NeWUtI262R3ZiJl7+Rh437omT7AGecW5s+zhXlsyb5Eg7cQ5
t8HE1MW2C/6aBBh655RT1rrzreFtZtSI/M/hepe4U0ZULp3ucLpj9PadPMTTzRvxUGd6sUDUyfgz
gg0NGtyx7ac4ugLb0lKUT1nKKJ6eQS7Qobe4bKfGXUNr5CI1lcq91bVtHgFIikc5quputtwqI9OT
tl8Xwty33pK13OXbwLsIYxH6SSuTVYe0a+0XLwnlGe8H7M0Sn0ayMj36J2ZTsGbZbEXf07xc3puQ
L88WwxF3z0G017zmQmebNyuucYseii88bcOwroqUnQDVc7ozQkXfR6u7LnB8ifDJFl98X8mjsrvl
Qs+nf2LATzNgW5ozazsbkAnFp3F6nWzCmp2P7iDrxbPS5gEQr3+a8AvdOGM3HBeV9D9N72BF4LFt
V2MQttAFumn64WVRudFFv+EOUWTrzuuqA+2C/sll3d4Mfl08OSTxTpYEYrDkc/9ZZa1q1guBsX1T
iOqQOf5UbUBPtu92Ax9hG/d+/cgVCfWbkMRLPqjgAbZbAenM958WqfmLZh0y8dC+EfzHAowTlnFH
6hvr1OVi3Pa8h08QDrvv7EBlsLq2fT9bi62idVVqmW5rk9xjnDaPUMdcpgesLdXK6R1wsaLr7kvl
F+fG5g/ZEUDUePH8e2+qUBPEXPbfFmS164Y8yEvQU6gc+dxKgLKMxSOcjpz+4DCTDW6eenkgwMQn
wuEGDkLqPTDcqo6FsJNHQ5x9LfPJJcnfctVwar3VGr7/kozRXTnM3ok/FlOG1lofNODoNX/7lkRD
vrXTmuBVuAS3vb8s9/NUfra2uynzHmNEUpOUz8L54mFMfUpHNe517RPtSMKnmVzqNveKq3MH6fLY
GQEvUI0TLDkciM9q5HWFns+XZ76mYAu+1xiszbgbuL4yoelROCxsiMeOY/s3P6m9+0gIWuMdNelH
hwM9N4HCJakSgMpZDdPUnNLBVZS4hbEhBzbpG6ar32udy5zeC+PeJbH0L6NXOw8Tcsa3yg8cd5WT
ce647jK+SXqeplHEB1ZVkgtpFcAERVPAByd/NnQqU3sqWrBwdm2otEZ2xyWVu+Nc0kkh43Nv+dUX
FbNlUS3NkSVB4cxtORKoY9pCYMVuXpmndseS9xcbdFcfpkQHG+ELtQ3gMNZ7oVyH3TSeGFp1XfnN
UxHhnWjpt4U3Bz8hSJozRghs+mz3XwWgOI0zqQisNflB8HKRy0HWz5hbqaXnBiPtZDwb0BR7WbYg
apjmIPc27nvjOpWD5bqzjpEFl9JBI0nBV+TLhXQoi1zotw1IapM8uRUzH6Al43PqT85nPc7TR8qx
9RmmRK9XHnke1v/oiggLs6AmBzlN39qc+eWKVYHAIWseN7ySOx4eORbjoQ985jB5p9ho8i65jJYQ
H4WiVXI7NhFhAD2zcc1V6B0jEsNnXhQd3uzBNMc3ikSOi/sWXipcXW3cxtk0saTQPYuK+Usb5JK5
TRLupGzY86s2Ae/miTpa15G0ok3np8ulT6Nr9n+U+YlmOHOKJwNQ0M1n/zvshBQtTzDxwy9bs1vJ
tImw3oczzb1lmtDZ1Sm8SlnCLkYVondFKXm9am/CaeLH0OoXA7yj63BdQkR6KQbNHEVWOcAcf6pX
XWRZR0T2Eke7Ntf/YeRLh6s0lS/MbFVBWl2CXS4r1/3EJFfdNkxQH9i8OLsUbJeriHiQOXaitPMN
jOTpDb2ZvkNqup/j6+2qDCB193E4dWuH+eB2TEW+mdJCXIJwkJ+5g9u4Q+7bWVEOvcPB4xPtXFwE
6xBx+LyUQPpxEE+30BeJfNtXkbxMaiI2YESDwLP5Zg0UZGbjg2OhjILu5XZt3noO4ac5qoBcgvQi
OWybzTi3ww+7cbNLz3HilgJQ1q+FtljfF9WNNTQSkyD/jTgqmSkIMeJNgC2kXT3JL+S85LbuBAZK
zG6QC8HBviV9szzoYahuaroqGaPb1taRUXksbF98L5qB8HgT6Juyr3EmLW2m1006phuQSct30q/J
AYajfwRmQ367B1wy1n3s/n9e3f9R7FPhXMHQ8r/n1X35Ybp/rH6Q+iz+4Az615/7lzMoFP/E1xyA
RPTJVP6+QCAgukmRIq6Y0P5VIQCX7jdnkLxmQVkqQ+G79Cz66nfIOvufroPVKPCFH+Crcf5bziCC
o3+Me3LCDyU9jK6khhF86x/9Ob5D6qBgPL/XSZ/vWkEX1xB76Yb0YYBgPR9/9/bc/ytH+o+qL68b
Smf+5//4t2o1jwoF25aOTzMPpMhf1Su/K0ACXxEpmhPQRsma72OZZ1e9sX0Y7KrZTjOaVxktzMGQ
zYVhqDEwfskSt0dtomWEtURxsoEitfmb3+vPXQbX34sCysCh04+mB/9PPqXrDRdYBAZK1PVvXcXv
YY8I9IQkDrRtn0KgI/sawXFHMn/aJPPFJXl6+utfgs/0z5+Fo2wECyE9PFp/9kpxLaX8LOuDfYM6
v2fSE50CzizPf/1T/sMn7vBSOUiqkOKl8PrPf/cJ+LzJLPZZQBG8e3Dz8Qu1ROlhTKEbtaMZ/+aN
/Q+vyVVoLHzirnR4kP7407TUtqAlLdyHFe32U0D2NesBO/z1a/qzy4xPD/TMrzopPG6A8f/4U2SU
2+3oRv7eTQgvtTmiR1X0j7D/vv/1D/oPbx4NTbRJhbwerH5/+kGuRQHbr8c3SlGASiv7iT2HKR0E
LJXlt/8XP8z7xbkE3uWKP/2wqXdqcmmOv6+Vg40B5usqGdi+ygXD1pR5h7/+cfL6Wfwh+s27KAm6
K4cVgVKPP31WKc2Ni/Zj2tUtmMV6gJo2+pF4LCBbk7RI8k2DYLpLOGkcljqrdxAJog/UOpCFFfMk
5F+9V1U5bFTuAf8RLo5CTwUF3Z6ctztgO80mSCq8T9Df2f9K9vYVSEt41jXg33XTLUxJ3AwAtsi8
B12W+m8gtfZ/+J4DEvNkKBFt//15HOE1je6c+vu4SuQxc63gOA8ueIXBfbFoVSIvZY6Vjn/6KmnY
iXP5THYu+Ju3+j89ryErtxOyi7vMkP/4vOoMLjgxuXBfFD3yioO7hAbflU3u528smP/+k0JaWriv
Bipwea//9JMoEDMj4wiomlFarqeemB4x/G+EuOX2rx8fop///u24ltDY4opYhRT165//bmlpS1tZ
vjQg6TiZbfPBSq9W9emeO9L06Fk8CLLtnrnNlNsM2km+6QIBcIh+D0LMNelm4KR0V/iEMbjfu94T
cT333UURODB66Iq1AsvyFJrOuUEDqs95QkS00lD5Vo3dZ9OuoPGDkSvwRVH6/ZH0QXBoEsdDvWcA
bLWm3Wjdyq1yNZ7stheFDe2sdqP92Em4ZaUNLJUqhzsaFyesTInxtvEwSW7kQXoXiTJ7x1ZQHh1c
DltRhMthDl2LyWTrH/O2899StTh3o+SFLwZPkRUx/nZD7aHnyehiZzMu7k5ti6gpkfVTvcYzgRcf
r82zI3UDKbVq3oNYBCsy7zBRkrnl7l1fQ7rVMO+o1AR/IrrsyRJNexeIkp6Nidk58aaJseE0qvat
mYbogkMqek3CJd0PZRt8J+bL2TwS6mtuZV+qgpY/moJq75x1+o54obr1y2SDlntQjlUeqsGGgqWH
WD7i7a3NSiVecBaOMncLFHPGHK23N63O97ycZh0M3IYo1EByXWD10Q6QkjZilZpvQhRs3HY5Qxsc
IVHvo9+36b5ox+EHRybeE5SgmyThxlODOMLiFNGl4yrZM+p1zBcbt9mr69DBCv2rMQxftAhfObZR
7si0psPTVTrHvsePMba4MbXnOjft4NH62Aqo2ynJJKbwC1s/8wJk+lVWOHW/yYcgPcg41Lsq4POW
ZuDtGyxDFQgZERBWRCFWYrDTrdO47ldKI+czjdjOVxyIgmu6yJO7gcCmuwoG0Nfc2wUYehaPiZXT
mTWj7HIMXxk5dMWrUthpByGy761LUmDlRy5PfIhX7alAe8UkmIzNNuGIcyqNXmPj8n8uMTMxErsp
4rIAnZTtA9lkC5z2fr6RedlSi9l59SYtxpmvEMj/hCHvXi4ccFasB+UH9c1DCIkMK1R4TQdpmhjI
j+T9YSCyePEWCwEtc+JwXzNm0muRl+UmqKLbvJ/iA2IxKBvEG37fZMQ6gGiINXpdYoqjr9VKlxs5
ahCUdnvCJ3QF3lTlk6pGZIJ03k2YtZ6lCKctI+VuZ/jdDqNVx7uwBT0buKLk851ghXkTz0fBYC+E
DdJ7O79m+IZ25Z/V3P7AidJu016TBAdm9S2MQoYIQ6zao2VjLvasTML8Ha7VxwtjIQv/7KYtAFDl
OHhQmSocO9PMCK3SyFmOG+MVTct3oePsNqvskfC8jj5ztbgR7J8RNEZGs1TBR/wU+UocstQqtuNM
gZU1sQtzFNXfBwaXDzI08yEcrZKkSB9sW9I1O6ofcBZSIjQNHBCnxXbOkRyz7XQlpeo+I4DWnGI3
DRiiBi3FGctIhMDEAbSI6AXjESKttuM7i5TRGd9s+I4wrV7k4nZbhvjKpXlS91cbCZxU4daHpOyg
F7no2m5gxac0h37hNRyOkZiTc9wMb0GgmSXUAn3fZbI59n0PhHOpLl2BG3fdOOOyqUmEgmDQ8Ip9
CzHS6TMG8FSurMjq3pJ1SrZD5i9PUBTMBbhd+jGlrLgCWw5xFjvdt20+3ZuhHsnqAZVo0JlACS7h
i9c6GPr1TFX47GM5DLO3nj7QfW3K6QraAgyHEFaUj1ihwB8mpXcce4XTOM828UJooOih7dbKG39Q
yNMhYTQolHzXLPuN6bS6OIW5UCCPO6fJ4vU0inktndm+gTXmxLhrkmKnC58Lf1GPu9oJyVnaHRcK
3McrBK8B9B8Z+512fPppOzQSatN/Th5dPKPvPnNIWvZ9y8idscPr6OG1sm3P3Y5jbV+cqntoUn2j
MpR637bQZlnB91FUvds1lje829O1mJHWpBqgNGgaMtmbJKU8eJIjQkQ/qtt27KPHSkTlFiQOvrHA
uTg1XoDwCsmErToBRezbb1FIqa8P+nTtzcs9k7Vgl5HSGlcelp+3ymcmZhfxvMP3AJszEAyk105l
EZSu56p54Vw2PcgqVYcCCW6v0xGqFovNLaI9ZObWCp8SXu9XQueD3uRToXk3vNKbWM5b/Kp20df+
Bt9pJLburPPhv5g7sx3JkTNLv4qu5o4FbmYkMcAA4+70LRaPPSLzhoiMhftmxv3p56M0ra4qdUvo
m0ZfCCWpMmNxd5r9yznfCWXNKwLRfPHuClGBMIk5vF6HROlfIE5xJrVeoPpTzJLE38uKrN9OL98z
yutNnK5yC69/h29an/hy2L79Se8zFyQKJpoWG3/xwNm/Mzl8bnkI28OSoRW1nSD/AU+pPaOTZnjf
LwtLwVVIWsTJPk1RMVrS5zEe1RXJSdMFQfHLYJNxFAcGvqoRtwuX/J1Ed7HXyCNy9rsWgspIjnxy
c03Eg+e2j6QxPnqpbo91kxkbzOvmEZdYdp5m4qnLtu9PPehFTvm+QpVORsFhaG0263UBrgNTZBgp
2I0jwOfruSvtu74p0l1lJtWP2nd12LoCLsackXPHaTFBhf/mQmKQzBj8uEhzeMZEiEMkncT4pYoF
8FttVmQiK02UCzBUakYx7w2DQE70zOVpTPV3bdv1eRoj69GxgnaPVOEuVUN+nhcBqTlwGLNZljG8
DHkef4slV2HCe3NpmdOePNFGe6MK1MMC0gxrfvSpgra/tSpCtosUpaL0MyTtxLzlRyjZ0wFKPFIT
OJFIucx7WOP+VjuJvSd+YdovkXAZ/btxdc4EnwR/ss295fTdBinnsq+nlEB6EnuKTVf2hA6zS4ZS
T3rGhz3ZxVVU2Xm3rzpekUBmxSGqAuvkMpwnk0de5W7/NqupJs16up2KWn9CNuhJJ3KaXWwVE1ta
+7Z3iGALIq3fHS0FMs52OJViPuS18YK5Bp1+v6CZRWhbnWuA0GHS4OuOe1k+T3rqbnEiMLvmEjxO
TXyuyBh6dpsEDAyy+l0bDOqzrcaFm3tNkraxAm0ZuY27xuZszmsZ3wJDj++tASszm0sJucCG0gr7
pN4xyBjuGJO/NjNEnNrorxOb2OlyHkPAGtiHurwhlWzaqZqF2GaolwPqK6SmrGY1e5wbe2FpYKdp
ek9hL8CVZtFuXjDBbCrHByY7VS86M9J941XhkBO2KNNjP1rdif00uzw2cagJPATDSEO4+yb3CIgX
5bdRoQVB2l8Lbz9LzKwY/Q3/HNQ4j2wnRYNQPA0TngBA/wi1RwGDLm4OlPJ56McoqGWSAaRkX31w
+P4bVYqPrhXRm1fKbtMA/DDHWaIZXI7ob57nToMLGdDFGf2Ln9nDXTJgex7Uj6AjAsFJjA/Qri+2
k9+Q/fMIzANrQ2ld2NJ/xfmXGv3hgLixJzAmfuokKOWybdAdeNepsG4Mm1wg0NP6ulDGteIThEY1
yEHGO6xQJi/bx8j8uaUQnDbDwZFt+bo4n4ziir1vt9bWGrNyW7QNOhYxw18udfrU16BnOl09q8V/
kW3Gf9r3vIl+TrW4ToD1ubborjQyKHD2irVumTwndnAUZfk0+hk4+fbE8rbASVrdOjLnZ7dxZshm
YO/G7nwDhWnc2Eaf7VzB/CJpbYxLY7sfZfGQ8VSdWHf8YuxwkuDcDb8VG6StrLkJWW+zJDpKyx4u
MMnEZW48/QVFLGBoJk5IZ8pzkIo1A2oE+jtGv1Dz05jT7j91LcrctcnnkQUG9JEsVrMvNXCqqBR7
FZikc+cFOsFoTNZSSrZoIpC2JAXJyHqqsp1voSYIqurGdtlo6GqiVmmigOZ+RGUe0yLokcztXhjU
MPzCmY0pZ7J7TEHwRTDM8X7Tt9ab0fAefRlfXGdMt9JWPwfSGXVHnV9Jqs8yR+omIs78Jqagd4KH
ZHFunCx67ebqtkT8s6km3ncQOSaLy0KdkmRpuPSrZ7MjwVOBeMVH17xlwDZ3OAwa6DO/PMN9lYXZ
bRfFnT03mjeNsPnGdnqAF0P5MjEM3cxCFEeFKuwIoZ+0C+g0m6aFIZwOPVAhN8HHyEDk7FXrBsuD
SduW4EjQwP6sWEccXCn5TQlLJeNvuAirnUlNctD3whb+9sjuu7CZpLqDXbmfUYbsDbYdECjMm4qe
ZZ/R/5zHKqI4wjQobHUHIRVHdeO3bwn2chg5UX9gxPJIeEWNJQ5bzRDfYl3rLro1kFBydoRQyEk6
DmyMjdlE35wiqr9dbGx/Kp3yvYlMkupfvTo5kosexMfeTqEPALRGBTnK6cnGEr/xKtyZo0J/ABW9
/pj4pc6e8oqdnHhLbatvjnZi9AfuW/OWwAkMNtjTzmV7rOYlC2WFUtOc2yKMWeDf5PizX7RVyxd/
El/RZBHXY1fDISkc8xWLW3ck28N4bJpB/YJPE991CnEAFhnIYdDtDqB9hsNUgkQZkeOAH9Fl6DLG
IXIp8TZmm8IvHqnm4ahY2ns2V9MkWRnO3gQnAuCIGR9kH42mvU+a/qTLwtygWP8xt5SK6FfzjyhO
qjBtLYhOilKoW+VOAeIxZtUZtVJm4mZoK8H+Tspzo7r5R493n4ZJhgWP7x5ddX9aw1vDMUOoo8p4
ukvZHlMt5s3Z85Jhh/fqPmEQtR1K3vGFlLEjYSjWfmKWkhP30BNvqtMbd1LqRCJECKR82gc86PRS
yD0xpwyIwBV1JQvjm2DsKXCrItmK3BrRP0TJqVkGhY7Oloey6MhjLPMVjZ0nh0XYwxGXrX+GWRsx
c6nZtaZU8zRgj6O2HXDxiLrl1H1OgTO+WXnMpnkpbtopIWIrXT5px9VDMLYF2kdlIAkxer23cjVc
GaZ+tm3xyrfVZxDmp0T2bqgTymENRnqrIkZuNp4LzRulklvbNJgNVejOw7I3mQWVBoEqZQoM1q/4
+NR1sxdJHeGzz2z3tY/ZV/MRbF5X4DcA/RU+Av6a+Az4Y9s5k9U9s4rquTHGYKuCpHnP8sR5SCEX
3tlt64TJTGuI1C1Vd7kd/CIlKnhgHie3DdRCBFkNQPpoQZxB1A8Dpt67znWlrhGG5qEMJqRzExqe
po0k7oi6PBhoZ7eIzquN41npeU5Q1QB6qb2NTwQCALLl56hd8xgTYPyW1ApJepYpJhzyF5vUjOIg
mLcsCOKQ9W1zKZwITD0pg9esJ7OtHzjZiY/fPWBRwhFUFbfHif3fNSkA2IfrOr3CxAw22ECTulwR
5QCIz4XwfT/DbPocIKTbZwMpyWEYMZttHbl4bxipTQhZozeJUPVJ+o2jQXlbp5mz5jqJuxnKGGbB
bWEaKgp9Y+pcGN8KhJQUfYi2kE5v6ZYn0wZd1wwFt+Ocuzu2Jo+Z7DkzAwVvOIJQgM5/2vlryJBZ
Sb3NdSOeo7y6yjvIUiCdz4WHfqHOuTt4VovlplIljiOPyKeN6y0abRzL7w2L3vqFb6Sey6Kq3/L1
7LTq8rauunyfVY13LZLA2mOzAs1EemVFxk/jnDtR2uHiYm3cuXUbHWHTD89jOy+PeTS0T2nuuDcm
PJlwNFzoNZUBrsTImLLroimO8NMnwiG8tIflEy2ECc4WZ+LqDyKHEYQ5IkNc2LE3GmGKSNLduImR
bYsOx3vrxczS5zaPdjkwEzSnfQ8VXLa6YGE9Nu8I1m2xvif5k8f5c9uXPsTbShjlJqKZPPS81P41
93eS71NbPUSCcCkrf5B+UB6CIYE9xfxy0wRmDB2zv3NjJC1McoatjgYo0INxy8AdVziQIE0uQhiz
R9ijoWXzn+Or9SBLrBDFbU+aDZJC7JNTvoLAYOPdCLRMpI/oF69Ns2SX5ISO6LKR75JW6hgMSCsU
mR7hCGyIXVnXP9BSRjz/JbB4LMuglRt+qi55G2duP1v0U2hYuXlg9PG5aCx8pA0vm3oZX/o5ObZj
h+qmmtGJ+pF5p8n3C53AN4FgGjk+TnSiVVcV5LDk7dnxU6xDVR8izzxHLu7qLZ8W+HdMhUOmOv2N
pzP711ST0bErs7K0qMFn7wD9mQwaAsS7KzI/+oPnEWDB4WX6n4gfggMO3+aV8UdzX/m6e4hHv3vz
Az+78MrTFzO621uD8i7UcuNqfPb3JU/fzhzsry6BoxYs1nQRCxm1G7xx0S9msFT4zMubq8qJMUO7
nHnmZtCe5+1xkq2pU3ELaCCvg677JjPTmkK8sYsJQ25i7ViKCrmCdprgmbu0B7IDvB4p5NzTBpPZ
q5ZTF8wNLt/SZKXqd5jBSCy56USePedyiEIr8dtrHctxF5nrxiVKjZ8zjNAJGVxYJDVfvR/1gxgb
9wCewLwwFvH40hqyTKyZ6AkPqRYJLWUZoF1o7eICZCwsE9vcsOmBWaDIIG3c4RIVxY7sbY2iPwvp
gAiRUM13v6jnqpuCZ7BIFddujDse3Zcud561vJXV9LpoSIcudPY9DoqdsabV+00Xb+s5Tc9xzUyI
hc4pLlLjRY9GCiGJ2SVjd6xdyZKSOTlheEtcQAN0XS1ZC0ffDGhm4csweEmUc6KChfqYKpI492bH
rbiptQ/GStQAKbfK77INYfQAV30D6dSGrYpxWxOtXu9No2SOw0QjeUSwKq4o+uoTkad1iNy+eZQD
uFMwNdKCiVVqttQMPGQEiNDu7rSDsZUDzJFPZty0R5XHNJGKbqXeOZGrzpicTIgW5jztc1+rTRsz
1jRHT77xey2YTUtQCW1PWK+zDMih6FgKtGMxhhrYn87nbLcUvRhXgh3iRzgZTBabZ39eD0skgIyQ
cydyvl2ZIzEbsSkeMnYIXG/MS15RSHlv3Zx412yk6hv8v94Di0/vJG3HeTYFCICdFEaSUVW78Ja6
Qgc/SMCpV4tPWZ1QCHcmn20zZZwmGdr1AuTiJhswVuwMsPZf6LKcZ1TGJkjirPnOvQqmQBfo8oIj
H9mzwhBP6FHg5p84DE3iUpHVmmxGHlMYqvEuTwzNvVPLn7PneheE5cWvwluiNaQnvvRT7aLTcVDb
6j4u3zMRLOeGpF/Ut2PAGKIwaJjQnpL1EODyegxwejUYvF3rXSOzOo6qG0oMSIm8y82IaYTf6viO
aG1mu4mxt8FRvZg66L7ryq5fWCJFryX5PD8Mnv3Q0LzyGS9njsXIE8e5SpfXaK6TN9B4KxJqjZ2x
lSHfmQK7PwvifbYE8yEhWDXTrqaEh6rkhRUfkXNjuC5XSp2FpN9O32Bvxy2M/n5bkV+40Wi0y+0M
r+zFQLx0ciZzvlHjSDQAeqat6WnYgrOfniVjZkBDRkfEfa2i94UhCw9AXbQ//KqLzgu1NkX1Akgz
pwBEEldq0vgG8cTlVX0NVV/f4c0hbMqmCtoIoXCRpRRBVm78TBn3IMRHRsHsxkRbC1zjMBBCfYuO
A6Ebx34bOojM7liXdXR5pPyFIi0oSiq7bB5nPcKqyucC3xMR4AQjkcNyY3djcXLH2T+t3I1zinLr
Ex4mi8EaNgFBh5aHT8T20+JJB6Np7jDB1zccGH6zAxYs72yYtPWBNnmyt4Pd0kXj4M8I6gI6R50t
PfvDytR4z8B6vDPNqH0UCGy/RNsXNwQ25LALIvkduMK/iSAnX8euZxhb2xqcb4El4QvJ5ehCF6j7
HxXSk7dMKe2BdfWUJKR2lVDOo+tGSPwIw+KjGuwSFqRPWrTwI/1awEpxI20+GKpzX2KvLD+rWL1Y
AVPRSlORDDNOUbx/sYXxQbT5HRr++Z0soMQj0LaseuoprPseo/flqDvGeiIYdLmnDeBF7puBAsOQ
zWKes6R1y10C04x9wxSlt/PUCQxDbF05I+LK3zsg96+wEyhvlzOv2I9Ly0enJDyl2No+lw2gPxbR
hDSZN0PrQojgI2Hfmr3HwM7rYJEK6cXvPXiHfBcr/QaGp8l2pKcnp6FU9UPCG+XvXV+7z5oF4Rya
Zet9Uhq5wwY26vyRofdluFI0XnZsPOI3tmyMiRDh05zpA37mdTKIklBuvaCSPzESkYXeUPJfxZEz
Qjxcb7ZAjoeYrAu9MbCBnmNv/qUUAFE2x+O0obXmOaFG4jdgmWDZEnMNVy5z7Ik9DrSWYik+VTxG
jCw7Mr7ljFTEsq4FhNuBu8BV8uDAjUqAUM8TMSBCsfBw+BdPVjcMPfEmrlWFTbxisnvLI1iEhChG
Z9rKPiLtFifPTYW9LeLOtICYmimBfFH7gRIUePXkgrQfWN3MV3lukHU0dvKNCGauD4Kkgg3RS2V+
VEXufGZFZ17Nyq1ocJfZOsxDWR2cfJDbIgPUgiK5ZpnnV6cx7lmUeSzT7sjim2J2kD23iY70x5I1
FiWebahX3K9rhATVBMjgb2ewgithuME5Q211Ny4OmD9+bb3axdTNPPfGjl0tPf6c710JNcNg23eg
t6kTYrd08936A7keQZEBK/HFpWDve7DjNn5KytIhmRlE7DEj73nYs7dP9pV230Vtzg8GRIsPQzLa
gYJwjbW5/uyFkz07XlKYx2WsA4a/bvsG+QBVZVxbt0VTGw+xYf8rIcYqf/ij5CUwXVRQXNw2Ln53
lU/8TrGQ5KYH0bT1156e5Skd850nUVoWXZNyb1OqXgbLyJ7NYeAq/eeCCfc/kksgQWELCpQL4c2f
9D2LbUD5CCb/MMu4uwSyUcdBEQzLlbjCjiYTxEHC1QqFcfgcF64URXDrvhlyi9Al/ZE32Ct8wLjb
ojHxwlcsmCok9fuRMp59s23dgZ91GMuUEhA0N+pyVNKtz6OboYzW6FLxom9GwWzQQalVEJmXY6LH
a0tuUQGLFLOafSin3CCvxvJ3cuU+9ap3qVDE09TTHIhxtu7aVH5kFWQpwxu6Y2tw4Gc1iKoNzZh3
iCaQGP/8pbMJ3vjz+xYws4Wb5thMB70/idhKPkq8fC7VOhpK+gbzznWnucbXN58qC8nSSDzO7EAa
YEfUA9zX/bwPipAqYNUYjGuyUBwgS06Gyt/0pQyzAC22icFhW08GmQs9/W6RUwA7GcFiWe79C2HO
KiT9h19BsNBygcijZ/BX5dzvPnopd0kzBCo4mKrJaHGCYSm2oHyTq8XoHqxpkLuBy3kL9jU5W6bZ
f7Hx6k/KXNV6DNyEBdvX1iNGxArdxj9/gf9RtrdmjZBjDJYuQJ/6p9c3ZoYnLYIyV54kZyjxdaTP
kZn5L77NSsX7hxchcFE88ghwtFt/+j4NC2NXR01wYP1JrOlge8ZxhCC2m6ZC/rJp4Dkjc9I3rKja
AViRDylF6LRjMA6yrrODC9anHNkMD0sjqvKCsR4STx4tyKhT86npcv3yz18a68+vDee1aQlhIp0E
/sHB8cc3riXZkoEEn71B2xwKi12JrWcyHATOgYmNNuQlyC+1mdaAClYkQmmb22QokvPsznBRiG76
FFkwXf/15/pvi935ferO/zl81bfv5Zf+a/jOR00FtYbx/C1+5+//839INo9wAo6H/1ykfX4vy/4v
/+u9bP73X67eNZow9XuxNg/f+vf/Jtb25G8Ikx2Xt9XiNsAN8HeMo/Mbyk4m7XCS+IdclXT/hnEU
v1lOICwUtRQYdiD/HePo2GtcOWe7a7kksOGQ+K/kiwMN/8PzwkLHpc1hEfWnw4Is4tjqexhNJQNX
1DfRaMHsgNMAWWm4bXAm1qw8IzzxlkEMIeAVNw+xHrRXM2qwUx3H7Z4+T9zKakp2dJsepms2nDiV
ytBYwz+ZesZkq5IaOOyoVtnRR47etHU3n0qb26PQWGGnoNAHr0vMULdmcqxL1V4ssEOv2CPJMvTq
5FBazAvIpcuvsF8EJyjPzsZJqxIgc6LOZTq4G9sK0ncfVRywKRvzTJQ1wUCwmSN2fuY2hxwk6n6Y
h2JTNyNl0Rg72WPdVp2zgTLpXy/ARDCL1VP3FXurfR7jlP3UVUb90M0tZVWL0YSyybevG3sy9pFf
R6CF3U+uvYUVMasK6kYa/not7beRzdijTmT0UYicHSw6jqs2G5rdpCuo/PmAgmfpnKMV5eJMAPL8
1BPmal5puE7ONiigDsBeKk1yo2UpGFy6DCvtome/O0ZXArzbL/hnA71WY+yA6Vigj7AvBdpUX6Ql
5a8errHXOA36o+k29hsBoZO3NUVSnQFgQMYuAmKiGzhhH73Tk1bXk990wNKem5jZtTiNBr5mMLOp
8WQYpELcMOmM+Hs9uYiztSzHYlro/tPCUFcYxpt3o0lzQvNQMW6NEsJ6ahbmjlE3XyVtkgZ7vKO6
UKsJWvzi2CjTpLVbMG3tkvVPOjD2yUBIe/sBE3H53Y68CzubCIKXPHURwOFzbOJn7bCm3cLKaxEu
0CFbjJFR9GKj9ePLWpGcgrJN7oRd2luLnFkmMk09As4yFPqCtk/muyiO6F5RJrG9ahv7TvEjviP0
7C34heA2yEBnCe4ZRCEgd2H1BVLZ5ggu2f6xB9rjTYu+50byM+kSQGQ4WElgbJE21ElINpr94Ekd
vQdmj9tBRAj+BTuocClTwTweNjWFUWtV11BHgfJ7tbpHaVGQoBZA6tkjI8i2Ngikh5TsuG8BWmg7
RZC8ELpQ5wvS4CvSWFRHwzCCoGaqWaC/ymiuPiNhzO8L69ZnqKC+AMlhOd9mMPo80rFgDTMspR4R
8vnU3U4K4XTD2LsbbkoKFmdX5BDYSG+wmTziE3WPzOawPdkGNkBCZRYA9i4BMgTUZBP9U5v0CZM+
GMiPLPMhaDmNUZbkLWiSMjPo0CRSgVT5wt9Un/DC0qB05YItrSUlj7QvQJNnayYDmx4qYEsyTR+2
ObgnJEniAzJ3cTTNonsgfKu5ntac6cVq3TtelABNj99ML4RWx+9IzokNwkN9amaIn8ru2asUsgsu
HkPwR4I/Sn7Xhe55W44D79MUFR3JNjQEO4RCKfh/GRAoPSoYYsxn4sfAbrDQDk3wpewa/9jUGd1L
4KXJL2YW4684yoa9bKN5TdccQaavRtdZlHcZYLNuXVgxLKCDdX8aasan3bHoIbxnMetrXIjmboT0
9JMvUh6zxGQenVkuSdgBS7FVplE1krALEKs+fLkwHfziupsd8dN3Yy9jZM2Ekgk0HNYON1zYYDll
WNlALLdyC1bLYAtxIjOphv8JsH7ne+u71nl2dE2Q8XTE0O4DDESiFU6NH12DaiwYCBgmsK9WeboJ
eXXMd8auCO2cvgxNrYOHeinugYyN2xgP6WZw/WrPapHEtkmgMZYoQq/KBqFM7LrpB6lV7rkXC136
0Ju0vFNxGjInDQXTla2z1PnRTg2xK0QyhqLFbsujrkLG9c6mAm29azvwpTKe3B9FrOHypImrDmKk
qWfKk95iI1huSlNaECQMxYIrGnZmrZg0c87fQcYgjUHVPqHcgBUOckzcO3aE+ZOljeTL8qogYYiG
3KzHRoWRb8qOGKYQtFRIPSs3Ns5NALnFxRtcbwu0O2QdjmV2EwuyKkPLGZdf4OT0McvL9AFAFmjz
qbvHyRMgRM94Zjco4+0f3NsB1CUEYMy7Znm/gO1kPE9wx7YNzPLsd3quLm7UTS/ZVCffWZbHD33m
RE92M0EVNcwx+BWPOgPootxbK7bV+1iW8hWYrNpN5kJgAoLJo0uAjodUwjL2lfQYC6dsfe7LyfHQ
qSySlnoZrwdluLeyTTx7Az89gsIKR3Ix4/EUIPvZo7NzTp0xYBIWVkfUp5EVD4LFETJbQog3cIbg
1wsnZZ/qDcu7wUaEuS1YWGixeQ0FBz/rdZKiloSRbzB49t3rxS+HH7aOsz2K7J6JWclCKigBy8Sk
NqGTiKJ8a1ludW5zp7kFZEd2whK09pfDpPcWXfAU5nrGIkrWHdPc3tcf0YKkg8Raew8I0jgv/tJ/
lT5HMgiA4ZGEqZiFkQvl2PFi/8zMIH+3U2TK9EF2fInzxGTeWSjS+IRwtrGSDiJverwNm4n+yhst
izW2Oe4Cw+wPjZORHeDWnHQGf+eUWnF+zZ5vussY7R6Q8GVnLf2WV5MAiGgEPsQE3gYMMUdHbLH6
YRRq2Rt+5D3pLFjVSKNzXEqEq0xN0ysf3mqCKO+kB4M1O9tIHu1MetcB9+qv/94y/n9ieqZYK+L/
vED/v9Vnot7/8h8g1oGj8zf/Tlj3pAg8EWBV/IOPci3aqclxawboRfhDdJH/vzS3gt8sSRtrWpZH
fU45reu+SzAm2r+xxCA2ky8naUCD/0pdbq2Tmj+MkfgWlgzAl/hsY0Gu/LEllGTFDhhQYMugBNSP
CTYb2CQGqUHoZOXF9RIKJAPc9L4yp3rv4uAICV0Su9+9bHd/+4a/d1fSnP95MMKP4eGDYw/FpM7x
//qT/m6qYIpBwp4NMBpbWr8Qy9zvIhlEpyEuberWNLieJHsH/OKEIoGvJSnHhyQTWtkkjvxfgE6t
HKsjS9SfIkFKVRHoApaUWMBdGUfizuzm6LQAoNshVOlvkyxF/ZS1a9BWa9j3iVYMi+DhnZAfKdKR
jYVQk7iIQkPhq3AI5AmrmI1bYvboSWzXs/edFFWY+XNwJXtQZKz6hnyb8edXwfpknYDPAFg0Kpvx
jntbpo5x9GVGAM+iO+fdFGZxI5wiYkXfFqzuJrO9mmS3TSXefsfplk/0KIL0ChOnw+wMsC5Gfcdy
AEgDQl4ioGAi/uqoYU+9HNQlcTvrbNZokeSa3yUDt7uLEU7v3IrkbjNzzkXdHEmrJO2HZOPnGf5J
i7mA9Q5HtnyzeuRvtTTt52QMjH3PqvSUVYzhlsGxr9skNvb8EfMwkcyyq8dEHVGFBNex4YwnQKgE
QcwFVJiY5CC37a/mzkhv+9QlLGdsm9DrWzY+Pasg8i9GtMSdCzRXyO5JgBBkMVo7Oy9uk8eiGsWb
t0BIUzPURUeZ5rHRzsKv1t6hA5k3JTCLm7jMs6d+nIzXcWwHtGaruYBkAmxiAD9aRNAUAmr4bMsM
SGKZV/cuRUuKatrob8amVOc0dshzk1CupvHGTdoj8Ogrv03kPp4MVIemd/GcDMmciZhtuyCgskus
TYagavJIUDnkDpNgrSX7nGQujsCxdlW05FvNEkdLTQBMSvJyEpHU0euKqkxhUxqYzjcdErYmz7s3
LrTuUOmuhmxFLAC8VeOXt7QkpA3VfFuyMNkF45q4ysdqz2g8DxtkX+t/k58xTovDiNb3lZEiLEzA
OfMNeXnU7klt3ZuTY9315TBdzAZwQ0uEyW6kVNuUQXVJC7qBpOyXQxN33T3SbIk+213uycTKwnaB
rFE6iPYGZEZ3+ZySk2XZcejYqQgrVnWnpIW5JZI23qnKZH/ldc2xHpvmpagg4wep1+JkzRNEX+U3
/Ps4hK5SPkWuR28ws8XhazD1TFp5HKZguZ7AGp9q0fmHiiVk6BBHzrC/9KDmGEEQcu/624mwlJ0i
KPOoOsMPocih6fYYzBMLRYew7/ENAWdgmHFbsg3aGc1E/1+VlDBZXzgIm7xo0zuTvKTacB6Gadya
lb6dmoWY+KEWN37tzgeyBwZ6EGndxH5yofMJQmagFxrlbZGMFKBm1V9hM0s/5lol3+jienrpDh5J
sETXszWCdfMcSDWc+kenL+QZSgKg9NElWKAaxN7wPHnR/Njrejx6iNk0v9vNugPNOnHssLp8KLdo
HziZ/VNB7/bTbgkhRPkZQYaQZQJIoe9BoLuxzE/QU7DUCtWSW9r3M2pKJJw7VPJQwnTTEjSQ5ONe
6MBvbgnHGyvmeDEYiLGJdwlU7z3BtQ4zCR/8SIRokB5Ted3Obk2HqW4/oCijIGWkm0YwhY3o4pYp
KZq2CGobaXvB+wyAqxM/Ssvv7w27xlRhm1q9aIBsgFei+CI7RUaikMNNBJZsz5k2HzRJTmeYLckP
UiUAG/mx4rkm3h65PX4JuJPAydhlBpNzvaa4nT02lW6IluRrzmUen5qqasOx76qzX2jx5qZBd1wy
NuQb1Aa4qBm9U2oDyqN5DZrvtM5nGo9Fdd+e9vUmAp73VlqMLhpZX4iHf22nUR8r4O7gqyTuuCrF
sdMUrDvX7g2hrbnQLXjrllGiBXxzS1WcgmxeJRejd4pGOo+5RFyQoNgAAmZHE7rrNiruoL+wfiqj
0Z1OMpuH4LopIyv/kobQ/QNgOvcxJo6NhMvGaN41j8J7FNnVS03U7U0bkyi1iWou6NBSfLcyWMbn
BteJwSUVsZgdhre8DIyr2RdThNdxVlsp14AP0aEhMFNnJL1n/fzHjXIeqskvfVSfpEfihpLf1myL
B65C7Z9GLyuy+07r+tSxLHvsVUtJYPUTJFSrJaZhKIP2Oy61Y4YJSNJX4CTOB2kK84n1s4AAP8gr
CfngC8Menu/INrOj4VviOspcsGlGO+JSSYS8qSZe1TwvvAMuPFRn2mglqETZEnAi2weX0/qRJJD2
iK1p2Mc6tgUJz4kP5ND1JxK/IufoijQO6VPZBbuRt+noSV5wBxf+RVuRl52HHBLy4F+h2ybHzQV2
Tx8Rob8NzNZ8rQOV/hhF1tsb1aQLxil2nk6Y1r34KU0srJcMC9GqlKnYcevCJ2eZRFXIDnZg3Vsk
YHLcGvF9MorxrVAN4xBjdB7rzkKzbmmxt52pRlVkxM8QyJITVQ0zdjnwJai1xmznVGrYFVM6Htra
ZljgYUahSjPuxWzXB6vtSS4gr/bLSyd7D23ZwCEWI/5Tk4V4Pac9h3dTkUk+56Xdhcuy5jtgSC+h
+ZQ160tr7HcjUHoYONOvxDPGXa3m5BUHgb4BCFRujSSxwGO5zpaeEWL0wP1ZkoqLhpsEzHJaLj2E
wp36f9Sd2W7dyJqlX6VR180Eg2QESaCqgdrzKG2NlnxDyLLNeZ6CfPr+6DynOjNP9yk0UDeFvEo4
JaW8yYh/WOtbNebmNcGJBrWYt9c6QTJbMOkkWyENyk6fq4CcEgYiY094bavn8UT6eHSinCk37EiJ
rqBsUM8OoWJ6jQyoGNlauuKW1ugjcFfwKMwl2sqksZtHvmonE8JQGoDR0xoN2Qadu3sew3YiSWEK
c3TH7O+rgPS6IJHTURC0twOhE3Id2f6uqBdjM9qLPTiu8H6YJ7nrHJ5RJ2q8izLQF8VhE69wZlTO
D3TeS2iAMvuPQMKot9OT5b41tFFswYegR/RmtN+oL0l7F7JigQOG4gsBgfWNhi3Z2mmQEcXL2P2u
NLgs95PZE4HZpv7eMxY3YOpn+wRr0QHdj9pLM/bIDFBDfVeyuIA63YuV6HNGJYEpplurTQxRZTnL
q0KaeYvg6GPvJf/jHKd++jz0TBstIIx7ObTZMWkhGUNjtNttUpXTj8HKGbWE5Zh88Tp/iYyUxHz4
SesSmWDa5CaNYhmclzmBPVtdED0YrOTQcNUO0o2OzKTjNfRxQgWCIMdLq4kincumYhjVFJfC7c27
ZHRri/o2fWWmYFunIRwM+IXCDQ7LIJ8Me+BtF/Kk+kXpBanDRJ6kWEYfBhb333rYPzcmHy11dTuZ
T5w2xO/NUd9Xm0ijeCR2ZctIkLw8VncgL3e2m2Zbih5cO0ERXtj6tivCQIyPeQy6liDAzjh5SfJR
24Z/X7OKZzowW9mPvnDD+5RTkdufNJBVox26h34Kpg1axeLqZvhPW0bQryyh/RsXXH0uzREknG90
TBSsfudoaE/MToKfMiOdFoS0e49t1aKAdnvsUyOzYR1XxquhZs4QksLRFPpVYe5TFHWgNGX9OI8K
jY3uLPuuCUx/Hfuz/oAmHTwgQHGQHRjwOIgiWeUChShRrD8ahwALjNE1mbKi4uYMA4pOCBNSjKTt
URRAeTvbfELbhGHWdoCr9VJZrrNVXDSrrMLglseBe52iLHoVfXNXWworM7rIfYYkn1kEzc2lkWF6
VmnjcpAw9T+U9BgbP4QuYTpyenC0ROiUFeeszF6Ulf8wAu++G5iOpCICuq9T0KBE/cGH87iZknZd
uuhaFPTB+6yu889havr7kuoL/G0QXqI5jQ7KC7FdiG/pmMJ17pxdaqMCA9Z2sA0nopeaxw3683wn
uJDgyYHfTQgOCg8qJssYORoCkKOO5SmaFAap8JzOsbqGbijOhQc7kdBycPxzJfFCi4FBLKg8b6xD
gWlrfK54mXYOwDJ2Kcy5zTqNN7jX0gd0nUDOmtA5e13vPDgi906DWQ3bDrj7xjV+5QzGybmfYBeu
7LIRlKCFuTyGrFAnHg1DNxk8eH0IMqUA78cnL+3AUYLj8aK96Q4809N6LGS2oeqIT0EuSKyyEn1u
LGluyN8heR45bn8Ubo5zxkgAdDkSamOeNg67HX1w4vpQm9QQszN4uGlYMIU4DY8B8ZHkbQ181AFq
k3XE+GcBHhrnKKz9N5NB6x5govjCXgmldB1mpwrD0UaQqXLNDOls5egPh5nErq/AOOwvioHuIxUw
sv0gHl7TIiiPdlEZj2Lo5eOSTM5ZScAU0ZZNdGm6JLrCd563JkXbpyCT5+gJJlsrpyu/Qx3A7+XA
V69BcOeB3Exm8M3U3H32tCYyQK4hOz/XSW+crWlQLBwYfBpT5h7xWvmAAkf/aWGGb/ANJCjrKGAH
t7C3rY2uQ7rVBYMqxjfQ6wpMdmQ7dJFm/pgMOqVOKJoPoQpCJQxQkCgXjWNrWwf4esbJtGOkdiz9
7jq/awHQpY+ShCjpYRaynOautL7U0Ab61NzOtrezOvWeRuN9MZrikEb6yfOx4xk5iWUNThSxXEsq
RLRVDmtKwy9N6L+hOmbIH380DDbWWQPRFEdI9MgaKD/4HWxhrpni4qSjxXPclEffS88eJCBAeM58
Vk1kbF3pZYc89fbORHBXmkTZITCL+DiSwLS3h/7JtAtoolMxrK2MBg/ZPNpiSRl+hGKjDjMRY5+2
lSykbJeQ+Bj79SbpOSOxrRyiMrE3gB6ghPqAoMvUDc46k2xWoTcefEGnD7ovwZ2IMHTlsXydW284
IvEC8OoeRR+dBYn1s41+ksWSfKkqt7uYjmu/xCxEOXOHjqgQa+JiRNqfgzcIJuz7XtLLHUrI6hWP
CxsEmxZlVmh/wBNW56g0hyckdrcF1ZlM5Md4RHhEVnLq8vpHoWVzxQiEzyD0TBZF0LzNytvUjch3
jJiqY+Kli9FOg7xNm+k6o4jcKNcyP21+P7gSPdhAt9CLAtcjezbxvJtmNL8LwGZsChd/eJhV26HW
5k4NHTvFALU4LE5bGebjECTM2y3tTw+5CY4L2bVqdh2wxv0YF7gBR5O/+pR8Hzj4Pr4MEOmrqpGX
vHAcIAdqvLhT4F2IvCXKCNfWjNjYxszYgr30/Sd8LZs4sm9TDFigi78hkPsxLWNkENIlhbhVQ6KS
ChNNKxrW3n1lgEgA7YUixdyWRj6SIzIIumxYLtxch1TIg0BghZBxMwKXWNGHHzyv5IVy8y237Q81
WndET/n71p0P0hBn6eFtoNba1cPwTm5q2Ky1bafHmuvgqRHmdGcH0XtvW2CI8SbbsS/v80R3H4a0
qwN/vipSyhaXBuJo13RjlCjGE0asa2mz6kjQvOB/UpfaAk6cSOuNAxwzpVlLiCO52BgIGzfeJF5z
F1FqorwGm2O0TODXDS6+qex+QC2x4FjqcuW7eOXS3sPAmCuE2tZRRWzrUiiVY/5cq5jyUo7ruB7C
Vc0FvssDctNye08E8ZtReQ5vD1aGeFy8pJmTdU802QSpOfE1CYj29UV3G5uMUo/lxC1q7ZekxO/k
alITRWZSL0KZ2rkClyeIjp3G3rt2YhzhWgnnTgNlAPgJGiFtsDzDHNharblVzYJaQLJwctKL4Zvn
aoxjXsfiqU/wZA7FKfBb/4D6C7iwr8mg6nt/05cifybsRr/5RXdKZsjUGQ3HKq/0QdWZ3iP+I9ok
Q1B2ZPHb7whLEgBHIjIHW6jK9TywFkwFuUau/UHL/2yjnRsRIiMGrb+7zLmeceWXR0Hpe2SfToa5
Hi6GIrgWmyD+A+16B8eCtVGM/X1I+vKq78vq1WbXeSAMCBdCzOZmK6qKRWIHlKGupupiuUzMaBuC
3YAi+AngLSFI5qyv5exoZpmWqo9KJf2mMTTIARRGhss+0x8TzQeFN6SyAsDkljv5q7qy45dBavZV
5BpYMGUmFbSXJEBTUiYmU6/jnFgerkXdEgLhGEf0kwCAsdBgIpndz2oO2gMYpCc/SJ5yC+WHWybV
vvGr9BVWf7VhM3/rbQDP8POJmoJttzECzKgh9zx1MvzZJELabmXVI9SDgdXVsJ0gMEAIhip8nCtk
X/U4vsty0IwOmuio4tC5ZiYEtHAglx4Uf1qBWA/5zA6jtr2LG1YSobSroLjLhP8usBlCRUXEhKqW
311GXasWuMoNzKl+SNqwBnm7zMPBMI5MUvFgWFb4JZ1lSo5EWZxQdOtq28ZJEK+MoMW7EkzgsUeC
Ab6SZ0JqZWrLHcGWiDSjtN/kQJs38Ww24H9dJLecC1Mmrr7EZXUZ1HQuZGK8IjiB41PRemxbQ4hn
ltHQmC2Sn/AXlXlyQXgSnt2gEodhFOZZu2HB01nkM0CeSblAMcgoDUIYFXyJvTWtuLvQy1uvYBXk
UXSKIImoonQMnPYyNjRMhWGbIEAkcBlV2vsaM+uezBYKIKFqsUXLwc07VLm8mEO3aSj+bDJlm1XC
lOLiN9J66nMrPGWTZT1z8Bf3vbIjtP81sn+zqeu9leR2vdMm5BkyzCq9pvmvuPrceT05Nc4b5PZM
wsrJij48xXmBqHpMX1BOXXtfFgwzx+KW1KVaC+38CHzT/maSbRFtAJsF34Mszp8pQ95Z3GPFSZsH
q2+foboPm2EZePXzeOjmqdqRM9KetTZ5XCWDL08Vw0Ebc/FRSSAGXkUyFPZxczuUHU8R48FNOKXz
zewHVERIGEhWQlezm9Mlzw191dpS7Pry0gW3nlR3XkoqbVVrXGRR9zJMOM1Mq/kSi7peNzHabET1
6m7uQmJFjbb+6oS4iYjpdMe9LXunXvcOgulK0tiEwXMUIZDy/KXc6SEBeP1Zx0nCgaeT02S5P2PK
/5Wd5B2htLHJSaBBXw+9B147y7lMCPgmWKlDn6Lm4AbT+qZCMO2Ry0YdjDnm9876hFrBwyhj+6pz
auMmme1zCzH9g+T3cBuU/le/E95BVUD4qJKcNborijAfhQgroiw56sESB25dWmPrFFM1vSQZ9HhL
8PgVLtihXnvGgcZuBPWTPXSxAmvCYgoaTXcRFOqt1wFZmJlKEso6t0dctMbdsISp8Xk8R5Xix5Fw
tnGaNFmhOx0AhSWM8Bt++axaE/pxb8y1eREuViGP0KGT8NgeizT1mQyplAgz/SgsPFpBA87FHUdx
sgKo3bhVz6SkPZm8RCtTjrtmcImk6LLnMkvuJtbCSP8rZwGTIPaeUwCpa9nDe8EB0+0sKhzOQkaj
zrbzB85kPJrl2S/tLmIKAK2mnEYyBYXiQAaCUL1MvqG+Q9BgallCS6CwmPl4ZXsseQw3k1cRKDPN
KdYcjsVrF7XBjeDI+TR1ygNmDN8uJThDhupBsYXe9Y7/oRKBlTe8eEy7944EM45Q5cGnLiKjuF83
INfivHmd+uRNQgtZVS0apBrLsZE+BO0QbWYWLE+NtPO1hVX10UZ+ccby0W2gvEavEhvbAS4xJY1u
yw3uerhLAl1HVDlb16uMfQ4uKewfNLuma0ioDF6BefzIMZcEIDYqyu6uYfbSow5hnS4vqAHZi2FD
MbcY+E4hCpQNWZVH0DwlYG7MMHsP1xjdCtUCnIaJ6wRvRIHezTEZOSr8DTWeY5R+ufVq1ghKKIAq
eYQcWnwjnxSuctVb5YVvmpwKb3rpPEZUmWHtSs63qz9l5AcasEo+55TCjPtwfIjHeTiGVYHhyW86
8w3wnkG4XG5fZh7lV11kAxwaEZC010ftPecCBFoS07KvGCqGz8jt6OsYGvgDS6E0lfO5LQDkMr11
+leJkP5+MDSv8ZTyIbBjGqM7MoKSaTWTjkv+XWX7z4TgtcdIlzPHFQ7U9xGV50sfiajYY2hDNojq
i0hJ7Tgl1SAOy1DCnV7bGTEMqznMR9wtXuxUmKbc+AX8c3NkHUUZhz8HKRr2uINLDti8UmVl8d+S
c7D203F4S9ziE9qEsQal8UlbDmS+jrGbm7X1mVHwsXCbGVitjISRSNub3nmwupiTouSfTU+WwHXC
EkFJaco3hPCLNoxjoL0atmq/2ZkVu+vWCspd1Q8S55Zd7ubBUUcvCNWVLau+65syZzzGTrhRY7er
4kw+9MrhRIvckAeldvn0+kjZS3gnSDm2G2v84v4y6SKarrUHCMyyhwqEw8sVSXwwdfOotMMaMgtg
JQF2M2DvJdm1M5R+YrIW7eoyJ6Nw8CEQGXXewRRTC8mD3Odw4ypEsK4I5LcSVsCwdTKzPrVGlr9Y
nQ/ehqnswdWZfZ+Bp2/XbuCNrKKRpdm1oqp0xNq0Q/gSjY53bBT3BE0UJAl6H0VkhjuvDpIbD369
nQ2/P5ZWad2bQ/Thk0eMA5WadtWPw7tTYcpqnbDeps586xGIb6wq91e9OQNFj6xprdDgberpDVlY
2poEmFvlHRvBkq+vxQt2UqxjabP3Y29+LYbIJA2CMIQ+6Ufk8wKwVdac7ELSdbhzc6ALjHatTXBz
X0EwdHv1ldztaII8RR6OCXznmngMvzQjsEcnDVA2JYV0nlk2zTsiaIKHsRjjXUea33tAKjPMPrlO
/YBg8abJX4uYu6NM8Qa6vh8/9KNv7wepsnwNTQozPlsUNa8B2fgYaIOBriNNkueoN7tH12Lhs7Xy
OEQuapnxGRACJUGIqHoT2tzJEvdFMNv6SU+pOMSyB6mifRo0mA9sEI9If1idLl7K5aZ2aTy27mKv
qxAErCpRm68ANqFj9u3ENGUgxG82xCaJx2FbyuqZzowqpUO65gELuCYjqsEc/dpmSq2v7N+CM4VI
csmoJtEN0dBMca7OEuPQekjQpk7s/q7QeeQXl6TMPDTHXRLbE169zj2kVdWcqxm5aNq35mM0WsOe
JQNjzq4ayRmiaqn3XTEGT9Gg1R3jSn6VhKWgWxfOmdW0uPG36lAfOFN1FUEv12zXCGkrZ9dCRlF5
86WYtftzmoo827N9oQdk66ZPmC3jNUhfnh5mqc/h7PT3dl/djHDeFEzzgHh06uhkLsxvU8nyHBYh
w7jahCSDLm/odzjH0jV6ORS+SgD5VaxU3NLuv2dIB3adkQUHO4RMiJW6svbkeogzPvxDRqrnRzog
49n6gzFi9ZZF/Mrn+xW3crLXDBG4utirg1gRtG062KikfTOdJAKmEwOoGUWErtdhTMdwh/2duXEc
2+jxy/ZqO6aKlWJDVvE0YxP06qJ/R3g53ZKJ+7GqEV92EY0BzMqzWyym/UpJLht25tT/9RTFj11N
3iIwnta+J+ICw2GJujP1d/HI8wsr7EUgBf8+G3mM57Rxv7OB8y+yF6cY3V+1ot8mX8KzxobYhVhk
a5TS5ZvBQva+FHUDmLQQPBXC2JgI5r6OPma9lSaCxCJhUTEKpmb4ZAZK52HV9n0I1W6LMAiln4eF
hcW/PpZgkqEVasc8hzkMO51g/h4MTH6kqr0HjW6++kiZ1VqVg3lm+sxtMyQS+yHDStoEZ8TCOIrk
gGYH1mvZ118YDL3jlv82ouLnGlfNi21F2TGuAcKtuE7jN0H/+aWbiDbgFDIn7NHU6fQaLd0UINvU
o2eBpgdvhiyi4sGbSPYLCk/dd3nubq0qGw9zkQ7zmklftxNtWDo72L5oMkbMMRBPx85A1WevfzU4
KWOJ3ew2D2y8AJrEpWCKEbb64BmWzyrD8PZGra2H0jGHC2RKMB6cR4+IPIz1zKSfPE2tb5kMnYPV
deFb1BX2C4FTKVoHVCtse+D+GIYz7Nt+mY8DRhF3iTUydzKb3GPh1RH63KSbMobvtHJDboKYNKZ8
NRAmtBJjuOkIcr6YPRrfrrAQ+RSzIrO49Nxko2pVbD23/ZmIuNt0ZVDDLEY7+9mk2by1bPHsMttf
x6bw94rTdMt+N78YmXWTA0m1LQhFeBize0d4Zkm/r/W3IbNrnOze6D0QAQGgAzSbf2fGIn9kSes/
4ZXSNxbYizEqKs7GpNirkUR8ShqXrK4wzPq1DUfuyZnYMk5299Yyh15IheR92wvkCSVNs+cqRe9C
Stp9b+WPSPDSi6bmOiR+a2+c0XuFKhRtUC7HlJKeTl5q9Dq3cdBSr8zeSV51DTNnZXgz4qZ4qNaV
PV8bHoh1AU3FJifZPbZRuo/yMTrJHL5PHngeNEASR4I036D69sD5TMWRWcawnsnQ4o3Q40lUCGfm
pGG+2bhuvg7AE75hOkP1gQ/wi6HsR68JXnxdjbcIcfvGDejiSOcNN/koow0C4YeIPSGss+6AkYf3
x/enMywbJq+ZLu5IcmtgVaRHEGbjQ+HGzA1ooi7+lGNooHmyr5XrY6kV46fXgmQ2p3MYsjDyDHkq
6pyljemFKPgDbb5FTY3hF2jQXjpO/iJIE41XHTvpY5EUJ1Gq/sxMAE2II/UmFlb9iqN3vnokj65o
k2tA3CyqYSkrXJzolVAbqzHbIYVNDgCkkXWAFVznZl3tRtz1OdfXBG+jCtnLRo6ZPXBMY5FhJa+3
3Bzljp2kee6t4UcFRHZftaE8gDRgtIc/t7rj3JLQiezphJ4Ap6Yf6uehC/UdxF9gS703PyKxzLZz
HDCS8kXxWFNcPI7dZG1DqPrv4NBIuMM0NJx1TgA0nB3vp9J28Dq0qV5hZeCu95KgTnnzZ6LhYul/
wYM/gZcpmRpEpUG6p0V+ciGjYzLK8pgjc34QsYrv7KJlUD5HxDX5o93dmA1EnxnxhrCjK7J9bAaR
yB2EOk+qdeBQjZrzbG6ZGmp5BrnlQ29LdYZuK2afIB3/sw5850ShEn4yJKSGSJZRlF0nDzFNeE4j
0BMd170to6AvJiZxEpxKs3ufA2W9Mt2I39GnzffMNuxt6AfGdm785EdkOOKRDFA2B0GZPcPtjbas
BWjvF2aQ7VfukzRBgkZ9TaAcid+PQ8j6HNAuWOwuStKfpbCHp4LrlcXMFNzXPgJntBNZfsi7xCGG
JghOfW7bO5KF2SqAkzJvWTaN74xZ1JWVVbb1Sq8nBWB02ns2Bs5T3tOAG+WUPqWl8S1pG5irDfdn
nwUn0pfIbrJlcx/WWnzIYmCsmPLOrAqiaLgTYwNhUJMjsZmtI5xTcIfKIG5wZl28ssa+2eArrnZz
wyCjSnwg/b4lflqJF5xR6FQF3nyS0Ehx66ObojjYsYwDY43Gfj82NSYTTatP68y0gG2U9TiWbfCY
+H65BVRUPRdB/MTtSs0j6aW5fu1Dk7suu7QoPbdppl+wBWDl7aB4O0bWsbOmrN1QI6df/KSCm1gb
QfQ2gPJJFif6yNiB+faMroYjKjbSnYvd79xaav4oqljtvYjtXdvlOLdoOdd+Qggg253piWlYd5DS
XdR9y+y9Mvv2J+Kaae2VoXyaazEfCfolecGa2hVNl3+q0lEx02ATw6tarzonHxmftC5zhUkRWIUs
L+axZIOd67sh7h5I4utQxnXDrgfpu0NNRs0Zxsa+YHXz1A7EfoVDK/GBkWm4bj0xSppKsrJmQxHY
18zFSxrxd6Cc1t7FmSqP5TAGd03SNxgU2pToM/7/Q+KxmeW7xBYwffzBgWNch2AiGlRlhmesZJZx
Bv1PtGJJkljZBHNnlLizvAWKUQZw5ILsPSM5mxUKkuEXlbH/wAIy3IYiSL6mfjvcYTHAh4gK9ZTB
+c84kZLi96yG/2pD638nq6opFsm2+wdV9+aj+/gfv4cRLYbbf/uX60cRV/2fHar/8WV/SxRyfnNx
k5qI3amhkcLjBh1/tN2//Ytv/eaTM4ekXTr4UH8J3v+eKCR/U4yxkVU5wkIdLnG2/k0Lb9m/eTYC
er6jjeDeJrfhf/0rduDwR/k30TlO3z/9+59E6N5fTN0ezQI/xrWQ1nPYMTP8sxpeMliuDDP1Dwkz
0cMUQR/H3XjC/mKTXRdaKIy4fFK64b0zsPkPo1m/5G1nPBUiXja+9dWouY9gkOqzCyz7sR0cxGI5
LLKZpD8xOvHB0qW5kzkz/FXUBK+O5cEFSVlMN6ivnZ5hapa2j0bBWAfpSfSNDmBmCJEUa4i7+EJY
V3IxIn5etQuIAqU1VDQXVcmmQmL5TA40StkAXNc80nc1i/JuI+sJ3NHCy5pNgPxxlboHyMmOJLjC
109Zn0dvcVX9YC9euBtasZreO06+onT5NvqWeYgdB+w8MJc0wiA7eox2W9uB2uBMP00iFzcOUOk7
LUeFtiRg/R5m9dVPYQuR1Lwac9qxJpaaNd4o1iRgs1CN4reBLJgVAao0u79srW07EjYp7aPJjOw1
cX12W+aS5WvlYt3yiLC87PLq0RyT76NsyUOFNLdm6pK1a9Ax7dprza+50Dl/NwE0TpR0jNJ9J3wa
EO4iCzWeht7NHoZMGfuM3J1iUzmB+SDxgVbsY8YIlHYhBnON0pLvaY0m4vy0Se1VSi+3JHp200Ow
WHM7JoVLkAMivt4gkvaQVejjiTPLCJLUWZdg6YRYuoaZlgbnOQk4OiPP8M9D2fZfOhqx5tjWqo32
PrLJU91JRFUROccobfFywadwzSFYJ+SKoI+EVPWp2Gi/FoVG9+f5CLq4AusaN17OpHM7oTC4dcTC
qxUXKyN2stXkwDIa7jYUxyR+61rVXGckN9VWlCSQrkPBBCRiQSM23ciZ3yADoGZpOuYgBbBXMjPE
w5R2Xsld08JZZq2fudvREVhb/UaM4yPlexAdwD719YknzA45ikOa9BaF2J1hjMXPsorzs0vpH267
CaIaaq2aXAb0fe4JODk57qNo2M6i8nhoh/CINZjWUo6s6TFmdGbHcgeiK2BK2M+OfeeZzlvWujdE
iOYmixGet3FziDr257Ixr1k10zLa5SMzlW9B5Tz17Fsn4Ux3sW9DNE6v+djXlyQMSPopWRRfVT6A
PkD8samYpXQNUGzHghLdoVs6hnTBt3iyjR88znRPrCQHGJxdbCAD9B7MpcQtF24PR9TOz+mw+FV/
2vND3mEL9/gaIaq3nLyBB3K3jxWL6c0I74dbx3XWVptgo0iN7w7Dxie/MkiyNtqbx+4brhAWdhZg
PAxeeMgk8DGmi8+5TaBDmjIoGDM7PMBopPpXKL19qI8rkZfteppnc5vSan44DqG0tbvXBZ7h2cYx
OlTuEqtJd1kvZgsnYfYNPqTcMIssr2acqK/+FD5ZWc503rP6/RhkFa9MskudDN2i7TL/7gP3c3bm
dtuIaSs83V4sKqeVHSAaLTIMO9J94ui7hskSWlFP1ikFrNTlksFClu2cCZprTaB6Xnk9gGHze7bY
c7WaAGQH93Y0YjqYSb5xWo8I10H8GDsv/dbP4c8/3E7/N8/Rrwiv/2N+8mBgsIFXSjClcD2ghQtj
5w+Wo4K8GWOIGdcaIX6hKE+slT9nBbM7XZFTChF9iRftZbUFbtVeTRDwb7gaUYPoYVDDKqfC45zs
FG+dKgP/Rghs729DjeqE5zL2bIY9tG74JdPptWwKgSYu4H0WzTgGa7daxPNZPoPjmsq+YcZSNcge
BZ7nfRQqozk2QnJYFAzyoPgMw07+Ok2MXycLOhBOmXY5cBaQsHHsu8m1DryXbI4bAk4ZhTjGzovS
5LFLjAnyV226R/oCjqlRhZ8UwZjvu3AHoL5nSNjuRraXdMYxn2YyIOMhtVSaxRnwdYTcMEkIjSX/
AuYsLWse+muLbNDV0NuPcy46vFSqvagikPsaGxVQdAhVAvg47W1Am1FYAADc7gexPNBW6S62tQ01
CQNmzf6xTdGZ7wHw+f0aywkGgWDmbVFmwpoU0TenkFOJJH2Kp1aM5yXMCJQUVWYkidbUviIGpgbz
Dl64eI1qn5VioODPmfldXDbJeQqFc+txfGs2cWHxzqHQQkp35x0cxXLjljOzoxw8+v1Q9d73sAMT
GxfJQ4Ng8qTMuNiUYZ6Iqwla6S5nmA33nI3MAkvN5/iCnladI8DH94WXG7BJI+fTCwZjLyj9bwFm
gBX0+vAT0AVvqwa+9nWSi23GGyz4nL35gHYeAaEQ3xw2A+wJcMYCta/DlZU3t4zpIkMVa5/l5YQ4
HJvXCCXL7Y3h7IXEbyrd4IbAw8ZGYxM3wlvV3XSpOvkWhbNGm5V8yUKufydFYVuG/rQ1PPamViWe
cx/zUQpSg0RioItZtcdz8T00BXnMtfFZkxOC3tsR+wrInc0AKRKMlJmYoub7EoTE2YJQo5r/FguF
uIq5z0B3P/UovFAZfs8jLe7S2v5REthzTXtyYoVrNjtPG94BUN6H9Nr2RK433FcIqN8x542nQXnt
Q15a07Ft5SI5iL1VvqjghqH9pFhk7iDt74OzhKfmjVrX0CnRVcbx2UmMd7qicJ9Pprgrav9K9ve0
ttPegldoTBvbBRZiL10ZEnsocfhn16oiMr0gz8Dnw04dkm86GH1UCbuyarvrXImGsIJp2rtO1a5z
beEDDvQ1EyI+AoEA9SUm5rksAe9C7YqHlPzwG2v8re0PMVgCL1uHo8k+IGB0c1K+RMdqGZlDh5MN
aFgEgEm09WzomIY4ENk3eUsYkp1b/Gksww2ydGQPo8b9nPXW9K7RZdBM6cn64k49CNsBu/1bTKDO
K852aBgF+/ifQCAZDuSLqYeE1Q7wOtTqam8ATA63Zd3k52C5o5vltk5/XdzVr0sc+yEXOpHYYXzw
fl30bI649KFzUAAgQ6AY0L8KA4bbFAlqqRfoxbvVrxP6v7qPujKaLNvyZ/dX5s9/VzAQrdE/7bT+
nQSQ/I8koN+/4G89lvrNFLbFAA4fLR3V4kP+vcfy/N/wIPO9leOgXv/1J3/vsdzf6L4kRaHii0lS
xIj89x7L+U2QK+p7ZEfiWHfF/xcIyOIbVX+8c/3F0Ay1zvG5cX0l/4KOi8cwNbAhdUeniasdIofu
iQaI2z4RM3LYNnvwavQ4KU6893QqmQl0+m0w/WdALM9O1EJwAwqY6WUqonpjP+ubdktKObtmBmGa
IS9DMneMUA2SQe/bpqFEKgGvMgMCXb6S/u/0qv9n1/iPv5AFMweYFr8Zh7z8SxExI90E7d1Xxzlu
W+qtNEbiAU9wNLe9GnyP6Wzm2cd/Xrv84w+F7cBVI6AG8cGZy5//oXJpMOo5A+MMfmg4X2zXBpzd
MWgjSsud6o9//sP+jG7yHC59SBemzy/IdyKC9c8/LPRtq4AV3h3HOTa2srG+w9Xb5abu/pPfammv
//xsoM62UY5DZSbG86+sKIxJooJ3WRxjNFvdvSOqYIC2TA30n9DbKPH+4UcR1SsFUjDfdXji/+J7
LyN3NCH02ocgmimMYXBHYtuLwE72Zom5ktHZnN080BQRrizbK9ZYEbr/zd6ZLMetZGn6VfIFUAY4
HIBjG3OQIZLBS0mUNjBRFDHPM56+P4+srhIpNWm5713epCkwuR8/wz8wme4SuBlRp8Nv45hegw9I
Z+3IqReHeO30mMkbfRDD15aQvf2GAI4Axa/Z0qREiuv4SjpZj+8U+IW11MeDyzmR6ANDxoU4+5dD
BMA0A2WjOE3Cj4+tPmx6If9R+vhhH897Ux9JJcSxT3B7di2nVaKPLce1r9BpJbXkQKPW5mibQSII
fdwtjSp3HqAxhPA5DIF1zaiL+p8ChJ1uBgNTY7lE2H5wiM6CbD+BzgTpsfV3JWctzVNnPXL6wvxS
sFs4kDt9NPdTMB/hHnXnRR/caWxGz37t4vwzW7gncL57+qA39ZGf6MN/9Lmmit1fweBZN109PS86
VTCnmZFAYiAh4oHjXJ6YvR8NsouOLGOq7Wsm4idJ9tHN/VVONhJTj0fMmo2fslTjLiBnQZt1316S
GHc+9BmqimK0H0KfRAcQ3LJ1dPKT6zQIgduvGZnjtvO8RzcxT4lOmZS3GVH6Xcf9VG99nVYpnWBZ
OtUS5Fy5Tr7mWO5hhzNoJLFLmwrw8aKTNYlOwWGs5NM8GnA8Gtc8L+hN3c69A5MMaa3veSvI/Up3
0Kk3OtsRiOm7tMcNBBaC/Nk0hLOsr9UtuTUmglREL43fDatexnbNpHparmEVjacmSm9Nq4pfZEOt
BK3VXlkhZjR5W9IijbPuuUp7poYKwkbtX6WQn9ZWaFF1LkZj3zKgC2ivqru09PzN6C73KirPqWdi
ejN6d0hIjUdnyOLruMamEe57IO5gR9eb2JkRGsOsVBnZ99zuh0+t5x4NkS2owiK/e+95PcR42Eeo
UCrAOi7craQawRDbyxo/m/m6S71by5DOfRe2rXXyvCBBewUCR40ilhEDy5Zp3lMsMu9bG9kYQoDw
M7ohycDDbjKU2ttV4vZ084E35qhrLUEOJpHKlQdGa/e+UYqGU2LnLQjL2MbnInMX01z3AxbhtMYn
dKFbT80hlJoIiw6ywcDbBFkwAvBFJonhg1FE0wqlY5Cvhozz7tBbftWtI5G2CEakMq6+wuxrYpC1
heoWQq/SU1izVHToVEGLOWJsjpgAZeA1FhLZSLLrYNiKR0ijgBzXTJBSJzPKlyqNFwpGtLjZAW2U
+esQFJrLUCIoJFKpvgq3sx+CCAoHfBP3ke3O6Iw5wBq2HYCTaBfkhmqfSzFE+brksACTXqLkDWvD
d77jbjF/LUZ2jN8lYPbCRs2bBOfDekWOF5UHCFU0fcRggDlhnNSDdioz1D0YofCyvNSAwCG3yKCH
n3GMYYd0wOxFDJw3TTDNbBEv+DUG2vMujlBhgJ8SW+mdWyZ5sluottSWTkgb3kRpwdcHBxLtQ1xp
uy3G1yDPTVct9mYOmXrv8z7yrCM0wy77WWPIEu98L4XKInKFS6kcLA58BLLgnfXRvV/Q5AC5yQX7
CjdeC3LV16KKvP44B1PjrGqg11m5XLmGEN9TN44+0e3sfoxFiQZsFk31p54+HBgttSTHXGcTCiSW
c8kvSDSSznuISDxUkUybtqjnb8rB0QoGW3a2dabSxyEqETp7QXW+3FGWqG+hqJkn2Z1cvlvm8jy6
PWRGsy++BEhIoXGPO0BC0wBKzLXL72ICisiyYxNCxyE/dc2Q2nvfCHijMOc0ARDb0RVyXvXt3GTW
1ogmzJLCserEpvTAPm5FUWTjNVH7y9DJydu5Ud39k+ReZt/jaYuqWkbPYwN4yGWMVMhkNVOxTvcO
3nhI60mkGwYTiYZ/Ms+KngH5W85qjPM22qhGxg8N1iTDd4aAXYP6Okgs7XBA764OaWQjwn9glPk0
Aa8ixWEtWysFhheOcrXsrABNqWZqhzv6pfGtNEA0D/Y0fVJ2T0sR5+ggcpOzYkrKIJrZkLGYHnia
bPrWAhU+04T3MZGjFHygvzGf56DJs7vBL8ungvzhgEfneAyG3DPgoar8hxvE1tkA8LLywMHdTl0+
MNSyEvUUMuPC7ge6NDIVDmocDUKE6TrobPWisqU+VXM/vgTMkXAA8ksPqXajZoDlGbDohe0iPueh
Ypy9xMqFYJwYkXmT0vy5L0vL/ZqPBs30IRbezkchNTtZMOKJCnO01b6ED2WInOC6Tcfil/BU+TLA
wn4cawHVFfsyf+M6KI+vgHMwgI8nRs9GCdw5zFoj/wRFQD7AAqzzE40qlcLjKSWmzrGBrKNvRuoR
w1nscBIa+PukCnSbwkrlc2k0w9lNhXowyyI7FTE4H9BYgfc5o5v0fek5QeKZqLry8jl8dAcDfP1k
hYiGzBmMjBlaixKeewgAwm2t0LGgEYruOGApTjaGPeLG6UfTIEYgPbZTQOhqeHyzRBjFX9rPU2QZ
N2AfQDpNYQu2hPx3gbBlQK3XcFAU3sRQI7nWmIjpgBmcs22UdeVV2009Voy23TrnJhmyR0YkLDoU
QG1NnhwCewM4GmK/jwEl+OSg7wK4p8iDM3U0Of9wNHGLM+gtY751XICIZ8OcAc5hUUTz3QAEpzAj
Qch8UzE2DTfjmFEb5EaKKFysmMzvw8Z3wlNcoPC9HopxOFvwTsIrWS2OeRqTZAE170MBAI5Q3vvl
hNfIQmetv6et41RfArj3E4R1+B0JWCsfmYQiZcv74OUhXqN/kaL1hGN37T8EU+6eEzIXkBL4qeNU
VccHQy72wXfUtKlELA6cZ/mtvTBhB65D70NGwIBnYGUbI2mXUxtIPFEKkJHXMfToel3BX8CuqR2a
n5Nya4r0meZjb5s37TzS0W2Ce5MNv27aONh2LsCoNtNWu1ZfX+dJHH5OWgyo0naEkYz/Y/iA7TCd
ArKbgi9cQqyZ8eg4gUpQyJ9JmfgHYMaKz0qjycbZAgGiO2QmzVvVejbU0sj+LMduqvfYn9DwLN2U
sJx3rku3PcGNHN0y+/NsDfiFlDMqjVufttE/k52M1dFCHvkqEkv4zDFHsAyaERjPMEb0vWn84w1D
FfyjsnL/egZUcrfI8q72rGnfQglZZT4eiE2xOCfI62pT9M51vWB+Vgisulz8hldxEVyPsKp/cGAk
/4SeyJ4rLAn2dVpbeBfaRgofpQmQ4WbO8hyGBSkYfkVYuWDxhcEeB1Q1RR7Q8LhJrK3JOGxX257G
fcDRa/bg0sPgkxMh0dMiDsqgY0JRIYWDuqY1V/6s2vlnVxvgbDorxp2mNIVTAyHOoO0DSEk+FG3/
oOJ5UzLiyFGYJWoNR4mnRreynba5KjIjeXi/WPyzhjN9JbXCtHA9Jqlv6nvEP4syoK109KYGzDmi
B8m6nmvp/bs39P8su3VZ/bpW1N/Xol406UtQo/L33ypgyzdEB0WhPy590f9I9AnvdgsVQTgrLOQm
I41/ZQOdQHCzuVAfXP0i7/368jYC6OTvHNDCdN6ODkLkYhMH29ljJ4H20LD3EfmeovCEYLiNSbuw
RbvHQIkMu4rG9jYde1veIYWyJgREz/3l3K0sIN2wEILlMF1O5uZySv+HH8RidO+bPo0d6mrHftOf
wP8mZKqFfmkaRbT/Gbp0d1PJFPHmP76OzQt3HD3HR5n6zewc5ce2DsM+OhYBadimAeMbb0Jsla4u
1/n/TcGHuQJF8eM5Z5YQt10T/+x+7/Ex7KZR8K5eOHKEP/Ifxb9+FM//ukEE9elH869jm/Gf7V9/
6b8bhvZ/+SAomIXZzMHo8/Dl/geUIUzXRtLTZzOzyK3/lSe0/4v/R/CtpZSeyTb4n4YhmobgBl36
e5aDMh2/+5+AMiw6n79tdI8ckHEAd2ZxZ6ZDF/L1Rm9b5sVlPDV72Lw2ZOH8qahUumUgDDwsQJmE
Rs1L58bYmPvpExRh9JvQJF7Xg4kGa0l6rYp2E0yjs0ai6ctQzsP6/ZX/VkRR36Ky2WI4yPBGaLG+
vkV7CECTpCGIqJwuOSZMGnhY26s58k8DZrvSnm7cFtvZUKBUxozpo2j0RsXxv2+AqCt4VYBo9Dv8
LRji/lGpUWKNdJGdtpdpWFdWpuXLgy1sRuQHwUngk9xdIbjW4yLPfbz/Dl73CC9fSbkM4i3p0JhU
uun8+x20EJ6bLM/qPaN+5nWW99BHzk1cFx90W6X+of8NvP/3Qi6XkdAxhIYk/X4h+IJtN89lvS/K
oTx0YefvUJ57LKFe7ZC9BrXm4j7JJNImV8A/E4dgxjOTODsFdEPwvMbWRgviR4up6bbB4vveThk9
6X2x952pOfYAfPcNfYitUaHamqYSTJ9b4fjVDx3djXDZBb24q42IKX7Ai5xr9xt2NUezaRW+TjXS
twV63IaoGGI6S/RpDj4vQB4ZMC8PlOjOTk4jJuBt+mLZS7pth+ypMNDkyjC2X5T/i1L+3l68r+9/
odcHpn5xbAlT4QABQUni3fH6xXlLYTLPqau9w6R+G0/zNwCbGyUb+KJCgHqIQp922uDv3r+u0Kv/
9ReTKJy6TNhtcQkjry+cV75XgRdM9ooGxxaTv+ToqaU7CFEJWDJtu4m9ZViXjXCu85kNXbSYOnqq
4IPijIXNX7jrVeuvHY89ZWMbtvEDT63Kepz3GcAaED4Cq48Znc3tB/cu/rx3F/VVX7GqdZ/9zbI2
e18OM94+e99iol0bjnMdRtC77cG/B/xfblOvy/Zd0OU31GjHwbaOYwqxFE/fVZC7x38HIDnRQj25
nsvsue1RUzd4aPr0NoUzbkN0x36+f99/fmvpkmGAZiMgkRxxavy+STq0r81m4LZHGn4ArYlKygTi
cnnRjVvhhdhjjowZnPhof/7lhQk9WwJKZ5mI3r6+Mrh8Gml+A7FxQDRsoHO08lEi2Lz/fDqXeLOk
XJI/XwH3oYpy3yR/RVZBC6yzbB/NXrH3mjq9QoX/6f2LKPlnWMUqy/cE0EeLeZV48/UxicDmmEoU
G+PsJfCCJlu5rQ+/q7BbNKDZ5L4xcrYMOBEU1pJe5U72YoVwAfBFAy3eR5w7KL9YEr8CJJ4M/AhC
85C1LPI0GbEgNZHZpCx9MFwEpk0I8mKam2NMU2OT4lK0GlCt3yGvitMB8gHgp529iVA/whEQCuMa
+dsSYg8+kY51MoFtrZIeXJQf8O9lDU5wXnCRxJIPOMA0GVqCrFxRWiKSRpcTuFkld0K0X6YORURR
jYmebzyBZ3hyEvuco5RwFQCdXkk7eWkEsw0U3KBc+cXBmOAn9q7p77IyfmEajhcRppMrKiCIpoPP
grNY30XYgnGosifMPCfAB+HneqE/NGT+Q8TiWBtdyn3b5yL2sc+JBsYSonu0Cnb7qKM31jrt12pC
8EsaUHynCSndVHKxzE/kD8DOhGXh0eMd46c2nNTGBnqyDt2sXsfC+V4gsLQOGSbdDyVFfhIvHMSL
S1M5S17wFkUtPewADuTcb9h1941AlDHl9Bzt7BQCpAGfQeAe+6rdMtOHeYefxjpvjEcPqfWNDBp/
7Uc2OkRw/aHI40jIFoNM78RPtuRzoMBDHxuOGeOQDoKJzE8OiKrE8h/qljlN3Tdw5AOtEKWhN/gE
SWy9+TRI3N276DEg7dHfkmDsA694aswW0GAP8dvwsnbrw5qEs0KwxIwS+AFwhbrOXmg8CWx6h2sI
omjPpy8ZevT7qZ1bdAN40HbM6fPZaHGyAmlXq40wvRuU/DCzqDkDsBRGOKevMdaoWOelPjLnkvwq
tbjUPKQvRohfh8uXpWR/caySP5lItwwpziQFCkfIJ+XtZgrClxJmDkLMRGtE4BS6LtCfkWxcRSkn
dbbkT4jRZbe9b5lrGlHqn1ZkuyWJnlzo3ocIPte1i7I5yAmekfT0hEYIuZX+MGQGNyAaOzTZODwu
a3ceWTYmgyrAnxiFVlH8pKBKr5zQPtvIuO6RtHhS5gDIhRVudWyNy8JtFu47KKadN8lia+UuuFH1
UPkkMlGNvstlC+SsMCrSM4k7pLKB5FPSFoLZwcfqY51tGPxemTOMURErCBUKvNtNtkvVl7TYadCf
6JqhVz0G8bpSLNoSdZ/LjXO7ZDE95KrE4ExjENtcC6dvvzLngE3fIRqHMAVbzYuqT6Xv13g28O1Q
Q0m3S40MkztxT8wLV3HnJ+sEyRYwTXQr0yDZTR09jJwAZrQ6YHnAKheeg6WLyoj+wIAXz1DEHsuK
fYWCw0vtctdBnTxdwgXsoJduIo9WA5GgSKjnk9bVlqqcIJWLj1RjAezvR14ixQD50EI+RZbsga2x
Dgqm/imjYbRJkdfHScFKt+5SPaJQdbqcTtg/M2QKeQOOJYMr4SYvKIQFd0hW7XKSJNSwF7ltQGaD
fhMb4ukzKEMQasxaNgVJ16pt489tyz6WBr87EGuB0fBCJmffeNkTtNlLOJsLXkSUuTeXoNQ7hBcY
CY8JvVXYAu4NklnLoYbhTb1T7IEFTihbJE+MpfAwtyFpZAMf91JNRDphcWMbmRSOHbf0bi5POM7p
i94SNAPP+ijwXHHuKm7s8g0q4d/EucGwudB6UuNJgZDUji4sG0BjqKWiu1VazaOZSOvkNMlLWoXZ
toHPwhiBxXiJdAqjHeYU6qGcaYdJF7swosl426q5204G+zdhZyI7tfCvFDNowOTBVae/zoSn7NpZ
ytMCWxZiJPsQ6ePp6hKJ40knYvRqN+jYcmbQ7QXypB68rNIuOCE42mZRE1LZ/BUq2MSq76sdTV3s
B9I8vil9hKuUU3H8tEQE1jA/r88VGx3HVauT59R1zhZ27Lhgz3tM4tmIMy9Sr7AJJv8qqkjTiTS7
YeFTjSWLDiZwtc4qllU+EH3UwKexfRIK/XXbpHnEoAlzpYioTxVU7OuQH6wRHdtd4m+moyMjuGIP
nN6mQV2WhzqBT6LPuAZFjFUYsaqdng3kwadzXe5a1IQbzSDeXNJhzDCybQ/d8pMRZPNn5GHKg4eE
9sqOSK7MKQX4xlopuvwJ04YXEIYPgZnMHBhoMg8Dr1qfNozyOBg7tkDQdOmnyaMH6houRKYB4x+0
KFLQWXG/Qrag3mGAgc+u28Q3Y8xbdSydn+PSCV43AmhecuDNXX1DlKyvYxkBphkLe9U68A8nO0Ja
xVp8WNuj2pYl7cQETBjz43Eeoec75qEBJf0UeVPfkE7LeDdYFSZPKqZj5UWkGlP8UtblI6Ik3W6i
svpp+OnyDxqk1TWus0ByKsZMRR0izqNimvKW9QhWJV7hO1GQEduIKgKl2Ng2iiQAp3cOqvtAYkKd
GlRDeWycyLtD9BS7LQjlazni55FqAx+lC7g0Ik+ul+bGtvDF9uQE2NEPn0DZo3HmCayIU9yrBL5E
u3Q0l+sFVc1VVRDsdZlXeswDI+ZTCDu27c6BjnXwjby+iR10WqciiddjmXVbB6GPdYvAw2rKQkmO
AoEVqTxO3pk3NojmV7KQsHWDg2BLXeATFFSMLT157Pz6MUPgeOX3qCENtjt+QjpigGRst3tgGehV
JjLg8mgmFFqEVVo9v70UdIYtq0f910GHn8laFo6/0q6JDnmtgs2IiTCeTO7PCkWnJJx/9rTW0RiO
CFoGrMUSnUp4S2itsBrQN0qR/QO1M6wCNAQw3BQMt0SMEkWCYqbdAj8aQrkheb4zEEUyGgJAy7gt
xI5oq0K+aRh9MsbmOi6Jv3IYP0OguGrcTK1UnFeEcuNX5bL4vBHmIwMisU1744fTEXWT2sLLZZFn
HJTFKmnMU2PYKXpybAMz6dtNE6P2CgvX3LRTzq7VlQ/yMcnKXAhLcR+/WFPpo81A/mQFRJqyiObP
TE5r/YWX9ZhxAsnCDV7GxADFYansSwHPhVmn+QhtDfdcq30sAloceVo3P8PFRwzHKPrt4nrdPi1J
gpnxLvBPyZhMajgUWwxB4NJxXBrpyTY550KCAxPYbotFMoacVcO/0hW945PceTbbVKHiyiFjne2J
wXdWxAxP4FswyWCJUjDv5Tg+IbEDIqYYzhEz5G3g5/D3CgT0Fo4CfZ+DMuEAEZxa16Is5LReMY5/
6q3oKXXKRxM0DiRC89wuaKF1uGSuAfJOV5YVIcli0ksFtX/HpJdZpfWdArLemaBWr1sEnD73Rvot
4UwLO29fi9lHO4GgJsYkRQ2Cu1FkVZCJO7JrHU4XwMpgcDnxBoXT9uioBztOnyoI3iQY091C154s
EDZxQ15jWP4J6ohL3ajidSdGVEumHO+qEe4g2hodRAG43o17A/YoujMbq/p2cWQrSJMha3rHTLLC
0FA3Dkgtgj6aeKd5NvKepae+lHbRXIdGPD7kNSOnrmG5Cd28isN5PaYpFqKKuBa05DlpHU1QSmxU
9lxfB+mcamUYmO04bbfwsOSYYhmqPchX2A1NecCWeh9AhTxafvJSGNFLyGnfMH3ftoVzE0Ky31xO
dHRBUKMj3an1Wg1ZJjeB1Coe5AQU19iM2eipGtww+CTOzGIuM2hJVC3LRIMIV5d004fNY5lz9DBH
Hm/Dii3FaISPXXTFvkNy+GqmM4laWzbdpm6X3tf9gMGCyVQ/NJHw8SKyOyp65pysyaYri1MMhWXN
VBlhI+Vbp7DiMplgDU+RvQC/8aLnJkaKiq7FQAcEdQ1f0657g9Xkgx/5kY0tv9LkLyb4l6c8GIpT
xql3Wf3Um0CfkviKYvWFJgRPlbn3aor3ri/OCORS6gWcXEll/NKNKkcu9aEP/eGTA3MSZqc+A0PW
Zw/yZN2SQxEUwurc+NC9ZedXa6bAWMyZ0c0cE8ZoRqb4wwsAG053ZfRLTMStwJkty1bWXF5bq6OG
Q4IVG+I2azC37yVWEUY0WhsAXP6O1c4Rh1I2k1l5vpy98OlbVlLw8H7hf8EZvm0vYKYoYC+ChwWE
8rqJMSQDqncoK++NgqIzhXqNCEz3WONWuU3MfNkhwpLyFHzlbsnARQgwS2NafXHqrwxIH0wVW+xh
Cl2dZvSeaWyZlT0A8b4zxbTACccsFje+fhONJmIv43Dn5gZGhAqjewgZny+NzEuN5FniGff6CL56
N6ydzj1b6YKTiNFZJwGG58qtpvw0GRYJ3aCTUo8aqLOJIY2XCuprh9zLwNPgUoT1lq3uYTckqBVd
F23tr2Wos8AIKxmXmnfjhCo4ppY1/ectciYCTD8hkbp0Bew3Hakki8Hks1P2QUvJobwxuGp7OhKu
IOnKU+dLfAm89PGhIrDd0LDwP2hR/6UppnyGGS54T2Ypb3t5tlI1yt1pv088UMStWKJD25AnRS4O
BCkiUmiqwfwD+WZ/0K56gzbVvVcNotVzUUCtDC3fNJLY2VaPfHu/V/U0ANEzPTR8DOs+HpGQk0tV
fe8RYt8iT4kQO4ru5ZAPEMLEHm8/6/H91a07cH8sbtMDhK0pT5BnXy/uXvRmFZVjupc6COiGgUR+
ZOW1U7dtHHlGG/+j+cSfPXtJf9TxEPii/Uzi/fqSdtFBo6QpBafHVtusntW2BrqytbLyYWqbYYUo
5ogzcpMdUFLKD+8/8F+ahcwJuAEfWLseZb2+es5LtbFY7fa1IhlDkQhjBQqKD1b4X14rXWZEEh0U
Av8cU3GaCijPTrdHMEmu+wV9jyaZvhtze9P62be5y+IPrmj97cGYQrNwES6gu//mweoCKxzMPLp9
GCftddDRMI/RgjoSEmjljOoh4vgE8kj3TLjhUz5l836YrApcTo3z+hA/L9mX99+1BhG8WVx6jgis
n8VOE/jN4qoMPBF8s2KPpcn3snLmX/9OftOEHC+b6g9mzheY9uvrOQ7LWNL1h8ZLYf762/bCM9yg
SNu9ir2bhjm4djwotmUg47VJ1ryyBveHzJLPlZkfcZH43GiRxyEegVOnz50awcQ68fLp/begp7Jv
XgNjcAFbgtVmW4AEXt+WrSb0HWA17nN/oE+TkTy7NaGmNxGI7oU49mV9imiSfYWIVO3geZHRRrjJ
xqgxWc1EY4o8Dvk9IVZxWcwkGfbNCBxl1SXJT7c9OJ2J1LckBem8o93aZ0GO04dYHuZhn2yNLtyi
UJesvQXuT1cwW9JTxxQPXWS/Ue+Fu5ysW9w715mJwSIyhvnaDFDUBuHHEczY7nKwJYvZHN9/N+LP
d6MnyQ4eby4qMbAvX78b3xqmjsJQmzlQLsww3NZeFw6rbMzpi3kAkOYIeTwwfBJPl8G8PCatVawI
6pKE0KNVG3DSIbeTXlVmDyPBZEo06LwZfCYCRXm4fKIlgXyQohMa5h/GMygvb78vgqKm0BwFpAkc
Uz/jb/NWehnE+YZkk6QUPDKuLRt6amgke81jL1Dyjdz8BFiiwZ0OiqeRxbtmNKsPDjS9mV4vfug8
PstLMLk3oTG8voscQdRqwDFtX83NlRh5MYKVEBeI6H/wzf6MNIwOAQ97THg9Aazn9ZWYggS1AJC4
Dwq6ggl5jwWPYFd7XfGSLS0dDo+uVKy7y8BzYZ+lDTfTo5Id5EBcxip6EpTw8ci8ycup91JKQN5v
uoWKSOuE4p3+9qmxmc3b4LUPBi7DH8zy/vbRGOAxAHU803H+mBwDZlXCWqJqH7VQ3gX63gDEpmqd
t2SdMGjrrT32z7pemlPaT30dvcy5+iBi/RkgPWARzBNtYcs/j4lM9K1XQQrfm7L8ZftzveY1cLGs
Eetx/uhq4s8JlufZlucz97Ut07sIXvy2UG34lYheCCidJFS7tCq1aKl7XFqkLHywnTRwSaiXjiEH
HmeYWy/lYzmVKbR4kntphk+VsuZPYIWXw0DhvUplSmWeU9mjKj18wm3j9v219uc5yh07elDs4U9I
0vh6qTXO5OXtxNYCgQuLpq26jYHZ+bY3qZ9oZZsas/zB0PIvCT9XY0XACQJl57zdSRmpw1jWaAQi
i8QSLm1JIT6JU1LK6RDlHf1UdBKoaHuEhiL3GkbU+dIzpN9ubNEQNzdI//v7gEHRpksHFN8dG829
MrR2NdlsZVNiRi5lt+10j2Ih37r0RAqLwkkwft51no5msUO/Vo9f8J6JzykV1Tov7eggURffh2kb
rWMAk1mNTKplMNSrLFdhGpJDpPN0Mg9kd4/TG6LUVHHTSJ/kMtsoMwlDI/N/6krYjTsuN5lMKILv
tjFhpVm1uC9oZ833P6X4W9hwbQmAxxXSBLPx+lsi8BhHjSRsQJ2K7tKcMaZF+bITjkRkgj4mZyBF
buyLJ9rmdLMdPnQxwrsZe5FtC7fBK2amR3SJ9blAOTaeY6j6sq1QaOjEt8toU1aWD+Ynb65yxt0Y
e/IR3n+SPxNYRXwleQVxYgL3exPv8YVhBNt47R5P8Vnj9YtN7uktIaPhGtBwvvbVkn+T2PDCLx7S
D85MLYvzJtLjzAKoDswLWCPrLb7HV1Pqj8g47M2MKVopmunOSun3K2SlGHn68ktROfk6tqP02Fvs
EYRZ6SoY9LFj/b+ctKg3venlKCyxTDm7mChpzQsXB3HT6q9gWj6Cn8fRSM8faG1YBn0+gLHbKIia
R6fS0wAUSpgt+Wpv5rrHN+l2LnaS56Ye5RczczYVZqDNgMCk4y7ObtaYF1QCcEj0GXpkhvlLtkm2
LxQAm9Rj3Pj+R/pLZqEE2Tf6uj7lluPqt/hbsIPgkxYoGJfow7Ot9IAAVXtGwhYToQrV5u3S4WMQ
pstxMlNzBTiTvk/8heEBaGM9hlnMHuBU49trTutzpuNbjW1ZsmAa2lXfCib6qK4zi8BgZt6/f/d/
xj3Io2QU7HuTMvVtjdR3RgXMOiz3hpJ7/OuYmxAq0pl25KUblQX5B1Hvj+TZY02Rn1KUAXPgYNe3
9Nv7iixMgbC2Tfe0tqvVXEFvjPXk/jKLaS+ft2coNBBfQHIAGun1GHDoEAC0y6nfNnWDJh5glhVQ
jY+Cx9uD8nJzDnkt+02jhvTff7s5d8bRy8CuHp5fbdMa5B5gDzEF4Dsh5v8Rfu0vl9NbHKSSDRtU
/HHspJXTMohM96OjV62Xn2aDhEq2rB1qx48qYvU2CwYZLYkoIDoBssFCfbNWo2Zg2tjE6HxEkXNC
mFQSC3FFnaS/Y9SEEOqYkpHERciZQRqKdjCsPcsyihtZSu/rKHPkRob+4Nr9LQ7h07Z2IfjLcUAG
gj2KX8jUXmeqKvY+DnuoVxXxqbAxs4I2w3Rz6YpdG/Pj8dAg4WEY55h2+DHpC2tXJm2NELzIN0hN
VQdqGBmtYaaMGxk6ydq0IyQAg3FHR7LGmLWWexwW7CuwHAYTlfQWVzecYYGD7T1h8w4RaD2hJJFs
Avznbwvq5N2C8AryfEptcCJCUUIYT5ZG21ljDUGIRG2HtHqy8SIqtQDLDdqG6CH05NwLEkUBg980
h+nqEA9WZeojaprXBYqtMr7qk2YYQVrA/BvhfOxtr1YHP+YejCrAPN74p+rkbRjFYoMDe3uNaOBC
+2exvvda+bnzUueDjWa/TdQ9rB5QFQNES1Qyqddfr2WYpI1vZJzyICgUurbsMTsDNYL9HpNtcil4
HuZtVdfFPqhGNCOXWSJKqz9gmUrYWCjMgOwhr/eQy93EGQqTIrF3CujhipMBYQcWEBpQKtkoAiR+
z02xY4gg17orsVP2YjzM5ShPvv75pOxuu0g8OB5ok3FyQZI4vb3tm7w4iKRVHzSc3h5ewP7YUOxg
8hgCjflmqRM5wdDX+PhFzbJvItyUmcT+Z8HzcgkPhKHjw1R3zDcvmCrMoREQKgADCSq3aPqsB+h0
m7RaAIN0ds27MT6qit4mBVyU2ClJbqgnCBtvIlRoKDdxo8ZDsN1D3DhEyLNazJqxW2oBGGCkZ0Cy
OJaNiQBkl7YftLWst7m9hwk8CbIggaefSsfl9aqa6xxdUy0b3ruVwVweA75K2MsmSfQFEU8+Vj52
ykS7B9oO6R6PyuHz++/9goD7vQS93AMtckEtA+hXA8R/j9JsG3D+DV7Z8G+NzTDX7QE/UdyaUrNF
6XqIsTtEcvXHZC7BDS9S3pRYJG6KTqh/jNRbNtHgIVkzymTX54t6NFvBq6xbsruo2uVp1NyPSGEd
ncbjcbrIO9W1dE9eNdZfRAgqYTVBWN+Pfndn46GzilB0/CD5cnRx++oZSWBR0nBR6qVxzdn8+hnn
uHO1nre769lVp9Fupp1Z4QfuD+VwdXkIv4+yO3MMvVMb8QcGjxg1YxeMBSHYkYUUbGPTi0CoLggP
GCwq5IYSg31ttsdpES8VWIwDbHsgZBhvbbAlP6cit7dVgzIcNOX2kNXoG+FBofbu5CED5eCe6SQJ
aA633mYQX0D4lHrGXiDMgIvCpgmcVVhF+AI1dYsu36J2lTsAsYjC+9mA6uriUXw3L9WXpUlsglB/
5YyYTC9QqVZhHQ2fcEfoHo2yeH5/yWglkT9eJ014MJUerWD7ba1V+X4QL9RNuzBt6J30RrP2EJuK
w/GfPJeo+fXS2i0d9sGxOwdrQcdrnTiVOqQqwx0kpnuFuyKinz7bLME94BrxH/NHPSf4Giz+cs2v
uKdhgG04GbI40EjqV7x0TBnN4eeSVP41VR6+yB2QPadrYW2JGnn8RjRrLIa+oBvQ73DheICp2Gyw
5fsos9FaLm/egEXNzY61UZiUtEtfL6gk7tD3E5mzswYObwVH4buYRoZg3Hjwf9g7jyW5kTVLv8q8
AGogHcCmFwitUusNLJOZCa3doZ6+P5BVbVX3dt+a3rTZmPWGVmVkMoIRgOMX53yHJ6hnblTlEdE0
wBm0tEJDiNPEJ2yiYFFxn6/TmFzagsClR+DayDsSbrts7ggY8khp2ppDzYUpIm3dIo5b6y3XyCQr
EsQTL8Vx6YF4b9VunIj/NUz7fuitF1szYDb57n0YJ5/0Oork61adCqm5+wjRxiUiJuFGUk9i1vSg
I/Q57XgZ19B8R7kTzAZ2Niu/LYtJLvSelwTWbv3NDOc/u3bYXNgMvTn7/qkonMYkZkfJtQN88xu3
gXez3CutApo+GFH/N2Nc95+eXDZfkYVCjUkunJB/FDMXilmVriQnLHIqfPOd/4KwLCYUgcRJfS7G
rQVN8yoWMj6ZXsuB11J+GQMf+tg3VPAepke2ic+9H56HSFzC2em2BiqfURwnSHLrhngw/gSSV/7s
iny/ea35XJctlOK1OXA3U7Z/V10z35oVYj6DBLcvo6q6vbK4B2qawnPa6WKTRVa0jZHEPw593t6x
8MdFaMb9bZ0kM0RDdBqZbTDiEnOziTRaG8Rc/oGN7K3EH7P3yVNkW+mrSyFKl2TVqr8MOsdyV2fZ
tlveDhtT8gbaon90cOyvu57HjBb3XrFyTDfdkkfCXSi19MrUK91mtqa/WaFLwnNvsM6OoWhv/bZg
7NxH2rbhgwSCaCyxjiZpAj03xPw3VcF/crVwkTCL+UmU5Sn51/usEyLPighVLB7l5Qzh82trQkXm
ygb45nBD/Ouj7Z9fj60iinRKLBp1gMt/fT2RlSiD58rZ5gW40r7mbkA250NVT7x9PJOA8K9fz/jn
wpK2zYGWa9Dwsszzl3f0pybJQ97WmFFkb9ExkV0+oQwFGSTOScEiCkRCfBp9O9lEndjWAAb3bcdx
IYCxEQDNze8OJauAwQ3JEOK/fMWDSu/5qvXKXrJXQD7XDf+URFTtXdFxXDvl8nB3QqIL5yQHcVa9
T8sxEpVOiOKai04Y+Tv6xWaTClShaQUqM2I2+VB5POxm4qLyPs62bBm+m8qv1vPgfGdu/m7GvHdN
J8hu8sL5xFzL3AAEZLBStTAAuNYB6aW/Hq11RqnVelFMbCRBsH6B4N5A5LtE9UFh93lKxlyCQOxz
/TRIW+4qsTxNQeauopq6BPMmj1qy1wICtmYiyjk/2kJNH+XM+Zb1XOdzwyWetW23RxXPsyfj2O2y
unlKEthHfG7WJm95QzX0B/K8edb7WswWYGrG338353onqkDbtq5GNw8gT62J0mxWI9ICSAz8DWls
dgdiQ1xuFo6LBNDMYZTjzIc4Erkkde9iNCzwVc7/+jLy9p3LHQqehO8pooIoQx8Ob4X4G8233LVR
114lBiqiUoYVzwX+mZpjpNB9CEape6PbqKkSOzxKPty6hM8ud7xdPotHMbk/CvS6qyy3zQN3Z3/G
U2NtOMEWKv2E+7zJKVkSyuift7sv+PhQmvIKGk+B2qfSiQs+/9i3JE07X8fPq/1/zPe5vNCPilVI
EiHr/befrDg40QvG+i//QwwJD+Bb9dVOd18dEJ8/CNLLn/x//c3fwdh/Y+nEr0ex+X///AK//+Av
onaQxO/tn52bv37gl23T837DFenAmGJA8heWtmf9RqnK0b0UGZZDDsZ/2DZN9zc8mUzWF/IV4ybf
+Q/bpmn/xk8I6ls2JD99oP8d26Yn/mHCYZu6R9e7DDgWd7b+s6z+09nUcBd1pU/Mah0a9kOK0Git
prg8jhg31z2sGa6o4jXOCgZOpue9JnCruOYcBbmDX+xdyerrEld29pzGcXKFok5cmDO5ITWzRB/Y
mVSti/pMPJvzQBLMgIbpHGZkGiO0JYgz8yexi6ion5GFVN9z5crnGFEeln3LlNfC1cYbUjHywO90
bWU3VbYddM88jsww7xQo6pPdldURjhU0OQJXD1E/uSOPVW2J9JhN+1TLLj2luY+kJfHs8gG+1Kwf
OF60k57yQivHTnuijgQkrdgpwkdQFM2ucDTnJHwkoE1SA4VMNQ9QdONOyVM4evpj6EyL7N+K+LsZ
tDGpz1OGbGA0zE9/cVQHIi6qY9uN0dbpRXY1m2lrB2mnkrNepJCFW3wXS/YjWIFYWO2thmTYD0AW
TLc+xvUt5JTyUno2QA/Uh3EWmL1TqOsIttY3SXXaXWgtEvs8CYd3uveCQACNECCURFNzFY+ZQxqR
7rF2CHFBCTDoRKh38DEPgnCMrZoIygVABNSE6aK1rZVbnWmFnUNqGNChgVlb24Lwpr2pHHTPo/Ud
ywWFK2LKV5Rodrtn9odRFU25AmYudb7dWPlmFsweYUwdcRREZ5UuZa3O+pyS8d6pdHfbW1b7uUgt
Ej4N9CYKfsqPOjOGV0P24ghmKDrB+KluiX83HwfGJJfMyVDhYzVxtS3i9VTbjKTvEhlsk+hDZyKc
I7k1EzL60SdTo6w3DdN0QPCVXRxhq7lnm6HzEX0YvC+ndk8WHo6NIZTzRm5kThfhwAhaULr7yiSe
Npk1VZPABPw1SB2ywKhb4muUtiSNuZknL07rWWenIcZYNzRzCsKQTHjVzWYRlAMfqdcKQt4MzScP
JFK4mjK/H8/h0N2jdAnf/LZEmpbZ9qtLHM2JLVq+j8zWXFQGhn+F+Bg3iuOW7IbqHhDVqgQehyvZ
B20DxJgEaOg9A8w4r5utQwe8iXSQxVGQTH17p1GhMnZKN/rAg92pm7e6JgAzFFWxbmSvPTV2O64Q
1h/1kUefq3gMOZN9LTP0uUxvtsBmY1Ae9jN9xqZQZretKpcJ5OzGZ1v3BgK6mh+G1jZXPEvum7b+
9pMuXIXIB3NfYeoBgIfyeLguoBe5Tm2vjFT0AV5Ick6FKmDp4uZCBueOYjuYZoZrs+jIbLXHibCs
bt6N+uRCzU9RYdMYrQbdGjgQitha+6hjzwTJiQ23Yf8IMKq8aDo239awKsYnUqlbKUAvBohHWxZv
OurEINJG700ROU6ilic11i4yin8QXqnra04Tc9xU+iz9ozePcbyzFB9O4AL/GoEGMnzb8kOOHlRW
BLF/ZAOtnQcHUfhqwCL0CcBMbZVBU8ewyeGykOPOKBx7p/e2DnKuMQ5GS1JtP+j6rojsIgmiOQwf
XT7alWLjHQxMabce6e70svHAbgYXMCOWVKrtBNDmQhyVfu/ByH3zjEYgHU7a/lSYZnWw3DC7CU0v
3OqUcd81AdmSdE6HFMBZ6tMWt8u4wQMzsDgxXW54q1evtZ3r+yYTQxT0c5bspzABalJlEd0tAP8L
WDyBI8RP9n4TtS+2CasrbCdyokMW1AUcwU1ul/29nrOI0nKVHd0CfMjaTIkRRfpMHCLxwTfMuFjV
WLWtPiJCMHEN+vs5ck4ExExnqWf5S2tGHRFI417NmXavapZyxAVmdxNz7mvR6fO1iUZk55WldYPc
pU7kAcbQdKPLBEuDa/WPYB972p8By2E6us0BAbt2pXelXp8srqbroW7zM8iblOk0DrajPeSvoe/L
V1fLsqcmUdWFjzm7LbLZfpMEf2dE1OsIDhrCtRlAk1wd9xObZgZZ3TpV0toMHp6qjij5C17xcl4P
oUo2tk8ixDTbq3juHcQk/Xxq2c4lhMbw1c1Dlm9x0s334UyqAIKLKHv2IDhvpnqU1wUb1qMLY5z4
x3yuQSyn6WeTxepg9IovqdCc5D63I66y5bXdJLFuWBWY26iA8GUatfhhDPG0EzCz641XmKCUyxwr
A7lXktk+6UFnl7i0Jc063/UDj/u6bbZGaogtibHDXex3YOClxmbL87zs4M9TtAvtmM1kGObPaPbn
R2l75nlmE5QFhtuYRzIZEKiVMW5qeodP9gnZWjeG7APfU4N9jbjux5GcYDwylB6QxpvWPY+1l16w
Bkzo3Tlbnbh4t7oy4TLO0qvUbqNrixCpKAhnmNVBMfjZ28B5yjQp1jFyTVFZ3bq2Z4A5bRKM+ozz
AbJXhTriuhRPXZP1j2NqfLaqquZdEnYawWskbbp+F325Cox6KQhyCyaTeMCpA5vBNsYfSa6xzKe0
dYcHl6PmPRzdhEPX7BlXEXYA5c9luvXowsb/yi3gTMqC71TEqNjrQhqvcUp/vG/TxrqWDSzFkUN0
ZPa8eIHT41w7/YsfRh9+1O25tbwTIscURQJ7kl6D9d8Y9/rM9zyl1XCcmvAKaF6DSaPB06aGmd60
nsz7rOUm2Ss/cU44ZMR9Tx5aoHXK3KWlLw9eDLg/IGyv+6jT4gpEGF/UZLYHs9aAvac8TAOQfSmB
DGm+Lh1zuEWi1VHv6TxaC8vf1jxTHuES5ltjbitcpwZMc6w9j0zoNTpS3wE8Xgq4WjnxvZWjPXij
uxntCY2Obnq3A96mq3aIFrhSkj4b02QeQF6zg+zL+rNsUxZ3pDNDUuyZ+OF3fRFWMV3jtag++86k
J+tm/AKDENM9bDu07KmkMDG7vR3p8Tmu1LTN+rh588tuPo1koH27iLxXdehc12abnAqNx31pNsbH
VE4/o3I9Wp+x70jFnnotOeVgtm0qyWz8DkN9OM9kaybrsdDEFTMeDhLyzD6Kvl2seZ13gqEtdwOm
0hsxUUcZLIW2rjQI8E7d+gL4ESgo1jbcMTbEvW78LMTc3SR1c6U8S+4NHY3DZGiUAzLJAnciCo9E
cyAIajhTdCbr1C/t67w3831Yc6xXumaT3syu103OqDE+cBZ8opu4BkrfbYtKAsG1o8S9q+q6trCb
6sY2brQTZyLjU5OMUDwanKtBNY0l2kpmxZQRfjOfXCGHrTVJ7c7TJ0t/HerZc4992I07F9IA3z3y
k2+KrEqBniiMJx5SzW4cCGJ1nSFqjnPRUPu1XuZ/YqQxGP62PI06LEn3tKcu+mg1X/ROu7A9c+4o
Jqdj6qdxYOkdYffoTanmVFoEHggziLYRa+1gaB3rIc+MaE86D4lhC1RrkOnJcmpxxYmA/6uJirOI
zL5Fo2AlLzU/cTYL9Lor6sz5qpUepqFab9zXnMr6HjxFe+Z+hUVsaHLats3U32ZakwzB5DLWYIAq
saGJcjY3IRUu6NgMRO9olPn9jIav2dRDHb2S5FycrS4jwdsgcf7KqqhQsowpDtzRtCACJhLVTWZK
R6y6oguJ03EGJni4nKJ5E806iNcsrONnPYvB+tU1q+lYt7Vj5FJi2LhdqiwvrnoWkfladsXF7IV7
60W6jcYNZ567Souy+PSmxPiIauVdBJHcr6Q5qwMyYw1zDXC0alVAuYhJyIRphe4S+A0EtRGAZVUz
2SEh2nvopjaWQQvidDOi0A1cWXlbu3F2fubna1HVbYbd2zdWUxq2O06t9z6RMvBNVWGNs+Mdu+mC
jCG5i83oxmyc7wYa1j4sK+0wMmpdZSRBolTf205yBaLZD3pRF+sc4ui9PrQasaNtsgudHEm3jh8w
t7FrLC2G64LLg6GPzW9bVtSGvJOjcMpvHUAjuxWcF2LUkShScNMiZ0GS+9rar+Jnvx1ybBvRg4zn
CctK9EhwixvQDhLAnspruvNyVQ3exTJZkBe6trcSBlY0Ix8sms+Zk67LxPHgECU8G/ToTVbmKSJv
PYC1Zq6lcgXzrmYKsgrLppsVRO4OBn4AEc7rMCmstUWSG3wDxfvsS0jPPnzfIW9ZhptrrEPvYC1Z
7Md7LIjxGqDu9Yx39mawimojYn2+cO/Zu9oKfdIwfSMYhgnPDH2TdUzLLroLASft7JA4xajp1abR
lSJcNhH41erS2s5Fl1GUalO/Gw0nhLrpGCFYgWyyVuRBew2aLdmexaQwUZLjXTFYzd1dNmpgEC27
39uaGz4pw1QvXVoyU4vJiqITw9RxGrvJrdez2fe3uZ4W8UZEtf+U28X4Tu5veOoEk8B9G9YBBY3z
Eg21IjFIc3y2FjMNzpEZYnIn6mgkGd2y5n096vizM19/jsouv5d6VOMWam0BxjjLuyPjUkkN6nUt
R15fP9u2vLfgiO506T1ImTknDhjojwmbpTFv3hEyQa8QC1d3ZBSKim5TG3r/ZU4qNqlOde8qUpa3
p8ciWSXWazT9rESXTD2U1VUb9m/cWckKDiR03aKId4UYBUsWHtUOLukDE87omM7muJdMOAllig1/
AzWpPhkRZz6nkD48EXqUv1a5n+wSIVWJZapzHz0KF5u0zSIfg5AkiF8Lzv+xwdqf52r/9v9Xph1D
smWp819P4B4IIVDt+59ncAYpmL9+7Hd8msm0zRTL6P+nw8dlpPY7Ps34DS0C2h6G1YQnGIvu44+8
Bfs3xxGC2T2aCGZnJr/1R94CSXjw+gA0WR4zNB0xwx8Dwptfa+l/lWnHOpEdwJ/X1wvADTIYC2qB
OwWG/193BHWZacBZDbW3Q3taqUzCaR28fdEXeYBv/YW1PvfJSPKZ02HLnyv5NZrmM9KfF0jCOmhT
1n0Apz8h+boM1ii65CjUWtMMDZV+U95ntd6dFsdcUHlTuSayqWN+nt4iS0CDA/hiXy7oiSiqrzBn
I8hI4ONOlfNS+XWzFWq6Iyj5q6jzG2NaeN2Rg0PHT20sw2RjRdYV3TYFfaU1b2y4Is7LnptoQtXE
ZxjyqlH/lnT5nt3LmZl8HwdywJ5diOgm0jgLIcFoG70hcdOwUlo9lEknmdrzsdZqcY7LEKFX7RKB
SW88PYV+9KAn2TvRTi8Z5JEcxduEoYCt5CYdx5DEZMWUW01w1Exb3QFg2ZEQZ59rpvYHM3PUdg6n
ah1B58mChoxlsFpqGgmSdgzGa8qHxkrOu9Fa7q2NXmbl1zGUti7bTVS5qM2a8uKmFXCcsQs/LBYR
e4E07Bh35IsxsjB5BvnuIWsN8i5yMpWlmN7a0Y/xFc5AYIH0r0wfAg5nev2hhK9dQoxtB3+oRZDI
IV3PuWNf5qxVW6eovlJDDjvNb9zrlrDw7RCxiVapYQbGQjTPcN9sspiOD3B/e2wIv7ljNPRZ18Ak
KjRq1wNd+otVTS+2R678kFGzdz7VYdHpZ7vJ1Kau7JjNiJatsh6QMl343q38N19iyBc9fxxd5hRv
B8OVm77Qj5WLO4s/hee+buNTApQ5EeLBZdh69HTmR0U0Jg9dCIglc1EM05pFKDWj/G6QsUdd1WcI
UIAXD0nMtKi2H10Ld50bac5Fpc0z16v/Neql3CzJhUxPq3ZdyLjY9HX3EGohvinatmrE5Dt3T+mM
HrvXezCupbW4zO3XvBz1fSq7O8Opx00mOb1FalFGq0o+6RHDM0d4d+CrH3B035QWbGKH+31FKBT1
XE9DtOTIweT5iYhNLRNcbIEIH3RmwnIYi359Y4uRoD5H08jyyvJrHzLOhgSl4VAkRr0VXIOMa7v+
SNeRsKFHVpXHMceZ3+1mSQeBnzDm2d1aJ5Z06V2X2t7OrJknak73ZETdeF/4RXQchKfvDcmoWtoC
BEBq7rKkL57ylJE0X1W/GZypl+De6fZ9pYWvbVX3mzAzm3Miu+g4TwMNJVkOFJiGQ5mjwvaL6q9c
R5j64ckQBC7Q4d4SjAQLdcRCO8JCXclOHGHGWdd6GyKXD4mSoNxJbgcjp6OCUnqtg1tWAYP2H3Ly
94mcGRAPbrX3dKYqQT0bt2EmYV1oCe1tPFZbODn4+bvQXfUiiteZHDwMsbWX7M3YYUhU5AXtuaaL
tT9o6nnqfPGoIuXuG28Kn3GHscvS2WQ7vQ7V23bJenab6dS4TvIIhqQ5M+aglYrBWdzlM5Rrhmoz
Fq88fRal+azHrdxWYgqiLir3dTfe1LI3v3oor4vRc1hrBMTMAdoIdLYjbHovpkz0u/ojcdTw1Vtd
ce3W1nBkbTHs5RIa9bNW09ycYOo5evbsvL4Cg0VqU2GuXRHICDIQjmuiPSeLrlprTmMPzA88u5Wu
izELWfrF7skGJ3wzzGF9Dg2ZXsc6ZXmlq7MSSY9GWjbPJaVgYCKhv5LNpBiHg0JQCba1groNgcKc
PvY+byMfpvmOyJTb0SHz06SPX1egpQ91qm55DpFBR5z81tGd6KPFD783cu0hGht9M1slmBuzlNdV
5jmoFOeEatcjdctMziMZdXdNZFe3TkpIQ5HYipmrC48fK1KAxzFEAWNMqH9gbx5QLyny7RuHmtkr
djo9CAZoWQVQPghoKfD1967FKZw4XzAUGA9Btl/Zvn9LKMePxPRwJaXMzW2f+K9Rr9kb9+mA7qib
N70KOV5CRJdVGT7h0eGpuLwH1DqEaScggyrpm89ez92cOyY49nD2L5AK4IyxQ7EZpFvR8KHBHCOz
GwHRg1l7306XXsid5PSFhzQQNOOZ3nWP1IwcwczSkNnGw505xOiOPCIXHC29c/FpXlxdpE81JrpN
Y0KrJGX8qSjFztEGOiyeCWQ2aP4rzg2sWH79WRECyEo2f+ibjD5vnPDU5vrV3M+Xwm+mFU+79LGT
LfZDTfNXdLBq5WVTuLX6yKR95uiRfvlZmjOe9eqtd82QD3W24k3OfHfjsmgO2H0kR8heN8iy24un
RwzAMcMkhrBWU9h7q6rsTXpfClYynxmsp6617/qsfUCgItczqbc7IWWxt8bqXdc4hXB/r0Mz3Ajp
MFshQsV2PgtVQmuVRomlwfklQPvfcvdvls2oRzwWwf91rbt/b6f38q+17q+f+VXouuyO8UchOALE
hVFhcan8KnRd+7fFzom3m5cgYGyJo/q90LX033AniwWe6brI/Zbq+I9C1/1NLNRcnNmY8Zff+W/U
uY67qHn+VOfaYK59oGoOr4KBAnHuX+vcDLWTyY1YkiGpedeu7g4ugqay2JZzmr5EtFOvjlfnh1Lk
9H1+E1JSjra10bOm37Px9Q8pCXb3vs3fwQGS+k8Vo7YXRFjuFZGq9mPihN1lMHXrMBVW+oGyxbpS
bTQeSn7diwLb4cojt2JaNYa0PzOUnSroGiWvBOzGB7KLaAwTkla+p6lmE4Kc6sHMjWHt+bp5XKbd
N10DRkexVUT+Koifrb0oEHWYPpEw0x1bcPlPjETSC+x8tCXMmwgU7lfES9NJ9okXpKnU18IlQ93J
PHNlpUzQq9xD5xg5DTG3ooqufHZKu6RLqrU9ZvnaahQwZQ+sS4LDiUYglVcKKygQSeKPYuhHUyIo
5Gy7vlhxrB3HXLepG+P+yjZ7e9uTOXzfE9R7qSQTqtQV5VVj2h2c/M7gzGj6u7xk3NFLgohZDqkg
U85VqNqcpKcR3P6o/FejtS0SBsqeMZZpbzSzya7z3Gr3zjIok21NdaPk/I7UJwdqnAJ9JnJtbcZk
g8rZzTcwtVjn2br5GGb1N7Es+MNK2TbAVYtseEVXFD3JPhpepjjsHkARhF/GjKsusL0Z9lXSGEQc
TNAriOPSVdFtsVLprwX4l4TdYJqwsQWN85ZOzWBvM9zlN5RG4Znnz3hC+DNu2nogWseeZ4BYlfL9
NZEtk42f29K8hbPawN1Uc3n2elV8G9Po7MOeXNpArwzGHh0COauwgQeNTnOfT3wvdrPwqRL3exrJ
p59jAjK0UViXLI+idUFa9jPZ2UQZQX55dvs0eWLCG627RruDoFefUgCB39qYOEFBTTeis23w5YKV
Gm9J6/2MY+8NAVsI52du+dLd8GTmlrNWQ7lsa1JySJeMFMZDOHudS08E8F1cecY6mbvpiMDZvYbr
u6u0jLyPkmTzwY16WNdm+d52at5Ppj3so8SLz+1UZwcHgpoZjeG+wmRGKDDBWLeD71XXgxym7STE
eCRVxnmNrVZ4mwx3yItLmOVTVOfZocyG4a0ANvA+hP2IgplBWdV53mmwGpB1/rBeuHLJaDR3Vr8o
xlTev5Ob0jw5wNB2baWs17qvI5ICegvlFaJEgzwwglbsAqEC2ZpNfRV19Oqss+zoZMUV7nK3ra+d
MWHm7tX1cwj7G71ioau92ZDQtNKLOtumIYmevT6lbN1s4y7SCiMij6sgY8tyaFFJWOL96uR+Bb1p
DE+iIPWa9dEEa06rLqErKWllal4n0O8udamMjYxJ2+kQxROnw2IooX6txSWLo4SiO2dmTm6S8eUR
/P6lhNNcTANi03oomtlAhtnnm74sa8K0uo49/CD04TFp47LZIajTc0JTVeau/cnw17StS91upQRj
WMs4UZW9czFLV22q3NK3aqHmkTMkdXx9BDl5qzKN643E3phsZ1fzriQLYySvHMWvkD8Wj9woaP/B
3hH9Ms203us+Z5cdwFzwuDvnIT5LCt8XEhOjgrlwpG5HrQdez3ZyZNgcmW82/l8nKOsufh0rj3aL
A1EDf1CmuCoD3NPu61TackCPYnm0K0zQs8YYXhodU+0xYe0pAlKTpoM26A7kpcKzjBV7Le0jqkYT
XA8KjRfI5IWH9M1rb0BVMM6tpuXQHsKJg5FtMsRWCQ1Umf0EscXUl2mx6WuvIh5B9WXViAUNURBx
RkK4hb5PErNG86xrzdWQp028GSEcjJvINKZ51WlD2u4m2lkESqAB7hPRM0AcvJlJPvPI7kMHQkPH
rYSg1+0dU97Xsa4Rmj4XmCJq2W5c8lon4pWL6V5HjI1mE4zNa9IC1FkVCWLEYFADOs+sm2J20ZqQ
gd45YRaEuZFSn1kOSb9sQ44sGcXBMCSCD+AP4zfOjfIZ7Wi3q1ic5ivkV+wKaerzO1SJ4bMa/O6S
+/Y3Jub23Un8O3scSZednchmMJ5XmCL0wj8qR41vk9cjZrKxKb3ZSu+81bJCPugicsOAHh4pltG7
d2Hmzd4NSd/wxSa7MJogc9th66eLULUFP7jLcl/agWCnNTDVL9JHRDzjCa9iREGeEMOicrtbM5zV
BxZ67fBleDxVLAyyEiZnrG/ieHAAQPSdG5DOQXYfMyvnoGnEXNFWCO+lZgn6MGGqOjEngppaGCUX
YBXbGFNRT/S7kLi8R8Wk/ZIVDnGjmaanyaYktevFcXves0se5lHYnc24a05CJh7suY9VnjfPCDUK
+5C46QR50i2IHbB8K+9gPXfsCEq+OM3KDeBqescbdPoo/2y0nqZ3bNL5qtR67hgZGvlzWubqxBlq
vOuGnJ6RpnmHvLQnJEHunHL2Mo5YQMUdehTsmK8+P3/b9Uz/F7zusEOhrL02OU8oc0JVVqAJ/QK+
4ezCpPSfonnUHoHl5re2RU4T+EGH2HBpFRcrL8MW7C+fLIeuvE5DmyUFGzf51Pf2RBGfWNWbllX1
AS4N+oXGqq17B2k+4WZ1pn2UDQOzAChSS1C6X2ok3YcepQL6nfw9AYtV77S+T9tNSmOPsY187ma3
WOBeZNGyaSv18suNba94NoZwUZJPg3uXWikceHdgP9fSj9KqZFV248cQHfi4BFhIzIkDFBxwoFhH
41tmQezmOgSs65bwIyOd8w++K4b78+jVT0MneQr0kue7bcx3WRtrNc0bLTD2F2NRRNUIAjQgWiBT
oNM91WlmqRWhdu65j2dRBGPoutFeJq2vzi4SK4ifStDjgNiU1zrqNy5P1+wSwKRx+BKKMT/AmWY6
CcpbXhPYWD+pbkR/PyT+Osf7T4J6SwyogVrjMuOYQqvj2d2dMvL6bvBCn38zTqytaA2POz5KikMS
T+Kc+rrVrGyecFwZzuRCgFTG1qgMtXDqs2QDxUVS0RqkR0FMTa9x0IWEEXql+T4bbvWkNZjnAwNR
zJVoRz4ROv2GIJuRT6i262RvjJH3niW59QNXD28r8lP55BvjwOcbT/Eao2v0g2VIvhe58p8SPSGp
cG5wg2qSZOnZSi/55ITjWnPyeZcOqbPnSVtnrEgMFEtFiiRrh+vUP2ON9E6jLS08/6Yr8Toywnsb
CKmDhkPS1Xde+8VXqFLr6IRa9IHkZZpWUTf7Z2QXVzH8ksM05zzmf3ZC/9s0/l3TiBQT3+G/aBqT
4v1H/J7/n5v2/fOri/+yKfn1w793j/5vrDIQFqObsTFJLG6M37tHh76SdpIDGzfYr8DqP7pH6ze8
NwZiZkaBJkIXGsvfu0caS/IsFrkyl6v787f+G+0jyX3/0D6y0zHAjDuLGRtL5D/a0kyMKpTw+CVL
ojcBXnZTwxibAMYazesPrkiOK2jeT0ODYl5oQ4FbK5TQUdPwYDKU/+QxXu556BDOiLhYMV3dLZSl
t7zNXDJqRI2aSGbNjwbJKjqRplsxTIuuwKiMd54fa9tKlT+TFWX76ZfhtBvjzr1DYJMMm1iv7R8h
hi87KG0Rb8nr3E44AZLUzk824zwKdyEPzRwd2N/bVCelvk1q/1pXaF0gmasXwT7iM9ME8RNxPIW7
VgvV1irxHa3yNB8/I8wCb8oJ1XHuUnPtwBvczV0V71F3E3prwl3uxgb+gZlf/CnxrlEID5sJSve+
inUDJxPzraGxKYcYpN0MIos3fkoYYFBYYtqFeZlCRA2T+rGfq+oraRJxkbpm/Tt7Z7IbOZJu6Vdp
9LqZ4GQcFr1x+uyuedaGCEkhGifjTBr59P15ZHZWZaLubRRwNxfoZSBCCrmLbsN/zvnOsQmGRxBC
ISbuLiDF2bjWyhb0ItteFbOWpzBgVujOrb+JZcfGMpfZuAvmWUfo6/lrh8voyAW2P6rc/mwBDl3F
eZqeU+lxjfOD7qGoa3lw5s6PDIRXcpG5n17wx8aLHSc4ptLOPScgrT9qzSK60p0wvsfZ669KjjSv
FTvTFb9wXqegjDcmK5iQ6b+eGAeoNaQroFRs/MD7gm+m24rJnBwApWKcOTb5pYWOdROnT0lPcBEM
3CwxDvHAu7xRhnpwSzvDv4dMJYMBuG2CmtzQX0AN4Fita0wkl2s3MRQ7bdaTE/LSE9vnJteL1TiK
sV4lRAdPwoifSaBNa5Fa5SMhzn41duxi/SKdN80dbD/YQRWNrl/epEWR+QRo5LTyRkTy1p7KtR93
mwk5hdSZ125KIX/ipaM0KIUscm1ZY3YYLtyHIjbPdW+W56lawi/8t8mTHi18WZgQnmdtF0y1Y+9x
Uqph89dhw43XGKKpNu07phvQLo3QcPGHuC2gUJJ7X53b3YRua0TWkNRbonz29eLM5TabPI3XvBgQ
EWye2tQMi6eCAGKz1gRet0bJexZmgC+NVg3vi5DVCSZOfc+Z2T8t6PoQSEwI1xrDI4NZj5MgpCzf
f85rXa042I2r1sAP3s7ZehK53GkORk8WDOpryavrI4HVcmPGE9fbRmbJdV+Zya2zWC7TGefi+8KZ
kGDKbs1d50z4OGITgXXOCFZRAvkZ4JdjPC+MZm+I1t229GBvdJvfLkP12Vn6GIDnR3GY1rbZExOq
pqtydOp9gNUHfLr3iP9qnVjKPtR48ijClZ6x/qe1+g+1+H+oobytUtV3//t/On8Th11WPdt0Wact
caGm/J0PFfuZP1UdywGXCVsC7K9wJtS1UpLHUdVnjvhwqUpqOTr1WuiCWXDVtO21C+UQdnqshlO/
jBSolpJRvlTFKRwdLndEwfIz9aTqtWrwr3T+RNjIc6RbbvqeQPyKE2J+H/76PIPA5rPtSAoUD4rP
hXcgjuEc0Z0GKMCjQyfD4Br5+3/+0v3LuPKvA0NMwSRJgWdg6Wbz+ZswPhs9g0SiwzuyYzjNypVf
5s6DEeh300WFsKp8YPifNGe/HfyEFg+HHudR1zwNba0QIxLRWhsKniqSs0tMCStDeqCPxfiTk2Ly
KEs9H/xm2ruc/BpnaXRkDy0AZ1QiyYmXyvejXdhIrHn62TS6gvtglbd6CNoDA9MGxnsxHEOrk0e7
IdQcdTnpUqRm56DG1vEiIDb9hvfRptgsz9ajN6Y7EerydvCn8J3KBfU+I1xuJ69QHzaF3dciIb9R
JK3cgtUtd1U/+a/0xcYH8nHx7Vym4z1/9LftMqSvmeXIox4nom1wBDZL6YndBPKcNN2EVS6Y5gNR
9p4KXrePt0lvJw8zfZLjalpITvBjo6lkudzmwEF3lHd6W4J+ywYS8ICBhjVy06LhPve2sKiBCutn
jvjhuuGK8w1BNlmnfZ6fhinraCkQ2YlLW+JFQ2eLZ6i29g0xP+PB6Sb7AtRI2FsCs/rZZJV+9kgp
PAu/Urdg69rbIBfjkbSutQd2L89xY7Z7JpeHErZvP/4K49OB1QSdBko1WAzIpmm601OZX4+TIo4k
ifHvpMtUlmg4DPq5aR/gU9E1Yi8cdCvL/gBcHD9CnUS1j4sn2aMvEVMQ07Lqu6V8L816uloIHZ2X
tqfrRXb6RFGKdy4D8jEcnNOzL2Zuqi2K6La1sjmGWxjIiBan+kI7iG+YI9R3HkNtvJNWMu9h/YPr
xX+9aVuqy0Pc9rcD8KMrFNd+LTvFZSxx6qP2/PBOXlaRook5rvgHip4JCKmb2ab5mUtFMxUl1e/z
le48Y5cF/gSI2WdAw1LVXdasxGP1ii/rmJNY8q5cDOM7uKxw42WtK2BJVRMGDReD3wovlgCBelkY
h1+LJCuFux4uK2d7WUODVrLOFKm9sBBIs4+Q48JrUgLqSV/W4NZ29VFNFWtubTczjPcxINA+s6Jb
VXM/+k11WkxreBcMt0CK+j6X8xZczK+NIbvsEf5lt7AKC6NAftlDmiRPjT1YedxZ/a8tCJ2YEXlo
zD2zQ6vxH2ezEjddXYDtR5gNv5iZOf0qqKyckgkzaI/GeMF0XvbJoc2Igv/aQVWdBB9TnQm2Cp5p
2rzstD7VRUnzYN2Xzb6K6RSOKQJI8W1ctvQFdRp536BimzLqcWuhWLarhVTnnf/r1DBfDhAGJ4nl
cqQIfh0uCFNkkRp8QXkK5w6T42McyiYC0YfdPC6CYBMbgz6VhVWv8TLqQ4w4Szi/LDHj1xLUe3kh
+wx2T3uJdNfwsNxI6WpA0S/y/ErYXXZw+qq/ypLSfpGV5173pBDu1WzF5artZLdl1B7+pLvJvtXM
9D7HYhhv025Onwyc1A8xwyTahczBPxB+MWADtobGIemmXDbDifhNKp1rz3CGfWs0+RVnOmwfExWy
l8ZuW9yWcy2PdVyX1/0whumqnvz2A+Plq8n8cw1f8zLYIgu9pcDP2gXcoh/9hBeecWs4tEaNDCnJ
AT0mIXOsVd2h1jq5a9zSduIcfE+7D2VWebeAkUQE9ovno0yrRzLRSbqqzLY4AOjL+nWZSjRLOcLR
SawaRm4IVeXKq1Wy8cYp3HOwND90uAyfTqVq3mMiLpgP+KBtp2khxuMx7WpWCdbel5kJ9o56ej7F
hfbSI2Zo5k1tYBzDZpz2JV6iYwa15leBMM6IxksIdBnmG0zA2yXp9SO2JxyylVHsUowhR7kwc+RN
C7w7Odv5e+Z48Rq0u6AUry37j4RZ0ns99N3G9N1iE1Z5vOOffJj0PtNqZItNj3p8suuQh9+gt46t
3Ezv6FFryO4U5PErFAHarmbPvU15GXGekWD0SApUOIeqbPlp2hf8Vl+BC2dNRLkmMIcLNO1xiDm2
+Vp1uXsc5264Eg7jj8RimjxRvs4X+wuwAZnzAhR+MvA4aCbcAVZF6B0xr30TyPiY4Yvt2MAKLkhx
pQ5+KwI+7fim6R1qknsm/zMdm4KDdZybz5lOiQ5U5bPl1var2+BxG4eifpmEyF7izmxp12iIdVGW
vR/75Z1I1rPjFaS7s0x4B+FWV7Y33WRMsDn06wG+mYakELBX8LEiJrgxRw0Mbggrz8Rr7daHwOvZ
d+NcHJnpOXucNhlGLjG/pQbPqUnz50njLaHz14s/yQ1AbaRDaIr86nKsX5TmoKzxJmvpfg2DjHeh
2xhbjzDFhdSfnghjJPNpUEZ17xmj/Si5v+gorXT/c8wRAiMn74KzahSrzYhR60HVE8LEMnW8qDIv
tz4MfSQPpJwwq8ORT6Lw0rUfth7fdUx/FICimB/WAGOJF/D56XjtYxEfqJzLTsqaaFPkhc6rNDOK
jct1hL6CDgcfKbPNFBYdcd5Fc3FycMsazHc1yMRdKvj/tVn4ryUnwRSH+BziOVAzkUqn2jrW4L/L
JrV29kiuhUKx/MIvmfnUtrPpcQ2VGdG+qjtkRfeGOne1+Ob3Jae9Ga3Y+tGPhn+DYsv2WD92ue8y
kiPjfW8n7VzuJggXXxmaEoU8wXPZQzIwBvb2xcadMo3ttAvMhloq6eidOXjMlJAwn3tsKUTPZpbi
ph1blqSxpx/Nru9qP4bEzFbC8w2irH9kPLE8evVQX3rOgiGij/qM/R7dkHBucVuoyr4ibkFiJobx
gYRk3w0T1KC127cB/DU/NB4ISTu3jqWmbzf/iLsF2nmtKWxJFundUDfv7ts051hkqKuS6Z5rNt66
7YrYJ7uQ7bx0aFhFbO4YujPWpfiacQNn27BSaCFEPFWEJdDC7ROfMfgt1xwIT709XgtzeA3y92q5
n2XCeJ+JXqPs7DsTyXWelwoHd23e+SJu3ni+2LwQlm4mMtKnQqr61RxH9IC0YAoRGeyzYGT94Q2I
yfTklaHzFpu5eIGC1US92bmHjjH5kZ1Anr0iNiJiQ9ZqiItyo4yOQ0WWHPo2Y7zoYyQd9CDvUHK9
e9q+5nfBWHhl0EtzaBeoBUvmuZGvclHsg6DFGwacUL8y9iMipCrLubSly33iCqje6dxsXMa7CMih
frCHmIpTg4jWTMBoqyEt7V1628nac5Kdi3jegAfTe86QJub3KvAYMINxuRWFqg9uM+htUgxYHm1L
Qgvn5DcSxiDSOjTECtqQQqNC+uiHMxXy1Its+RnwhyeY+UfCGK/NOF8UVJ0kkUrL+0SxiK66yqD0
8LLhBp5EjLPyp8KY62PudsOOOAcHsgu5egCEhCzvuY+keLvNMtQVxn3yyCvEmfpiI/ftqC+MyQNa
nPMJzJXJgr209OF51FSt+FGqqA9LvmLsqamZY+U8zyrtkKAX/7NOlLOXOStE7NBr02Ec5aOSlntl
M+XulWpXVpBnMdgOVrNpaqYoycV6HnLkYSuOryixWalQfggGM1luHpKKr5DxqcUytbJzQodDJZni
B4QVfRqICrHMRyZ8ChNjeM+9/GJMnXhv8aatPCMuryRRl6icRn/NnGChekpIrkmpz90cA+iJRh2f
tyCmVrWtrC8U3IwDQ6e+ZUzs1JuoNQ9oZ4kaI4Zr78So5Epl+ZcNOO9NpS6NnU1ux/euMYYE3r3i
lrtKf3Jx3B3IgzBZQtd1njPDHaM+Seu30nPKyK6L6kQeGr6WX2cQQMxgbzppsXPHtoGiCC+nS8H1
aBWZOvOLle2GlIL4mbXjE+Y89VzXbiHhkIlFyd2kJbMPif3BMkke9ll+qmxx1N1+Dng/BxW+4RKJ
EA6De1vhM80mP3v2zMI9NHlRnP20C8AxGeIQT9ltQt/U8Pt0G2M+gIt/MQaw/9VVWLikLC0fvzqQ
7L96Z6ZM2XHsOsHOALZGNVbmfbbJ6KWrRihcamHL/dcpdPKYeIqQWYu8RIpH1sYdXpr5w/OXuiW3
K7B1p9mCtnCZVzLTAYk+EOEH3iIXl2T/rwmnSTa+WoG0vZjAveCYEqWvVx03RON3IM9/9dT+v1Nm
wXNDfnn/8Tz+9LP9UfzVw/X7l/zp4aIJI8BzhVoYeL71jym8+xu8jiC48BNBk/8yav0xhbfs33yg
YH7oXjpDYIaA+vhjCh/8hiRsMjqyqMgNL8iRf8fEBQ/zbzMZKr09gCWmbaIQOAQX/voghgPwhDyn
IpKP8oYib1KJQ8X1OOI0NpxVVhBwNgf75DlLtTdLpz8g2OVFFJRhzVpi9C/u5Jp87th7Xr2aZyoy
TVUdiksSdBUGeeAzy4N9ymE5uDFl71Ha7HlTem5FU326ixhOneK4dBx4TNtooF533CZujIznslXn
ZJJIHBNhqDMmATjh1rIski+GpKJkCSPqsQ6crJ2ox3RkQzSUytrTBCXwCZtIBt3akvosFjM+LV3T
DkxLTe+lWSb7JYYi+thRhHLD7JEh07iQMPaUmRxHkE4EX3MJxyBAYDvaQLSvOzVhqYWqzK17dJU7
Hm3KKM3N1HL5OnqztB9MNQ1im5O2L5jPLxdYaAICfDUJ01drjG46vpE+fp2NkMtAtg0AXYFlbSqm
G28ke0TFkNuTJohZSKGT5Yj+7OlU2DAQa80ozcr6uyHYerZxYXPvSOf2XM2ZKdAEGOdFHvwaSQw6
mx+mhQkUVwo7ldu+10XP9tgz75lCJqCs5HX+mbNr14fZGopqPXc5/4HL6fnVTLvsJifIsec34z6a
QTaCFYjn67iaw1sbVkW/SsOs1ZuuM6sn23EYvy9ZqeOdl5D9q1ttJuijrcY8l/t3eWN6n6YOnHQz
sBQh5AyatyZIQHivpsyj7FF09ktDv+VLkAiXARqGgwBvH/afyPX95pRhUH1wZdkg2QYNR/u6t4zp
4OpeXioPEs30lP9hLXpzLDfD4Dj3mAKqvUia9K7DcV0BRWORtUzJDbiRNibrnFq1a4aH8hSCl1gn
g+X9dJVE3Ycax0Q4Bs3MW4Df+OCORjavG9qM4jWzPot/Z3nvjT84HKsB0Ob0KoalZkLgUvA8MaYS
+1kbS0w8mDPLevDcZVwPI26aBs2pXZkQPo4dhArI8zXB8lUToEeviF8M355FzRm1bEJB+MItTZN1
nTPttoNm2IL2CbKt6aj4rhw1x/J6zqdtrnlhq0mGuJiIS9coxjbBwabw8q8hJXF9CErDjFQshnbt
FVmlkI5cGRDHc3r65cIUfrFPSx0NbwW1tkSG3BYnNFGCwh/0BsPlBMMDcgqFlHYDIMv39sWMFrc3
OzN7VvZk7lw1Lxsf9uY5CbviNMvR3jbajmmGzid/uppD1VvUkabVcztxSyTKvbfEOA0RAKs6O7ph
qR5oB930RUciMoutbmFmyJPSEGa+MoeAFkbYeWS9k5DJ9or+lLT+wMW/nO2RGUuEUwd6gGHH+fxM
/gM9vJkZyOJ/m7WXb8fBLFpGftTqXjTwnA4Mo5H306C8j7yYGu6TSd/Iw8TxfrlJ88KaI+z74bAN
BbyY9RQkGm8Uw1knOHgMJZYbJxkuUSXDyJ77GZIx1gxYSttBuzPpdyFtwg6El1nmKdWTgXGRwri/
G03zo9I1jWBBtrkUjuoZoIPJJymqxcBBXAhe7ep/iTqczaEemEKXur7t7LHfWTVGuF871n/1tn2V
frZVV333v1Bef6K9fqnA//jTf6fNnb45gMLsrv/x/h7JH+orTX60f1Xa//zKP7Z5j83cRN5gP71o
7Zfk4R9iu/cbQUS2Vy+4VEf52LH/r9Zu/uZzLAjxtAbOJcnI3vsPrd0L2N/Zvaga9ExQx/+G1m5d
TpP/7NQ2fQ4g5oXVbHqIT/bfhJdBXlxzZQZUZGqbp7Kp/NfGt5IriApEyrOw1W+9YX7EudX+DFpH
vU9DN9MPjmawcbup2vhjhSlOGOFra43VcSzrZG0FafGFRDC8/P+H8Rfh7v/l/Aj5lf9nT+LVjy85
//iXvo/fv/T3RzGwfwvA3HLU5FDHueKCiP4zNQDp2+SkF5B3oR/uz0fR5vG9nE0vlV6YF/xLRveP
R9G2fkMbtzkmetTEXBK3/9ajaF++1V8eRpQ/z4O/YAvPRwe9sPL+GaFJUW2ol5wu4YvS7K7NNpE7
lGJ5wyJqPmPlsl6CJiGL1eIzP6fOPFlHlFGgKFPK+M21U6hgjMmQUWb3S6Q5oT9af7liV4kNjk4x
5ntOkiomeWdUwfMYg2IliEeTueGYoGqK+wYH3hM8UhH1chhvamU+U3iiDUqNp0fy5OVjQpTmayD6
QESzzPY2m/TRAwx9aJNyuC1zDYyXzzoSYlf0NCU00lgirFHAFZCV2Gl7tZwCEDpm1A7BfBcO8Yih
NPWKilNjc6+0Vy73I8XdzsGTS/lQmwEnhAwW1ENpVTg8QW5Z7DVcSjkpuYBlD3ZSjM3KGeP6yzCC
AWN1QyHvyinZtc7AIsIQCIjtw2hjzt/ezXNef7mtW6U7Kp/y8dmwkvCrWhb9sVjoPXu7DRvUYZ/T
S5JNIMXTMGyLteExLbihTUBNx8UQ43ePbbq61hy+3gt7ACzqQUZz2ji4s90ZhTLLDpKrhUG6V9bm
jviD9wEU0h0PjgcdctXELRniQnrmspK6xoswthXAInKUEceZXK7Y5B7drkrfMJomX0NjtJ/a7Pzr
0k9nH8d90+NEmRI6Dsp6OvkW5E2VxKgcOdbnHe+Ka0W9wNFZkH4IV0D+lr0Yc4YpVp+cncIo8/eF
h+OeGIfBGcJU5pFYX75i1M98Z0nCYlXHs2Re4CR0og14EtE+sWg7HJSEm9sXLs/k/+LZgZ/LP4eS
p0VD3EM1LStcimmSPSA0JwyOQOcRa26RfmIvyug5kFHiXsJXkNi5xwzOd1KUwQt+DB5yC6aK8y5r
n6xaXYwRp60Px4IYFyajsc+0SNbhBbhONrOX674M05PXl/e1k6V6pVp5FmIWdySIwre2LdKrZEo7
bwO9Su6a3g8+25J0AlNUo3jlPE7m0LAFsquXJpoaONfGDUhHnsx/eZKCCPhaVh/J3Ro7P0BApyY2
6c7EAODbKHXPZN3cpJXlNjs3I9fO4fSxcN3xrXV9RjP1yPOO+iRkNI4dBQRBFQcORd7l8oMAyyBf
BrOSxFy1ZIajpEdoWXOOnw6m30t07GHBHVWVZqoOlh2g9DBRl6/dlGoID1bSV9sKO7w+Ey038O/k
l4EZyDdHbt0c4kvEZc66gVBj+YBhWu/NIVWAfhIkvhHv4nJwX7BBNsY1uUHZbgk8kADUpKXE2sVH
Nkcof46As6ZnKiI0v+gVNiyR81m3E6Wv3cZPhisEUvRBq6GY9gEDvKvuZTABdpz92Jpeep6uYGUS
IdXbGGxUFaUTbrKIlvOFp2zB1oRPtn80s0IcAkFVxUPeVRR0pkYfZj+nca7PI9oQH2wOnVi2F6t4
bvlBqW2vsvxnMfVhy209butVneOTXSfCx+1smZe+8y4wuDiSa4jHdbkU322YNREjtinZxFmddwee
TCSROsXRZIWte0djgLpWSogvz9CEAcEeh1R6uKL9cMKixaot8+bisOUOmvJXLBLaflKeaz01bol3
xcwtd1vkbrIXZk21oAwYOhLgJQm0EB6z1/ABsSgwbeWowQLpd9FANqaKeInl2qJbBL6OxAZM03XO
PDRT7fQ2jiq4GnOhXips3VwSxTRfD5OdH1XrUObR1sTAWYdABusunPYeifqrMWzC29gIGF4EGfXO
meHpO6HxtLhS2fflqCT27V5kREbo/TnQsAe0sy40SL9mTk89+HcsSG3ziHjvvJS9N21hBsyrRYXe
YUinpOe6JIJyow36nXUyFpFDeXVGTtW4sIKCZdiZ8xCegeoZYAU6qF2oZcNKuqq+ITA7/DAdrd/T
yXKfO2nlB4/x6hbLQXzPbpkGu8byu8fKyvRH06fulx1a0+PUltN2FOohZFlCzWv8sNvIsXrIBhfw
cLfI+tjgezN3TJSSPQq3sy67UewIpoCNEW4/OpHgyiO3QTESPuoK7w2OM7/WoVPdKaf555tqhWGl
0spFawsvUfu+fPf9koBTxexo2ptI/JtiLOi1ZNK7L8uxwgaRTdcCj1lFgVtvZdvZ4gX3ZmL9rMnq
nQfQKTKyFcLumYjOAs+5XaqnppioFYh1yd6lxto9wBQcTwQJcXJXfuCK1QwS8J0gvns3QjYFNJCH
N6qlkw7LdED1vGrP2B26t2wEb4W8p+tjrfPkVFpozqtmZqESjm7vyxSz5Kp3x/CGn6V/R/E0n3Or
85hx4Te7t30ue6mYabyLPR/PVPYTsEjxxHQ120xxmfbX/PbUG3Xe8OVFj1ej7cWusl0krar+Gv1l
uZXYYq45uWiotqp8nS0mZoAoUnlQUBhWyhraTR5WI583Xztry0y9O5MsBaln6hrvrMFY6gdMHMbR
dqv23bYUD1gCTol4T9WUNLO1kKyRMbr+w2tG9x166HinUXGdg5Aqf62mJEluZrcv+DBmrvqocNp/
wpOFitDpitFUR5SDwm9YE4Bok9EncjmTxHZE4R9r/ETwQWF9YK+Tguwc343FzDR8f1y32NxIOTX8
ZR734s7NkDvERI/RhYtjPWujA+pAcn7Bk0nIBz0saZpVTY5rNy9T/y1AjhM4GfkzLUbDt5j68YCf
oT5PHoQNwQX+Lq8q4HmdP5OJEjSsPBXIrTsJRfSUytjcmV6MYt2i6K4YHhDTsBCEotDr2Gxm3hyg
sfnITzhK/vIi0IXQ+8ou29azs/xoQpW5m0Y78w8ayeLPnp4tl8HViMUgCdxGrmx6GfJbC8vgiV88
syWbL1dRU+ICpJiqUzd06Sz3HEzlWqfYcSE4BQmtN/AdeVjRIHd2mFXvYT5QqCocNW0Z/aQWszfM
oj050DdV9V4SMaxTP/JZQEKKqYt3hqHbjHE7tBzwjPgE7MASq9oS+cHnR9rAmFjmKMNl9dIHSfMJ
igyUlVP54jqVYjSgQ1QeIcFZn9uuVo9ViEdq1baVuK4C0ql4QNPuoPAoOxvbTapbVv15jfUvXPYc
dqp6ZZpx8kTy5bLuTCyTnU24FZ3RwoMC8oAGuioDiefouXkP0oythvjrctOWjXBxyurhR99XYuPL
rINg1uT5jQNfCcDiVFo5TAPXRIIpfH3VtxZTjQ6h/ylZ+vAxbOocbgjf7Bo0jblXlVbjWvvafTWx
4cqHnJDqbeNKp9iwwARfPWfLHnurSXi+Y2e+VcksjrKoYnOVltR0OJVjQPLyJQOahPdsb6Y4d0Xf
Y0QVVuuDAc6gZgVqsh88dp117SXDs1z6FEiVHdziDL8gj0XT3RV2L8atGaK6ciQxTDJl/Qhloh0T
QI1emN5kkLE55BHlvxEULX0yf3Tum5qFeu85FZ7y1BDeRozC+GLFy7bsz96WTFD20591veYoJJ6Y
LVbWFuOld2/iJUcxzmjHC2nijTC3t2TXZhi20qv8t9wfl9vSbI2PCmPRgzlL+Ih215cnBR/7m4FE
Wp+xAFYxziZRfgFL7Z+XScNQXorxRJ40T9fQNUxSlCRX1ZYSpXmmQJNVaN80pbeHqGU8eclcjJsC
EzPILtGfSiTEyJ9T04waXAUbax5aIKF2URxNqiUlnLpxflkChIOKCsiZf+s3PuP5lBIcq6rPfZX7
MOmStN1MKgFJlnTmwSqHV232GD6SKiXZNA/8IHbzHlfm5TLlYaCTjNdSHJ/sXQn16EweNwKbBrr4
PFUrk8Vr5Rjy2c6tAEczWVueQsajXfhd+e6+g7990EmcbJqgL7YuYeEdDAiqRtM5/hnT+nfj2hXr
34xPZdVqbocYU3cVQJrdxBGB0aseveskrKpbrYQ8NFlNh8hsqL3VofI3iT98Tnlf34F6jgPGxByN
CmTvR5e9b+sFU7efijB55zjTRVUo71OgECvYnpymF6J5E+PMFROVGIclBtI6pMdEJ0N3HuyEnRoP
9HpKp09uD/3BwlRarNiJc3KmU/+VN4w/N9lUkEzLiBRnjU1aTjVef8R6bVANMLentkHidas8O0LH
HH8sQfO11AZnK+x2l+2U21gNhOngzW17nA172XEFSraMe7jVpiAlr+CSKvqsBVxK8nErpEl7m5I2
vetLcw6iRuv25DV5fyYcj4Bg1A09aKI1bwRBxQhPqnd2qviRx/7OI+A76uHZWSb31gW4DUOqWCK4
wUiQFpRBfp1jFMIr5uK2ZPJKkgXNo2weiufK0XAXEy/EvlOiyISqeSIgp3+kda5vAcJf6Mrkea/m
xfP3nj25h4oaLmdn6g6F08z08ubZ5k1ed+1Nzmx+F3f9frCo1MiRRhX3NGd459QZRzgfxGs3V+NH
vXRXpSyaU1dkMLYtk5qUtHQSCpVj8yPhuAHIFfgNZumACL6xnEbg7xchYXgAas0+F0BKSbgqb5si
weqFLCsO5VLa1xV20sfe52yO2oKhaCiM/q2Jyer2lj1uVIn1vp+d7iNQabItQl+fRBhPD3EiCu45
vbnFjMbuBopk6xiW9xKohjwftshkXI/tuJggS4Lbgqex2YAuxNZVDVa5aWC34J3JB4X9k5QXW7jV
yAiXKWbI3nDq954ClXItjWH89ou49zH76UBHlq0UN5PeptOc3eSrtQ18tvAu9Z6OTvWuk5bxxODY
RbzyjaxObsusNp/jdKw4fufY5DPHfrel4d3YWWF9dZlRWZDeweOQzrecw8DtZuvhUjZX/qLT57zR
k8CWQvjioa47BVs2aYJNDU0CGHLRLK+jrAU+tWY8aKzJ3Be0o26tvIDZexmQ/EiEYW3GfGEW747a
g1ntYsykkr03HizAxqDKKOFjf6kfZOH3P2yssZB3rXJvi/S9zSp5crquV5tioKzRnJizcK8rrDXi
qHikM6BHFcNZfJVoIsmwmVtylXZnL/6OlIZDf5Q28FYFU6mC56xJbXNXs2s6qy4uLkfG5DxN9Tad
Wqw6eR/S6YFxbqG4ZQzN7xqI+3WAH+fF1CWMT0l2Hn5D72evqUrbIxMchXwAmxiUZq2Lo+FnTvkI
J3x5QFwZ8TdrfFoUseicuno5l5t0MqZoZiqx6x3/LSybMtw0XN92DsM5nxUpNbGNW2K54tLZvoeK
HQtvJWJUnuAh4mpmPNZBHJzhQnURR0jiTANNCnzk0vaaJd9zTw3wnRsrdtzPAvvlC5MZE7N+V3GS
rsVO5VCURFgT6moTfOMpctuZZBORyVAWX5lRG/G+wbOLvxv0FgaX5f+wdyZLchvZtv2VZ3cOGeCO
dnAHN/omI/tkJjWBMZkk+tbROPD1b4GSqsiUiqqa10RVRpOIQATgfvycvdeGQLTKggJUudXSMFjJ
WqAYd+sR5ToAwfGCNVQtx8I+oh+Rg3JD3kDK5IZ1vR9XNfJUXMCq8kxkVcvEMbE1r7tK4wkJmll0
IHI4iRGe5U0+FG2P1Ps2czpvbbd1/yLDZimVVdWy56g8f8xoB8LHoWN5U3J84U8L9EKQlnkwV+zT
mXtqnML+FBkLhgfzuF5n0NqpcNiiJhrn9YrhpT6NQb2Mmqz62S0s/4UEaCbKuAOM28rHQ7lWSEYU
FmM1wfyHvrZL8r49Uonnu2GuGbuHU6843uH1gTaXdrXPjMmPfrWbqd6Xbu9e5yEpExy6Ct/YdV7v
YU/ync8kb4RQj7Ckn107B5yfUPO8pMrAoWO5PfPVxpW3hWPKQ14sYKe0k/l9aSChHkPZQN9rOXug
JYownFutW17BGwdhpBrg55sC5W8NSG5xFYcQfYdoNXZhUR+ZLIT9ti8sgH2DR9poSMjFR8b/APTD
yVcf+slj5u/2OuCuPXdGMZd1cw2ka6KBNmRUyX0eW4++58fD1u58lzqB5K2zq4a+WKEpSD8Jxun0
LRJtWLspsggWKQZ0gKfA62cs3T2HLh5P199kANEcC6Wfjl6SpFP7ohQuQD90w0BYYbTQrc3fyqYQ
lzKYmNrn2bf5riIu4Sbpo+5DE6BzbUYTMkI/hS63OfuVu84MzIs8YgRBQ+MDi9BN4Uw4Qes3DO6H
KHgskpbTvBYsP5Nrpa/hNDLl74VoxBXrREICoGnVPKAZ0R9HXzdtSY5KMEj88kM/bxJ4+J9bhrdP
uStwFWfkTZGYAUtZAxj0MOTGLr1HzgJGhim6hRtVIdqLPsE+985atIsiPEj9axS8eNQ81k8W7DRq
8hWBc0RYZiVD4o1TdrO3zkuLhg3q+AauVzLU1ykc1JEmbaY/uiT5bWav6T/yJrXiqjXNfh/Vkeqv
ahMeF/WyB7vYkCp6C8lijHdaLKhoLJ4GQUxew7qiS50XT6kc7NMcVLNYkfjWuGsQw44NfQ4jve1m
NUwahWppqM3paioRzS2nSCNaIy5oou2cV3m6FXEy3wmkyfXepzJqOTIFatOYvPNoDu3wQp5fOK7b
Lp23jZkiexiZo7KgmgvwgFVVDlC49M6oRuBs0+iUzXpRZ8/rfKrpoyWtSTNJeS7rwBwH/rWaUdsj
AckKjmAu7I0wBfO+8hGOuxAdIEmvSKWkWTRVfGCCKlR4UaC1QhLKrK9DZvj3LXM/Oo8pEWy2UYHT
M5HiZrzGOc5F8sPbcqtYNsEQdY1xB1599j+IZJ4whQyoOP0UhIk/WgMBpAoszlebsfuvOQUZsMxE
JPe5JheH79hpNvHoJfdZ7k8HvL7xsIsz7X2ok74+z9MQfQAKTCVd+nV6mzf5S23IcFslnkduA5vI
NlzsC1HTDUgedFh+YqBjvFVJPT2Sv9NDSVy0uCuPZXciLYEJzkr7gLA5Q2r/gKKFXnY2BJ8p5tpX
M/WLp9nULQTLelRbDmvxybAYNmEpXe6oC7GQSNeFKhDn9hfLaMYdXQu50zQUzrR0CNGVTn+rzElA
Qi0qaa1mb5wPkgf3vmvG+h6VNG9AmlnJBsC1eCCGkzW7m9ETg2ay9Dlu+no301+JdvPoDfG6MBSd
KNAD4NxCm3w/WHFsqLxGg6RviX6VHAMLGvNunq1hvqoZ1roHpR3JeCbufAIzEa0euyl+iBvbRS9s
TZ/MMNlKg7w7lPpkujRzPn5mINNwEmjECzWZJkE5S2P3AbsETQvofPWSqRQ9tsLyH6lFo3ltBjEw
PpNRlEHZ1jTPJOJWXwNB5czkhT7A2ldm8QUbiZ+RfLtkALiaZj8SmgYfP3kIdsFCT0XZusX+v/PZ
f2c+i+4u+KlS4OYtUfEPSsDf/5Pf57IezDZmr9hFzGWMuoz7f5vL+tYv5BGZtmOZ9jf1ABrB3zUC
QvziIPZg+uqRWm5+Sxb7fTBreb8ww0UcgJsPT6V0gv9kMOu9xxajWXBIqgYqJ8H8IEp8h3NLBrfx
7QqfL1pclDNVgT6b47FhXmKvjSHFKCKyiJUg/o+oj60gf+HKcst8F+a6OWdpagHTMskmGmQS4Jiq
8SgLQQ2y8kPMRXtROu1FWwla7oB1bxvRNrTQpI3tie22eYEemW96UeXHRObxgezA9tAXA46EBcDO
obW8SWzP7lZN1A3BxpE2pUPBHhgTkWBT9Qm7bcuj8HP7nOgEKEtf24plTBoXiEAZ+hpibAlgCbTx
JVSEby/raPCaBC1zLxPKPPkeyQmW2NKbzUAb+450n3GjkShEp4SOQVbzGkJXage1EThOSVUr0w9p
l38cZzO5JG3yGLbzDPytGEBwue0n153jsy1QGQFMcx/c2c4vZgLzVQ/GYhsitiuZyvg4TIbBecU8
dsxvdoBc523AV7eFVE4SfNOGK4Z0431bcrLPAv/iVzo/i6hLQHEgvo5qZ9W7VXLPWTI9lladb8Hm
TL/quYK3jPoRtyboXXY0FyIwEjopT1mFcnitTEmnWfUkF68qsgnPxqLK5khnAGLLcwv0Tq1HdvAi
9uA/RbN5604AFIijzYMj51ShOGcvphW6hDQyC6E+VV48NseRkcLZjeC0rMwKPyW9K85+ReMPGCVb
AOznsbZyTpM40dj3PSD8q7mOglviSoVcu51n+7uS0LGT0grgFzY/SoXQbxKkekWS7FybUlhgxKVX
o8R1gkbvV2PoxS5UY7kvOWoutzQw7sek9kRynLN1Ol9fZaoYbjrLy/kpEaFNK1v7oGDEyOzdt2hl
rQhqFM+9M7ofqtpq0Z2PrXUXwCu7cYU9FBunDasD6oD8UAT2WK/HnkZYZ4roFYlgeqfw3rEHxMQ+
EZAxceLjloZdn1sVjax86TYAjbiPEdwd0IyZB5fSdEdFV1DgZ0N1aGqvujBo6XbR8ICpCVv0OOw8
el7ViKm5yqbhuu/4jgnKSz9SVfW3TtUO9MtQwPptedNp61pOk7XJej2jv8yXto/BV2aQBdMyIroQ
9CEZnTsO2b6wsml9te2SrFEa5FvURG/M2x6J5wzDVDMdRTL6xUvDjxwL2iuOn+VlbAINL5Hp/yql
IDz0qCyRomr8ALMi64wtN7xJlWLeXg5hee4TbM8YSy0SMVoz8e7KJFcfLDBAHd2d3LuowGpftLDB
3FptTUnkUVufnTrs9XH0qfJpZUdugkVM+tOvtsmP9IA0YNwoeMtvOQJ5WuxW47o1kWLDFHCOZDu0
no0o1voYp0vtn0YDXrhK2pn5GadeGFyVFd24jUOAHj/Fktk39h6kKaiRiVyb1jA9ISy1Nk7fAUcS
mkyauCJNBc0e2aYzWj/OaAQwWCuWaDNDI9Xnz0mix30fUM+ukYp96JtgvLJkp65hpJVPeesQWYEa
gQ6Fn2vzzYMJAOojzC+tIBFxIPlvN3QpSSQIKuVNZenptVSh9TFvdb722s45aN4iVtg6ohfQ1Y9j
ImhF5ObswOjIyVV8i4auuptJt/5CkOF0yDgLvbWjpsckTP5iK0ysCGP4bOu9jkgKfEwMhKVobZUf
IYqpfH0/qcYbtp6CmLTzcNPbx4iRz6ajQhm3Caws9xCKhXhc9GORX8rCq8Wx4MRUbB2RYJmwsmh+
ZEi5qEVieC5wn1y45ApTj7sXThkNVDFBdtEMn9hesHTWVszQau6JIhd1WO0njgfUQovnJY9uclXk
V62PMtcAiqZXhk0zQbLxrIpR1SeMZrRR+sAd95PWxYW08/GJOXREHzpw4xVWwfrXvuV28P7wSqzU
iM194/WNPEcIakD6eoDC15ghvfSQReVYrMkImT6bdpNOHEan4BVABLOROgUBt6q9GAfc1JhlsOdA
K8XWLCbYSFhdbBJHgBTcK88jxw/fmBefQ2AMuCf7PqLPyQKf3Hj4YDnfgb44pjNz0LEW9njJ7Wo8
oJriLVBGca6mPOEMjnKLQzmtx5SpE2eMuLv3dN/tVN4uGdDzvT1gZGfiFPYPps44AdCKQBvQkYM1
rAtcMWol5sz91EaTmW8AcrjPbe/0wdp2yWg8cOoe4m3fuDO89HhpeZrU5WtzGqcvkRWYTw4T9oeO
83+2qYape3ClGZwb3uGVNoR9b6nGfgY1WZxZsO2Twg+2ctI2wtM0XeYgt/W6d8Gf+E7G7HY+iY4X
lv5vPr8Rqw7SrJcLZ03Myl2mW4XiFM9PGa0YT7TTDq+KUe7t3JZfKZyIi68Nv5juZGTGT04MhJK/
3fTPmUUEwR5YmnxKdcp659EdZjpeBTD9mFp1N4bX06o0BhE813lQHCyGg6BJcP/JA43DgeBDI4Sb
5cbUa6sCq4NDCrHih05sxEM3CiN0t/UHldO3zcybNkXdiyqgp9HYDlNJDREw4UH+0X9syP256QVx
WxXQaslg1VEPClvOJ3whjlg7vfJQxEc0/U2T2DhOPqJp1gIE3w133ZzCGGTdwa1NdAkEyKkvKic5
bVNEY4ScGC2fd6imDrVJ20sP9jzZSByfzJgF250tg25dV4wXT5v1DCW6Y+wdOVb9hlrVyfD6IeRU
MSi5tT02n4nFyA91g2ett4cZBYXGNIqiDXj9mp1p3tYYahcfrxl9dMKovXLMdHg2kpxGhzmB2yZz
/MkfG0cgwkoiQLRoks5Fq9JtWgxpz1iofDNtSDzOGLYvc1lVx7bJ+M0HPAHXOiPPeCF3EjdIxgFr
SkoPI3cZse0g+DW3aYJwDb9nZ1irHDIdjd+GLkTSE6pA84T4XRwmYsHNFgxBcbSk0dbwmT0Yth89
9dqNv5A8jNUsHMa82lZ9Bb8zmUsePR0VzWbu2rphVaanTPoXhznPkm4AJzst1kPfhx8GejKou+N2
37qL8onm+tooULzPU7ynID1kZoYxuE2Zr9mTW+NemMFCZhqHnPSZW9EQtreo2lgCkyJTz0DoMgIl
O71m32c9yXgqT5Evw0MX5fVVBTz3kdkASEZ6aRtIGhrgoJvna9WazWuEegyFTRzLz7ogsyhcIgKq
+SMsoC9DEhIw5JoR5gUxwDWd6KwxZ/GdbyNjJmFhQScqS2I8m9hWpq0BIubFstmNnuOmMorVrKVz
KwfMOjNmEPRGLaTFQ9TVOSFHzJlhQgZl9lpHjubAyQKxGe2KjpwLYp8RMjkjh5btYt2xBxw1ftb7
KkjGD2GHkMsZczHuVUqVacTleQB1bqyajt7swVCFj7qHiEiyV0UwPjL9Ym7lEI+9J0SsePUsigSR
ZLazIXTC+NLaBlo90mD4u7Xf3rECmeRwmrJGdZBV6tasx4CcUwulEBmTwS3m0PYBvbWT7UOXxjRj
1rL51U08Qt1UnWJgpkCbPvq0kz/3kcfb4XUMWc68eBSGSRlXnwjiVo+ONcir3pbittCWevKlT8tK
1j06Jkl6LfssA+r1kBjBnmmjPvD0jPGuiM3+zQbCmByqOQnOrvSgVJmVR+8PD5NPB3ySTMJTBeVF
LI7bPC8wXxvKi16EJ9z1xKPSwGbOl0lGJTssp6VhfYLC0J8sd4zgZRcLHsdfSrABz/UauCEplbkp
sZBSE+JeDSZ1RfuSsSPeWToMswjNYB+XdvGFRSL9lI6jd8lJfZCbSTfllu+M2SwBmHo9IILArQAe
IdxYYfWBdMvhzMsKeJlBw3qopXWyYFPQEiOANnb6ccuqihvVMwQsYy8IbUQ8iy4oIpbyKY3y4C0K
al7tFq/Xq+6d9KqtnUCsvARENkit1nrFXlRvtImfOjEygayDcyNRwvW2EvrchqTGNXOWbvGE5Dcy
nctb8kxSsSaOkZh2RbYTTvf0OLaqXTsskp8CkidIziEwGIvX/KrzhmSe2p+ixaKSvtaiAjKq8+iB
znX2IsLCfED8xfmPgN/mGjBJOO7R6SgmEp7osjUvFpRIuL1keiRtC/Ahcra6GDt0gMYBTPW0LssH
xCj5kjY3owbGMbDGgynxBKHFPhOFmRfAELocWZiMD3qmuFgIJnO8Zs4Qv7myplhETLltHK/YI4Kb
SaIuyvgcMUK6da0wxpY9Go+IJ/IH1guiMyS3QWVkZZQuhJV0IxvuROPvUYy41fhBQ45fH72U1VYH
dvTQVPPTd/L0v3C5/knpHbiBhA9PBpIZeO4CIPxe6U1XtClk3c2k9VjpXT3O3bUdu9ZmLi3vlMwk
mVmljjc/v+h7r4MLMV9K6fmYJyAMSlo2319UJFY1h16m9+TK5VdUGd0tUuFqI00SFeuZCB6OZBCv
MFt/+fmV3wMNlyvTNkEj7NnYQOzFavld/nrtOKOXFwQe4+XCh+t79kCcqWucW+I7Z7gbYfn231bc
v9OKk3Atedj+tWnnIQHhVXyPxvz9P/m9FeeT+EVKgu248CexXeCE+L0V5/9i4k8QprXEhy1//kcj
zv8FxTEyagk303HYK/7pkPBwSGDi9vndsWjh2v5PGnGLIfg7fwRmX5senCMW848NbtZ5Z9YJ4eBj
NBWMtDgJnkANIM+vkosdivrk6ZGhcIOU0l5oKXBa9FMyZtEJTgDHCqKaNlYAYKQQg/85jZW1Cbva
u0dYoI+VUXeXwtPx33jZf3zh/vx5371wjgG4MfEn64DpdTwQfMYBicwGnLThxqxhJ+EXRFFSmOFv
jeh/aaKX9t99VXRUf3jjXLuo21pOhyRSOFB1l8LYaPzdDNttm/ZGteHoYax6i15fJpwbvczL3CYo
Nqico3VaO+1hmksHHwB4URr0pGpiRAGoSnpgzbfnSn2TyzC6hB0y4sSrOCu0pXlQc3JfD+kWxf1T
hvsWMFFj1C1iYviVwK8mwBfN2NxWcQGvrCv6h0GaEZ0nj95/rpNtXoviVARmdeEMllzach4/xv3Y
bSyjrq4SKxfbqZibHY2QrVl+nobYBEUd7enO4OoP4mETjZb5ZI+VPnoog/a5zDkT6CjZpciT0jZQ
RH9Won/BVmqytxvpbq5g6NGqAwMXOxUy1vSJIMybfhrvkDi1LImbMTdebFUG5w7tC/Dy4FnNwtgz
vGcRI2J1il1xlc7RpSgwDtTURxt/SinQ+mQvRwZYg+996goUTAPDtBWyyBN+FUqZYbphA3d2JId1
236JDzUAfp1q3No7siGYtuTJdcUpaadbk9KxwlagT1Btwk3U1humgCvB8K9KmxObHURRaTa7NLP1
po6W8AhyLuEZ+/ZWjFR+pZ6YSsMY23JjMJgT3ENO65q/jlELWCqCVI0osJsOaNXuxj6QJ94aRHv9
OZwCBDu+GHY0RB9p0iK1LXRHrLC9ZM32ONPH+mDGBhpxTRuk5TSPxt5gZlTFN0GP1HKQMr8KYnvr
ZLTEle+GtEldc98hZj3ado2vWVTxtqk4I2AIctZBXyebQcv50dANBFMOLtUwkF1WHGfZyk2OrhUN
Dk8zkydjN9acrXuf3Ryu33Qeo9hcUl0R2A7FKzaMxy7roKcIcqIbfxXE/iO780a5PWbhnO/SIe+H
HM8BqWKHvqOR3rr0aLgCRqTN0oMhCUKm1oGDhQbzPtDdvet8KEuVrRHD+xR1NSEmeZ+COkIuHObp
BiMMNh/PT/eIu++t0jTPBpaXlTvqcQO+rF9VdUeZU9XZAz0kYzN53l6P9kNWOXqT+ZrTPjJQgkrS
a9fXAiUyXFT08t26Q1m9QaO2N8Z270DD2tpudI+WDuVDEZyJ7zwikr5PfOatzaQfO53QM4Q718XX
Q2PVMGSR09HI0urDnDc3XkOnzDP7e2Aa/pMAGr7DDrctzR7eNqdTDOyXNhObqSgf6V1uhQ52TVx8
Nq1y280JYYmeNawboeK1kvY1yWHx3prxRqQNSsUAW5F1oz1yR8NSXAq3wUodTpO3i0K3rFaVrNQr
JYTD916aDxqdBzFz4t5QKAfDZCT3gOjVzwPRHTT8md2tmOUFn+Kcitrkto56hrQGJc0G1NkzMg2b
Gv3U1CG6i/t8renMHtoa+4zIwOzXvYo2bZE5dz6BTxBys/mSmk1/yGmKniTr4obWxxPNdCIOg2Y8
T+idHtsAh/ncgQ+R0NGooyzFMQQrFiQxz7xCxk60YdO39w2Omtuxh6CaVPhJgKXwLyKgWg8zBX5H
a+rKbcKbeppOrZDT1nGzx6lMuxNacvaHzEb/MTNZqj3sR1NEVoAAwmOIur0WQIpRvIVYntCroMjG
TZ1m8wzHWSXHyENtnxpgYBGXJlvPHEIWO+W8FKVx8sKZ9Y4TSTH76aEcQcsJpCUHHOwAj6zqq0dY
HA6Dbu+4UqyNIcsOKkg+SrJst3YS3kGrK+GnhMZOK3QP2YD0ZDRS61hwPryeW+f+u9LkL8pkior3
Gz5cQeFYnrRo0nnv6kbLsGPLyJR1QCt/VyXIcQvIzT0a7/PPL2T9CPv4tlX/cKV3pUXW6TJmSiEP
Q9RDhA8DMnnQOBOWVCGAdF9dQTNJQ+xeBcvKW4Oq/ZvqXC5TxH9akX/7CABPYMBaghaht1QT3xXJ
flXCvlGzdWC18ggPtIWxBMExtljIkqBQjQ3ZQNkDKqDukCEauSZvkUwX1HFnEhabMwU9WQmqenGT
tL3LYB5ssrhllQfcW1473hweMkwWm3TIo0MSduVBaK22LYC0jcL31zawhdBXfC0RRaH8XZTrbXHH
5zAYSS6kl3+Unf/mb/v97b47AqV2ntPTdyyAxCq8V60mtA3h0wZ51rz++aV+PH78/s16y5SYfzBk
fuertUboTh0gCCjX3tfOQ3g6OfavtJ7KTevULz+/2DuO8Z+vtpz9vvsdjQTst65ScYCqCV/Zkc8S
g98xHaM3K2mbdeNm3W0f5/HJ78R86AxkWCJjTOmT2HAJ0v6Q8ktuFK9h7jZ6l6q+O/Uhi1uk+4IU
An7CzBlNEjJSZyMm2LIc4Oi6Z8TsILTgb6sgmylpXOmlKGmW8sSmTvn5ff54hP12m1T8tINgwfh8
r++G4sjcXdNgHzm4DcLmzA1JfpTY0EhHMm6ZONJr7Js8+5uf8q9e1B8u+66mFh1QYIam8mDYzjLR
c968DNYopBnS01vTOJWTvg5R793SB8KeP9KW//mN/+VHYFHCWQ69yEeX8OMPnJuWVjXRp0Su42hS
bIkwBy8IYGiRd46xymsXk7BJvSndX1n1m93PP8BfPM64A/95/XdvzhKEU1llZB+6vP9VqkRfd2Uo
T0Xj8mAb0dXPr7acFN4tS9ypiavZxBfP//54t/HIdLKrsI04UqVX1piNCD8xNvz8Kn+x0v9wlXf3
pKQphxz41qFgQLsaucGVoincFW79Nz/fX11puRVT+A6n1T8tBnXQl8RUmoc5JDNk9K3n3A2O7DN/
c0d/+Zh8f6F36wDnj74L89ZmN6m9L8lIeg3EjT3h9QAAp14+ZBFp9OTlUB4jquUoUHf15edf618c
mW1zAat/Q3AQuP1uXwtjjSsyCeUBnl99mBnkPzJLs44MYuWhxutf1UG2iYbIWyXDRPkWQfP1GlwZ
WBw/GfR+GW8gdl2qi/KcRcWz28r81krEh7RF0/fzjyv//LDRcEYuQDbK8okR7vy4dloIW4u55aNF
/bmcUDlasZnsqzk3164xX3Tg6m3dm8zUUWXg6CaOQVKOJExJNrD9yBwrWE7boSQYsQy3aWVtiK3i
oGOADOAQ8bWux+hoNgUlnLTPlgc3ICFbfDVMPjxHA8xnPVfUVnXYAPz5IhITbtDYFGvTHewrpdRv
Jc5/ATN/w/TwSAKimfTd87H51H36f1++NbmuPxVf/vd/9hUlxW9/cHz73//5x3/xO1fG/kUAaOOR
ZiV0f4tq+a1T5clfXDROAtrBH12nP3pVloMyjLwXQB7gNyTshX/0qqwFOkdmr/l78gucmv8ALPPj
Gg3Enw9Gs4zdwYEeIt8D/YUHCszJRwxJ8DZWeoSoic9WrAkBRkMOcPn03Tfzt9XUH9fjgsBbTb6P
dy9OHkmVEe05bmdbpQz0o6+o4nG2jnj8f34latEfdoRv12L7oq+HcAMJnvluRyDrDxpTHI9bGr50
4ArHgfIRxdYxFaK+ZGE0XKAVpHvcgiRvN23wBttjuFWlzkidspmFQeu1TkzQmbBkvbLxggdR+2yj
BmBz8Zlzw662wN4J9TrBsg7XyvLQZqTaBxeNeV97ZHxUX4iN4bDkZ9Zj4bfdsJMeBfK5s1vzNsmF
itYqmUMG/Z7N9Cau6DiM6aKsyPuvvTbiL2hmQvTdtGqqMJ9vUaG6MDEhKOwbQiZJr+uGu9SdjXNj
BuZwaOwef0AWB3yU3gvDZ5YwFGKCriOrZ5R7hJ/5k4diKzK8fU2HooIsnKLu7oORYyvgMGL/oDS0
XwuOaCdPuUcv4nmwkGZtDa+8Kif3ERg7a1mWyvBEbuF8TtCD3GqdU8yJbmuH5rBGhvZiFCBBWULv
UntG0uV4V9ALWqTsIO3xWzZrGRjt1USZuTb7fgBVyAg2t4I8BmPiY3PInGxrGTo7GZN6SaAdrgoi
Y2jOAdSm/ue0M3gUFimJMESHxHFGgpel8RsaAdbcctpnkViQZSsljPupGTac4hTJJgimaBbbm7wI
jqKhI5AxzFmHWOJXzBq/YrwPaIql/B9GL54J9EHlXbAecq9cQeojM9bm4sItkNj7Jj0oC+lK1fLq
lNGnSGSXosRYIdzodQx51C2F894ujT0tgrsqazf+8o1mksNPaMcPmO8jwKjizenRZGbesanSfJ0T
OGHWNEoYXtVroeRdKDPUY4X1lrrFTmYmaIi+2zMZ+WoKSIsZg3nG+l+H0L+WMv0KxvCq6KJTVGfW
OhuWvSJuHiLUO5xmmCoP5zjMsBUZV3HeJltYZTx32hfMFUP0mleptCngU1iON02HrMOoXsohRS6H
QXUlx/xsBvqLSwDNJtMtYRXFMj/Hdgb7JChXAxOrLaLsjKCJEv1FgDO7t/1rAVj5Wob6lWDZZx0J
jLZiXGLAM5yzofEYyuhqSj1zPUs7pLOrwrXw4BtmIbJ4NzpHzMn3bitecAFwAyFDupDL5WPyGjo2
nBejQ3hAVww92MquiSYtTC7tjsI4qqrDFK+cccnmvIuLifSJamTPzXFO0g0BENyI+bEzOFWHynsc
Te609IqroeR3sM36NaAS+q0G++/m+jebK3JoBvUuC/M/TuR/2l3/r+3Lfx2X9o+/4LfNNkChbTki
YJJDNwbqKnXkb5ttYP3iwIEF1fanuVDwC7pwMhUcAcbX9gQF8B/kLJcdmkkVdR4NJsk08j/Za+U3
AfY/zyieb8og8BzXRlTADojS4ceyEeJ1PSULCKpNoA0d+lllN55CmbjBJIgKSes+Tw8FVO1+BW8e
v3zik6YCVCMWR7Qw6ZbpZXuc49JxL2xqGGHgMvBPxfHqI/lNtL4jHxXvFk1FdEI6HOzQbAtz245w
ka4rxykSTqRT/ZFNeMmqtRLEGUxzMcFRNCt/C0bM+6AgNe2sDhz1ClTFlh0QCXDi2zhrpyzbhlgl
1MpAkIRrQQBNWc+Mpu8Cq0+TA7yKYV4LfP7i0GhyXIm2HSSCrXIgqkw0NPrsui7ISiEl9FJS5dxB
balD3jsMZisrHWsHNnXDOEj6hfk1TswK7w9eqm5j24Z9X8ahne8DkKEvjY1Hd+/74YQW1Ohu6zQP
N0oXZQ8/pqZpLVt7+ATbQB8d3ykUWZtu8tE2XHVoQ8Iy12Nlmnd6dJc4YPEt5hWoRonKEZcO1rKV
JE3zsXPF9GKh2CKqBaEFOmOzSg6MGtl75dxm2ICmtHC2tfLkRRTWiGmJzVgWjMeb2U7ma5kUvYUM
ePG8tPbURDv6HDJ4HhCmHIFmkPqdB3R11zOBvg3iR8tAAZJHXZscG6Uc88Zfvpds28wSDX+ae8wE
VIwOEIsaG1bo1vUL20O2Bbu5fFnxse9itAxEHWz5a+yzDGxY7BmSuxsLvG60Lrx4sG4iz4+GJdgC
1PyYNghCkKbYvanvu8T8SmoPMpiMsKRRiZDxI/uzUYdi1TYWGu0ewuCAT+468Dz09hJj2DTb3S7J
rAn1oqMdTo3uaG9k0HsPoFjRRxoWchy4tCcjR2Vqp+EDBhg2g3x4FrWklsGY2PJ8rP3AebOKYolt
Oo46KvdGbhZ7RwVirdmbt3Luygsq8/Lk8tjco1Iwjq4esJ1L8s5zBif7gqhcmsqLrrS5iiMyVV2f
Gm4O/QstODohNqf3ckBpkeOz4le14zcgUvke+1XxnHROeT3IzDn0g0jXwATYJIK4XzmDim6w/JC/
lffVvQef7botNWGqmYOWDIkBgrTYDJ+iXD8AGaDZgYbqOPUjuyq+vVPtxstmWBEtpCWegSp9BRgk
kW9Y2S5aRLVEo4Y7N8zpZpcjzBz8I6shDNaJ1fUXkLAzQSOxiTZ9cvrHPK5vh7rdD9qcweI4cDta
gmdvQlgAa2eeOjQziQRZgaPQEXtUcOtoGu454CJD9YwHwq+/9H1ym41WRx4bIOm8Q5RUpsq7ASIU
vYAMQfy35J82ABFebCuoWYzkoz3w/E+cUJ0ifMstpihw2W+NeTa/EFnAk14t4Qi4RyyCFlfmEgzZ
ZvqrV3bnHhnVuhkNfvkaRR+gktlYkSBM3B9BV1HotOD2mftKrJG7earUVRrD/ijRD6/h9RPT7XmY
GyZnfjH43Ls0DecttrNmT9UzXnwQ+SZqyvEhIz3a7cL0lDuFR0JcPiBgJzrNtzV5BVKXd62CwoyV
AKICQL/ruct6m9kRafMxfmhmBxgSNoiRJGhlu4wQlxE9TMEhpg/E31RLNvp4HQRox1xYGdsgdpzP
XdN+rRspNxBvG+KkQrmLASVsOwtgHoO74tZh7LSKOiVOBMRlrxXxcTvTQYpKs4A6euFQbPKBPjdP
AishbE8Y81Pj/3/qzmvJdevc1q/iF4AKwMREuNkXJMHQbIZms+MNqiNyznj686GPtLe0rH1sXx6X
y1WytLS42MCcfxjjG0+9o/ufRdz14b/ol2g9/9ovMTtTVZNWiemzjvzlZ+jxp4Fwjvk3iAI12Nl6
TbAHKLTUXDVhPp7qLBUPfd4YnHE5G7RelBPyPsYX16xURrbRkAFan+nQ7Zj3mubGjZy2is6wlfRo
fvrL3Na4pnq1Z2MQWFhAXJ0QBZZlthbsZJva/WkwZrRvHk89mjQRX0ZLJWKHlsvs5L4IJ/swTW18
DmwcEkZZEOKAvE2wX9Sb+l0RugLnLzCfCPRG6ZbFo8Akq0iIzGwXe/JbzP7gePDTkMaNG5Jbsj19
y7BO0OwuJgTIWzlYzg0VMMIfHVM/8T4+r73XPDL0KlYmCyRkuk7IZ+yYpzbUIQuQQ7BhwBFBNc7t
RW5MxdLsWb1sbbNSUBJ2Wt8lGyYATNAGm+asUkeZ3lrwh1wCZlAOtp3yZVvWeFPXurFL/BzvamWo
yiWOzcId8kae0rEW51oEKLz60aVfi9dhyCBeyybaoS7S8hPRqRKohWKfZGPKp0wpBC4um5CRpCzW
0NtrJLYjQyP47Wvh2/eBtLNlLV+zaNx3TvMG/mvTBrTiek1gVhG9d111cRTNviVXTINpMtGyRFF9
CdSYNivni6PegFM3V9Z5byhbFrDhm4Z8GLk8NXNrdTeNkl30vg2PARE3kDCFee7CYGsZntxxrcRL
tTFB41kF3Bu2ouVuslpo6mNRdwAjUB04mPSfo5GgLFUv3hlPkCpSGTRmkwPLhWfzVLIOvg99+WHl
xnDJA948wV71WDey9teKHaBDt2nNp52NKQGZDWbu7DMZjeIZLifINDsG4k+mUCePpGx3OoeylMOT
Mw1au0LzUryNdFYvKPKM6Z4AZR3sTGGVwHUB/73g0A6OdtEIJO8wqEm2tfCYdaDWfDb9710QQ8FP
zY52QwM8BridZKEAQb+Oof1eQDz6EInuoG1x0nud3JLAtfx42khkKMukbCXi76A6tHjaaE7DzH+V
qe1fVKMxDowhqAjKnnu+7X36UVQppqnY1zJm/2eEwnyjqo1h+fmDr217tUxuwp59Nj9NxpVQ5JT4
gha175dkgIJ2VyuyumY2SBMtSYfB5cthV5SwyRHE+5xYxWKoJmJ18PX6R/pKh69Tj7j2wai5Gqu+
C7ip9ImrxfiCbNVuKb1QWo8CKh16XlBucYSXZLDbbFtAU+T0sxGJujTP2aMpo/gQj7E45kbaXaDJ
OM+gErRrmBrKGgOdf5mUmJJHqFV2z8eIr9o08dMtQ64mbHnqDeQeOtrSIF9W2rV1G8Qg1FBSlHIO
RqhdvdJfxiIjF8zSWEerYxy9JE1oPY9e/90VLYB1Teu6raZmwJ5Crq5eRiSSxePwinKiCtDntPDG
aghvb7UadPf49Ixnb7BQgugpXNeFX0O9hLPYTVsy5MTrBDp/xaWkvKCxii6h5jlvRV0OV9Tg2W3E
5C/G6q2Dv6AKZ6MbqR0ZUmpCuMycpkn07WR+tKZBpIqCyd4VA+ZgV7YxIFAtD/1+CSpqfCVwTzn2
akFeQAbXzVnomRejnI/Kg9FaPTFbevepphW+ALWp7ScUHtXMjdYVsc9jbIgLMCcIlNueGMWkGMKU
IXNVmVjsVf3Frqr0XvZ2vOs9hD+GDyUSubKhrGrDy5wlDExdLPrOqW849Op2pRLikDCtKtNxIYde
f20sKPfbweiD9zHKUWnADuwOBUjURYk8F7BRbNXwdqmxwShAAhwHjpe16Bvr0w8a7dYLzfYmiMBq
bSyhT48NoYiFqzUoGyRM94eslsG5MTP7PR+05r4jig4wKY8kzROsXx4Cn5cwZePIK1/yjCwrPzNv
p65gySA0h/4HvS+JPo2PlBjrr39upMMgQA2V0xgNHPaWGuCoHKZE+W5aA7JcnRLNs6hrVR4nJwQH
QL5ZdyCyjLynQIh3DDxjveaRL7/Qd8QwKk0vXmI+85+zIfSddRxY/q6l3/jWw67DYAFsyE2bEA17
GVoDGYUdIL8qistHwIhTv1SyIXXJr7BzkDZ27zqxDfOWYQUpBAihm31dRc4pIvj+wveTHftGo+o0
6+olLXvNtT2RsUumeCkQHEG1gxSCdT+1G4y4oPilq0FH2lWG0m8EzI9+FUmpRcvIynkeIzKAT8if
wlMb6v62BBFhk0GAGKHK2CwuEyvpmApFMfPjIDSY2GRV4zwmWYigUObWAyyV8Z0+BtwkFAvDIFdr
JE4p9cDQVBBbsXM0znAeq/5ZV9X7TmnKKwwk5G6wkfNTm6hqfu7iIdh2ky7fmHjO7psxaY4w/YZd
KXu2QINeP2MIq78HX7XTFSHU9n0Oi+d+MiL/cewTbiJQJsEOzUDQLSe4JHsf8WW8phBWDn6O7gqX
tJLtAj8iYTkUZFp1pn4zZgImSRwmasRyjJUy2Be7PyLlq04W8YrwkcvpYobpsCA9t95ZZme/WJo6
3BPQaQ0rDZLFjlbJ9NfaIJJdRr1ZrRnjpqup5emE6zTm1qnUSExdqQw+lpPdjRu17MUbvqRq15Zq
flS1OQ/QsUCqQoYGvkW3RAUW1BWpF06pDGelQgkZJrL/sITffPoFsVmLFnxDtSKYZa5YOSfeaGch
m9DCky8lzXLVZYrOAAIBNGVRND76PbSnBV8x2nvHKSJ66SLokT3g2ehmTxeSeB+V0Eqx7BL3W9tc
DZlE2srwhpzSLBFoHX2FyZoGa/hgY/jbJCBq0L21w3ORCy8+pUpq8gwDTwWEG+KbWHGei33ZDE16
RiZAFdDRCYeboTRG6gsrnzXYVEX4jfXcFWCEeJgTZ8LL0/gfUzWJfW3bsera5YAhwQFt46/IrK32
dZQQri16lFw3gC0Uf2eTWBO4npGPr4VD2aYCOXkYSqf8knFv71TFyZ4k8aqPTtZBkOp0td/0qqLt
YCc3G9Mc2h22b5sEtaz9jrV+pCMWOMyWYZolw7KsbRhhmlevm0EqG66kcuXEI32cSjOW6hZtvs8w
hcRZS34YFvyVhekU8jo5GtQHnSbSJ+bRIntwPSaJcLPame47sMbHhOnMirBownm8ekDUOkT5pTYd
74MsGH0Ryqq8T1QCzFd+XZNkAeGMfrER4WViKLWu8eo+GY7SHWH+Dte8sLIdreM8o1Zy9RRavb1y
sgLsSaLKm44X/jo2lP6VkoxbdFvhcgyH7DsHL36SeiXJ3IYAo0XGjRbWYjdoXvOMv9/Yp8SgwOMk
OC6Qot21PuIPuE3ZRsfJX1vynpq8uust2ANsn4zboBX5NjZD80XlJ/fuCUbi9EByDQimWnmTFt8W
bRaea2g5jKkwp9Qp3pse6hdoLt3/to3gwRuUZGvIwk2rRGyo7XqSdhXfHYWsbpuieSH1N9uUcd1v
HMJW3AD38Mo2HcrTyX5yOLAOWVD0O1mHH5plefO0gmilCq9TI4DjSL290QMv3CKCSfaeHaFyzABi
+9qQEC/aZ4fJwJlK1GXFh0zqLQlAzbaJIqRRDao8/jz1mogVdjnOBtSp858JT5gxSrIo5igoQzM0
TTN/EZ4oHL9Zz0GyIzdSp+ycqzQbpOWx6DOjX0oeITiPLAPRFopiHY8E0PZEWQ//6oOIX3aLfBIQ
FQboC5NXXAr7F1Vc1XrlkKI13I3sG6IO+m3giH66KzrDqU+2TQDPGcudBZZ4SvtLN+b0f0R/Npo7
drzfxEc/9gPL96du1Ct/nUYO8zMBpLZ8M+VkGSujVuRT2ejJ2cGacZhMkTzbJbos8TOQIyNPe7cy
uGFLna7xifEHisCmEfd61ysfVQBhIm4xF+JHaWdVvh8+N6EwZiOfcXDUkKGA3alPGJZ5UMJguEPy
G9krJrGOO05qvDeCplqJMRcUEsI/9Tnm/IYd3wXe47hXhkEc2sTnOmTJClYuedZFrt4R+31DBJG9
1OehpTWPL4ufSWY3NJyQChapwGXkKi+kJTP29H9GoJbUwcv9DEZ1o7Q+Ldu0zwRAV5fJn7Qn7Lwl
iQqshBh/zQX70MhWX/m+HaInS4YHwKQ8p7jRqO61n0rf+an6kf7SAYRdPH7IrOLsVIn5in76BA1/
2hbOM3zOuiSzVPy0E0yTzLdwwjgsAVnsFE9/8OXY7ooBtzASNunGE5A2JXJyEt/nngWOBO2LPXcy
6dzTmHN3Y899DsKPJnBJUUrvI6KpFpHW0xHNvZE9d0lsb8mBLlK50UsoDtE8EV1ymijvyU+TNcz9
FqIy892ZezB97sZGUiJfSjWgRWOWQ7tWOIE+3Zuyjl+knhRvKAzVdpWNjRjQ1JR8SRJuxrGZ6C83
PeJkk19SFs+VB739UwmIiXQD2frfjWjz8vynZcbfLMT1n6H/X5YCFjtqtJSSxEMD5+6va+oMA54I
uE5Caq1DoQz+bd6H5aquRLzLUtXelTZc2qXX5p47VPnJhpl7GwxzorBi9sMN3LCSadoE6psJQFYs
sjTuL3Q9mOAM5qTPVdoRvOqHorzHKNxh7kBb649h75rWcEoT70R62ew5AUp1q9lp07BQGLwP9mhi
bYaFScBFGd/pjsQFOZg4AkztvhDBiQjEs4OU7xZWKzFawlsT13jPOy6OajodaMwc5DCGCvkiVFGc
Ma9rubJL29wG4Qy0bEwKVO4OddsVVnI2iRM4i1zrDDc3pH/VLBOKGmFPLpJCxZ/F16Ro0bbVRw6X
8mzDAljXVDINmvhCYSlvCKdz5ZDEN1Oppmy0Qd0xMiSO+tNq63IumFsKSdmcASWjJ/d7b5ULtu2G
nJKVUw5dioTe8l4Ctgovg0Sds+zB4q29hqT1MEURwK1rWOwsogajxuhvM1vyyhlmD0cQiwKIWGj5
n6nn4E9JMEps6ISzcKbcjxFcqyrFhYg4f2uqlXdHQlnwnmoo9BvLJwQYyNplYDLCpCBktR3K7iaJ
cBDraqgdGS1OPJUUnUnkDPvYCRRoj6Sc8q9rIBXa2SUOifdmzluUD4CWeQN8cqs63BJoEIsuWJsY
oZfWBB15tMrmpdO18KoEtf5YAszeenDSg2XelRxNIGPuJuIwUJ8bYi85pWBLwPHF9FC4WBassxVo
0UOm1iA3EBsAcrX5Zm5CoYKtAr3v3Y7xpAJWCFTea6iTt0WaE1QGO7NLGFCYPzfRFNTGHVATbK8Y
NlPGO2pLmKrIGvucwUIQwGtYImk/+yStmYOgvZ89kzqvnCqmutPSL+ZNlAd6uF444UhkoJnp79rP
1sphfwXCiE1WLaRYt3pvPSY/m64MvTC+obCn+ww5vbMVp1vx4jPdC7fCMDX/OBWFprrzPfYJnmjA
RD0Q4UYhwLYtyrueGIZq4H/pDIR5gJhR7apkJs9DudyVetlQV5cYxBetMzFqIh0ijrYRIHiSXxhg
yFWF13EvWkE9Uf7MdId5vIva+BkHIpSxxr+ywn9GMMoLokdshqyQIO8JR3bnWOtCy9v5U9dryaJ1
PwSsiGoll9siHmtES/+9df2bg+qvekTqCkujsOCQgiwlNGRLf91dqkzmY0ai1s7xJbieUxlXt0V3
9/Ob/EeL8H8vo+yap/z31xiz+Tf6yImkCRkK1P/187fJc52Xyn/5C/dHvnXXflXj5atuk+YPCdX8
T/67f/N3zdd1LBCBvX2mYbYKay6gj+bPcrB5x42Ii+Lov7/tf9pxH8Ipr97+4nb8n1/2+2Zb/GYI
Swcsg4HR4ofz+1pb/w3TOLgvy8J4gCmPlfIffkeDX4Eilv8IFVHLrIj9Y6+t/eYYpkmamG3zo8TY
+5/stf/pBpOI1VUHmRxVozYLyv76aOCenzLAHd0260BxyDgrNr0s000VwTCqamcXeh3vi0Zj7Ldf
umd6B18yqfrTV/Y3DyjAlF8WGPPnYIdvScsiBOZHNPdnRbtwfNjEuYcvKq4TYEDa2hDxGgCN2d4G
QLzKbWmeCYU4tiHTv5EBMWHi3iGiBlmUlbi2pQX8cDtxL4RHoWZ7EQ3FMrQbiLMNMQ6mtS80uI59
Vy8M2dyN7bihw4OHMGcLqu1Dj/J4lL0LbBFmRn0G4XvqY+9GByvAXQ3WiuFo6p/gLKeLSMbXNhSV
W0P5BKudwxxpzZXkXAR8jWfOHfiNVq09jQbH1HNdF1dSENexN24jX5yRV89AHsKX+GJrNiHPgcmy
0M8ndc0CcZEPJqKVVFtLbPejfsiVfG2WAgrAkxJPzFej+3KOsPSHrS6sm4x9cRSzkLDK+2GQL3YD
WXEc4qNjGO3C8Du5HIj+3goZPjl5eqzs6cYc5Bdw362tvuJ/emByzU7LOlSyupgeyfVN7jL1WPU6
tAkYET4zc31JNLbbjMk7YK/PsBQmMgigRJhXvnVn8na11JnNTCLlRET6MFjTnhrhQFxWvUKFlix6
Tae+N+/JkN1V6oWA0yVEPHNF3NZ9OfhnEH3MDZlWXQVk7SQb3ZA1ltnflJF4SG3Ob1UxmIndl9nw
3aX2bqjVlwnq71hwUQV98Yxedz1KAP0lUULpwAjBy93Gch5+0NdyzQFpLAzNSqmxO3dUu6OveM9e
AUfcFJfKQos0WO2DJvKVpn3mKUhNtdu33cBYHeRcPrCnZRsgXNxSy9ij7hgaekfI3kYDtoc2weLR
LAPzgRWZCu04+8xngNwYpOCRIbnpquKmUfOhzqG3noqlgLEGw0+XsTYdXvAUpdrVSJ+sqppOUdzH
T92U7uvYuPOGrtvY4zw3wkS5M3RzZXXx3sqclVlm5BrFz2brfRErC5H9VMiHmoggMFzKTKtW77hJ
KTr7aVf40ZOhZT3L8RyGXnDGsX/bDeXKN+nXpTgZ411lFwdLdaCdBNyzxpjf0vdt2xbcPSShcwMv
y/WjhrsWWlTDmIQYARlv7eDc+RpYL4oBZ0eQFSkCbB44Ds5hyL7L94anYmq2sJDevSkEpZ+xJVS0
6lDCH+PNAbIcmsIdMX3WdvjOKmVdxmdW/su+0O7wva60nMAjdXpkQLjt5sSNBrARYntoOFQ5Cmka
2WCBddXTnchbgy0eKbYekQKw2G8C3aLwnR7CTpersrVemPxay5jhqTlJvEEUGelwsvR6o+vDMpts
a4+91/XL4ANp9lnzmKUZvn5yVIiHJeu90PF3Q+y8kuezC1v5mcdIVMvpblThhoAeSdcgVLZyTk1l
9xytc4uYXK2KLvMduJw89eSjKCUm+VyZwLZqlW+epZyvKju7CA/cW/2KFTQQvKoDbMMCUzHlGQLe
HapP1AlZcUVmtOnQ1SxDGeBoqIt3KEgrIDiPKbNbk/9jpUcxCkuJ8nLIoZNXD9ZUnbyseWnHtGBX
3gbLwrIJrRjvrZ511OAcBqvZA05adGl1ZZ52mkT50iTyVW90plLeLUlLL+UYP8UjRIym4M9h0iMo
5BJ1rDmtUL+MhnJxbL6eVCtdBk43DN7DZRuPSCmMHBaHVUWgcfvdHDev62IzVcW3iOFrtNGb7aN6
ZZ/BpDXQD4B4sBWXBUj80v7SdetxkIQvMZ5x2aquS+GwmTaS2kXIAkhGy7b25Lzp+FQXZQ0N02lU
fE7IFvRIedDp+LF+1i5v2LEZtScyat6xxJauQdzQUk3rtyi2eDFQoAQNaViOd87YzCm9fat2zXHS
1Q6WOYvouooPeu7vJt/4Kn0KUtIUE0K16tuJrxWS1YG6cI3IKEQowix/rNKIjAhIb0Hlsw0dPBdq
3Z5Xb9egv3BZypyrAsEVGkuEs5FyMGaqSeiD/s+LTT0lF5V03tmAc4fAeIPrgjxdPMHsEivTOmCl
3uWTcdPXKIeqGxO2X2wxQsiRJtBR3JjypRXxg5fWGJqrDeMjsmKI2sk5hNTcWzeBtykqc1Xkr/A2
j6ljPXWVtiPtaNWA9STYaNt3BaPSbKVBoGTzaO7UkFi9GOR+bN2XXr8qG2M7hscyb55GpvV9n2wd
nnQ70Z4p5U56321j4qMWlrMJGy9eYczbTkpAwlNXXU2veatieojAQDRsVk+2UxFKxHS1Zzfm6CR7
tDhgbwdm1yiEwgWxGnfKJA7jwMkFVW2BtQ1ttLTOcgi+inHvd5abW+opGL7xxR9VaaI3mRaVKghW
zFnJYaSGDLmnfluiy/gO9ewz8I2TMJujMKttGPtXJHSuClV+ISvn2Z5z0NvvRmrLcuTopMesZXWU
5cBLmD/zijyWZONYyWtnx2RkZa++Eq3qOLpt1fZkReZS5JLjxQsOkkMLsjEqlpyR0nCE+LgcC+hj
Mn1NfSXBeG28OxbMm1bf5sN4oMtMkZqLZeRo21QAbdfat3ZqnwO67ATVBtwtJunZeyrGfaAcbJR5
GX5um6xNiOLFoTbBiSVYsCOWP+E9EATBoRD0K4NjGdA5rISl0bRuM6SbXhymyN71enJSnfCrszs0
Uz5JNjCEANVuzAGRC6adIFYPuU+wSuKAvTHiuyqDJj6ZF+ixywCFGgFBL8EhS271+iFC/S1KZV3U
ETqFeqvhwlqILnwElM7UadJdEsCXfXS2plXWWhvI51uWkp8GLXMQsoQs+QIr/dZIdZrQIcEJHbp+
nezJYluZlvlYDdU77mjPbQyDTLsueJQlKDYJYW85zEsCzTTueub0SzOocdyrRKWbOWsKoNPLHsF8
jHSbJVi+yAx5LgLzhYXKh+61TzVaEGTs6cIyqscqxtreA5+1KhfwzNIEgOAPFDPTtWNp3nLwxoTT
CJleyoL8C6/ejBpRTZ2y1P0DdAZn2QfDLZPPReDlhDZ+JwEIovCuKZ2bPiVIryHniI1sOK7MxFoO
l2EK1nm9DkzysFiHrxS9wrsfBNwfoauo7aXlKiIxql1E/WZyHnxLf/J79RK2KueBvQnpRsNZLo4m
LjTOE/GQpJ3fggy+67Qz5EWih3COh68K/N0BDzDZJYgDove+b7aor2/DAgy7Ug43pAUAgCrNbyd7
DHg3x9y/6ZF/RVW+9RwaCVQHYQNFYyR21L6aPZhMo3kj02YBCqFdSU9l3ED90CrWU9ywUBzLR2Ky
3KlUdq2+dyDfhbOayqAkHQgfIyLpXkuvnXR9UMP9sq3j0plFQfC60vTBRwi3RNkekjmQ3kJ0mkvL
esKJnsWHwjbTD0UGMAb8idBBT1TUkJXTPLNwzB9hN3YL0Mct3oBm/M6AIp+dSLWBEIjus+tzGHGx
o26kJF1lMZkeQo6WAYstCUCUUv2AwBzc2SI192rpSx+RnJluHb2IH3PLsV1MAM6F8TLfpNIErynV
8DYhdJHBpyI1tyn8/CZykCwtkeYEIEEzXtgk3GnzcAp1ovrFb2l/kNAyvbNwU7epHJuNp0bafY5J
bk3kYHOyg7G6UbMo3RMbV93T71EfU5gNi67K6rsyjcUVW9KwVJySuyUK+p2q1cU+7ww22ArLL6vy
ueMmZVh5o2bvfHQmLLe6xGH+VZSHLAfnx13D4pm1+k5xivqgZ5Z3k1RtfeOgFgIeodB6DRVwSYsp
06ExLOjS+njIoXlQzxB/d5/bjfWoVioT8zxjb8SYae3DxjsZgJJfIHA4R2ZHZAyVgvfHrv303Y7M
9llJhOyRbgbRyegaeZVOFFwcoY53NYkeR61n2N4Z0XCqiHuCgPnYoWZlhVdtnKkZLh5LvwfFMMaO
iMVRfwFCRkRcCfXDYGpFBKfVHvtwwtzChfkayNDakilr78mBHN5h8GbnltTPs9Sa+pS0WrRLw5FA
EemQiORDkA5gmRFQNa9MqesXwMLQI3SQPIWna3DGopRtlV9syMXgVIlHSA6BjxCXzHttqbESeYJl
HSzJQ0lfI5nox2JoBWISS9ujx0SrhLAYj094zofXIWihlqCk6ppkPLF05iYt0rG7r3kyR9j79Zhu
yJ7IVm05fbDTZfDa161cFV539RTzwc6mE9FRL2Y4b9rSXZATbDrBrjAaxOXmsC/DyGU3i63DkkvE
Cv7KwIwDoXfBDve5V0pg2ZHKbNb4NBMuMz16M6rYRTu07Px4TdiPm1G5zcFLcmB+j2X5aPuGusm8
6mnQ86ueGbtQtY+J0a4MbVoGkeATt5suPupq9ahpjeMWSv1M3DOZiH5IRZma187oHjxFg2aBxoyJ
4yIMYtxIyg431MkO/W5XaKWxkljCt/BWUVRM+mm00YvoRgK4JnOdMmCo3ddrVE5rlF0k7+rGuqua
dVYr+qpw6/YJER1Yv3oPtgWRr732k+y7yOqH//ewQ/w45f5nbWAbJmwLFcmmKVj4kUH/y9CFPRkV
kzT7rZk80eaH+2loh9PQswFWkBDcqGZWHofcn+5mMOylh1Nz1aI6OlVeCUe0NrPu2UaK+m79vCrx
/NYAuHOOcn6Tgvmdiue3iy1Cudd+3rj53csnP77vSUikdObVbOd3FMpzcRjn9zaZ32Dv52UGSlzf
tEms3Pge7/o4v/X2/P5XTu67KWikQ+rUzqZveyRQnu/Zu8iLx1WmVd5ZZxC5Zk/o77T5lCFUrN/5
HieP2rCoLI1eXC05ci5pNfW5HwTNvRrl9b2a1+ne1k1E1lPVnCD1ibUzn3S6Jznz5tMPJN/0LucT
UfFz7UufT8lqbMJdULBQL8qArM/5MG3nc1VBWOKmP4dtC4huO8Z28JoV1BmFOjoXI4odN4Am8MgG
h4aBuS8DlKA39+XYB3eGk2sfnqMMblo6COAiLvmfSyBvY23TzzcD0dHdpzffFvl8b2A6G78JjWiX
1XyrMM/JH7X5plF+Lh1+mvmOVGvyn+Y7yZ5vp3q+pzwrCXbDkMMc5Q4L5tsM8fxD6CHUWdhTPX0y
JNwjeYCpXepa/dhXqfpsj21TLEY8iE+jtBhqpa0+vvTOQELKKFhWFz4DqJhn023NLl9MKQWcjnVv
gXD6aNVJdgyCIHT1Qg+OBQNqBFAlcEfEoKYSEAhkVJb3ZqSyzbc48yeaG2Sma/wMFlqU5ud3xHyY
Lq0UtR73NN5CHqYsgMyT58k5zyLzzS51fZ9GHBIbsyc3C+ueQaVA6E3WL4iuit+FWtx1AjjfqsCq
Xa4D5NZFRbewbFnXMPBKTXsRoUCbATyDi6DoEtBtbnvFeKkyRjmt2tFJTNSVE4/viDOBy2ZwHcW7
RlF5TRrCEhQCCFZoPVJUdgSm2jTsXzQxTwpr8INoHcetC+MBdSsVkKILSNJ4EboGgQhyr+Ri96Zy
C34zdrno65WnxuHVAva2MJs6IiPSvIZadEXKGBDk5MTbzKLMblP1xhda42ZdMLC7GTqKniaJUfaa
ryH+n62thd8jiUFIRaeAqjhuMbuOt/CsVGi1/OPwDAPkW92zbDW47lIVa3JGSE+rcn1TAkpdaZ2T
EkFsbOyAFPQk6yFhqaVcM0xlrKJWb+yw7qgLIfebA7sPrX8o8uEx19PsvgdId9LtJNgYeDfthd/G
+W1gFcEqif1804wjqyJFI6ksMou1jUoUZV1Xrzuddy23mWt66MnxoY7Wwh/q1x7K9W7UYjYeU/Yq
CW5ZpBJrQ2LZzSZ1BK4A1hA8VmG9KNN0WFbaLI4vsBfgQymXasF8EdoI0hDfSSktCpV2/izL0V75
goppDGj5Axvsae4RYOGMdK3e3A/UTnfl18kdKPWEaxdI4APgr2yP/tqDJEeiMjuV8JB71qdW1OkV
ONPEU8CBooBFpov5hqJxJeNQW5KQgZsEfNaxyItoCdQeorITfIIokoskqrnayzpdURVgTxnD93HU
n/vkBfn/obFVnggdiU1mnScth2IVZ99mPV1GLTcphdsMp2KTIBKwLd2l6fCPdaV3KxFxOGokkiN9
J5M+z40KDaSuPji87XSv2seQq8KVZfRgVcmW/b/jKsLu6YyB3uFiDm59S+xHq0fdKni/sHP2WC8p
BxhIHztPQp9qrbzchk2X7wJdCbZArKfnyJ6bTF+QsDPExIYNtYWAPWq66dULY6jHjhEsQXYrSxa6
+slqouINR63Y+eCN90HvRLukMeqTl1vNuau97IzGeiBeS1A96aW1hfvcvHZzbYU/rD2Kud7qfyqv
uQbTlcbaofFTcNHO1RknrvFgzyVbNRdvLd/4z8X7H22o/n739OfV03/9e0uszVc+IwTq/1/WWGJm
Zv7va6zV22f19o+37PMfxzf/rfrH9q37SsJ/Wob9/Ft+hyOI3/R5R4VAyDJMdkjsqH6HI+i/OZpB
Vj3LLsNGFfGnxZb6mxAE6thSSE2aOsuwP/Za6m+q0E3UTyo7sZ9t2B+Lvd8XSOwE/1c65S/6Japv
1USO6Tiwx/kg6i8VVgQHYRDk3bk9togoGjZkH6wpOPA6G5s/fU9/s7vS/kopmv/s0oRwDvAWCgO7
uV9+Lz8FGlkwx3JJwlgTZngZ03Jbx9Y6y+V6csqXVCUJq39yxFqxppOfTuoyEM9oixZ6OOyHpFiz
897+i0/1y873/34qoc97Xz7ej1H3zws1rwjJXUhLzy2C0W0YTydm/3/YO4/luJU1Wz8RFEDCZGJy
B+UdyaKVxAmCcvAu4fH0/YF773skde9z7pl09I3ooYKiSFUVMn+z1rfa9SDkzkIRNSN6l0a+9nB+
K4gDaFg3U8DIJKBTccmvFdUf6+G/fUdQ+f664lt+IyXAOblITGBW/M50IMKmMnwzDLbN3EV7dCzH
sHCdBwxywd0YYWqoXCO7q0hyJczMm09xuSSHzi4jjbR3Fufsq6EL9z5orYzFuwrOjhMfkUDu6JiQ
chXDqxy/ZuTC9ahgvLK48Zg+wRIakctOcEYFEEbIUVu7YRIc+fSIMcPPeVPTUBXCvTFrY4Ncdlc5
xSbJUJGh4e+i+OQZD4MoH2ZA8AL5pkMWo6vAtqNEAl9JYwQ53kMrUpeXxhMHRKSsJD/hrjsakG7m
/otRnD3O0RW176maVplwDqn/0nf9x75Lq5We4BlWozw67UswdEe8/YgnYa7rdpM3GQqukDSRUyyT
20y5a/KE1sqdtjkduBu1QATh7wXZsr18zPviBJ4Zdp695NowU8rbXZ2oabcwVpmcbwRjE4OVSefo
mz7ydo39Y8RkwN2OvmyAxAPjoi6x9Hz0lH/CG0tWAfL3jIgjhj1W3O8QT64TtzxoAkrDrOHl4cf4
RJLXw0OpXbzEiEAMcEAtBMV56DfSHVeCEsyqv0TyThT1pcA7EMeKiRuTadM/VQ5PZq+2Jrx/I35M
ITYY+havzg5151ufBFvH+QJW9rVpvmJdwygNYB4hQwMRzJ+usaaABwORK7lDw70OCZi6NX23emTG
/BqCGbrBuOtsZJfeGZTyD2LGnLUO+WiJNmDaljvl19CuA6iqEE3XaK4SpmBF9r1BJ3wv5hDuvB1L
igt3eWiAc2AGiY5ycB6l1YlnjyAsCK5h9xkmC3xQ1tn0CBKHAV7t8CWv0gLGoh0Q/VJgACU7GzdC
gHfukYgFpgdeIzetRkC9KoYlyKmqvPHN1VN2KNycifZY9+FN1FfxBcHJnasb717PvXxoRf4n+et/
L8l/rfXg478IYf/+klyuxow78rdr8c/v+1Ps4X4gi5HEOAfpiKDTR2zzp97D5u4TnuPjN/VddKk/
XYseSGwYB0xDBPef7QCt+utedD8Q4ODBo+a2BYQH4uC3e/Cf3Yvwc349hWlplG0rnl3hs5+B0c7X
f3KKzqphf4XE9jjFQEEL+RZKaClxrPPbyJmCC5m37qYw8mdwsSga0s7Y16y130bHlTeJaizKRLVP
XK9YobW+Ip+KVk6hnkMn9zeZ9iX2QfIc1lMaEcfq9Pc9Qq/VIGx8+lWXPTZRarDA0JplscOCpFmL
xruZGk4E5SLWlHAFSb287wwItnhXtyZgFJwpwfMYBWqHnYPYy9y9sOPw3iSsZiZHNHCloDRXPjnK
ZH1z2xJxn2XT4rBkbW2oYUcKGDDsBDw1Ixkm011ub2qYojiN5KYLNTkxiNLqyDnwDn7jnlwNVX7B
+7+dGvEQ5+651BUJuR07zFL8cK14PBlRsCyTUjXvRaQfY17bOxCiVAGzUe3Rez2PTNM9Y7h0Li+m
31b2JZn4L8d2eusU7b42sL8xML+x3Y4lmVnm+3hsv1Zimm+Dl4YzZ9XUmb8jPPPkWFGGQLbFbDdt
sBduM7zOdU62paWKHy25MRvfS3YWgoxRLelVyVPNLDyqcrHRkq1uX9FF039vjDk5GFN3bwi3Z3vS
jM9dPLtHW+Zwz8S4idMSmwbrerLNQoahYfRIlOUDST8wWpZ2r3Gy3ThOijyk3LlzUdivWD9h/iQU
az2x8Nqr1gnWBNq5R4Qh05Odlw92WjvoXWzmfkv26aOZBTMNS9NW+9ZIwrvRA1PuPsPDafdz4hXX
QRtk4PT9TWg6dxF7N1y1H8NsQkFZoY7sqOSSQV9C3RwNElbMOfw4hIM+Y6Wc3CnmrWputW5/pMUj
wmow1tK3D66ssvWUTwmG7q0z9muTUNBV7dsGAdMzNYiob6fevEC/pGiAF6SU2pX1tChN2Jy+CAx2
qyrKjc3oLT87OdamsdJZZT4LEgjX3N1k7EYr0exQ5bBuI+VwX+OlLlzrzcGndZ4t/wca0JsllcAx
c/YU9dVuFc1fssHO96DnyPrcY/QyV3EZb53OV4++V+wI/cC+KCbmsnaujTtsau4VixjQBh8Df2GT
NF05dXduEYi362ZyPZJl7epkB810ThytuFHInYdNGJ4NAPgkFerumCVB9jGxw0Xk3TXxJRLAzqMk
1IeJtcBTI5Gj81FtUFOY02fku+UauHp5jTy7P0pZZK/pFEgcWjG5veSykRNeeOeIEJpzhbGOu20Y
dq1lLauGebxhCp4/zW08Pqkq706JWeXPOQXQru7xCax05eu3Nujlprai/haTlHsDs7+6UB0M9yzJ
7VvXmrtTa2rrs5Vk3VaG+JlHat0zcIX0qCPfvZt1GX23nZGbs8kn/a3KQYli/eZVR8Qc3yQVmXBu
kLXnLFAWQ/q+N6+EzpgPg93XtxaD+0ueltHzxJuFNAX7CR8VebGNwbxQK7QN4tGYGVVekaJBVOAt
/UHI+rSd7hNSoop/Ucz/wXL7eWKsfPISbFZGHmgynz7j11M7TRHv2M2M9SkMs9vK0WV/TJq+uQU5
zbA/ANNdWbAmJ4HzGYAm1G0srKipsc+w0X32+sbYkXGOqFUmy9ylscqNizlhx0SS2ConDrFJd8HI
Zy50r15hJufWzG9BopGzW/vztfKsYuUEKruZQrwVfJKeXexieNhglRPMRVCT1bgrgqmftGZ033VD
fgf2HAD0MHXBUzWAcNr7gBCIvZRzTSpNwT+8EjCEMd7jMd0XcxR0ANWCftybeRglQMCc8jOGZ1In
qYDIbyRA+Jm0LfW5wYcB1GveGUI9dNLYF3FbrCe0ZBVMx3XdShSfZuah+y4uhg3JdMotxLyd/VCN
7SWq9GOgpVpXpdmu+tEFakLAzlyQH0yGcbqyDdTKckgmWNTIr2anPwe6vMiYxz+OJ+QGWNQHAjjX
Saepxd28XNWDF36NenfAWj04OwMPIvgpUHMlumbOGCvbyShNHqrZCzdVF+a33TzIBYfDR2mWfKpm
0zMvQHRYRnVJc4ldw7/pXGLWIjMUlzD26tuU1vehJJj2GqU2CyY/7tsz7/V4wZQY3wwmLiicRXze
1RA138Bt986Ktj76TtRbsR51MO708qRMyzOjlqdHLM9RtzxRWaNw6gajfZtiV72v6rgmvqngfo6a
HhcSV2Xh6eYN4yMqN4p+LLLLE+wvzzJU7/GJ8JfiqV+edBhP4RE1y7Crl3MgXk6EaWa+Xjkl49W6
WD4HtXpEGpS9Ivrqj/NyrszLCeMsZ427nDrtcv7My0kUL2eSb1TmMWV0eilCjyNrbHX+ETkj7OMU
GFzVDuE5a9Ez9a2n3pJMTOcqMCo2Kqm8RrnPwejzt88UIN5XT6poPyZei3Yk9q78beOuI+VybbFn
3saxB8Zs6qZFFBRowGjN7FOhpEwcmp3yUzyWwpXJgEEiQH6APMnL11Zo6+mQO1He3xYyIdvWrV2i
VaXfzBvCuV0f0YMP1ISczrD6CEGSdAwS4ap2nRR22h7KUPfhRdA2kJ/a4J5bda3qO8QXxTTw2MUo
FM2QvMiViqIp3PiERLGTmd2Z+xqTgQmBwstTHoOk3Ku6te9sos1uVDi696OBrjbzbYDciWM9NNDU
UzBIRCztay/Ksi38fAwLQVL6iKuq4AsZZER8Kh+rzUrLOTK2XZ5RAfWYRgnD5Nj8NGcZWZ005xZn
y5QkPh8xq7Yu2m7FQ4qKHgFEfS+DCdJUkqCkaaYK7kdxaABA4sJon9v+4iEv24aBeSOVX904McMA
0RoBbkUbx69G2Ye+FncHARGryg9JqCsrEhgcWI5mn7xWqT/spmT4ahU24dzaBkE0iWtg1sNt2fKM
4qL+EssvSPD80ySCmPNmEowJuAbssnZWAOv2MirZ+lgPCZt7YhMUar8hIKNCevAn8VZ1tSPPrTd6
Bzw8OYlb9omQvgeM/tx5sWVfDO7/rTlXX7OmNJb3CE3EVNkrHQ1XrvPn2ariHy42+mPTsSAiCG8+
4/hjPgGe5cVS5rRJrHr6wRyUz2AXlpWN/rI1ExIHYsCP753L//Z5/6rPY/jE0neZPv19o/fcIjR7
S6Pfe71/fO8fzR7Z4aYD+Jh/0fM8k4nmX82elB9cEgUE49Ffo4xsiyBy2jio3lgxfM/hF/mr1VMf
+AKGVSUx2nggLP+dVs+TSyv3j6JBOpZNIWHRadKMkkdpLiPCn1q9KJgqzTBO7MPEzSHZMAFEY+qW
XMOBdN+aKYCuCcF8VVepucbSV4xrM508sbOdpt0NrhwuCNVj6JMmFJ4EekhUPXdzsSl6OHFSEs8Z
eXV2lG3Vf4nirj2aCQZDFnahEa/9ubBpwJSLZGTKVbpWMjYfgsxij9XW8x3KenChNRbbBBQNRNBO
RSsEHyMt33DADKe/cxZS6ctFEujnMf2lb6lbs+3iS0jC8XYSSYyJvat3ubAjCp083jZtos4JVIi1
H816XSOj3KMx8L8l7HdgGdSTySA4cPbl1JmPco7ju7Ty6v3SeW9ye0zlymmH+cT6RGxMkNQ7McsC
2Tp4HzIyBUs1mO0oG8Ms2eeqZmYa9lM6UEP1WKndTt0PWQLSpa4AHiin+mLmWX1L5vHFmb3XljSm
mexvUk+zwzxll77Hte9O95EBks51uivjthtskHozOhLej473lAuA1FAetrvSWDIoQyOvkDaNIPyj
NPCeWty872nbgblhsnQPnP8Mrkshv8idTVC4gCLUIlNZmJmkJfkaCWtB2vubYRsT638dvPpwMmAB
qOo6N1ZXrkke8p4yICQnnUwNqxzDvGFKm7Gpa22UZqpNOaR9Kz16+SgPPXnFhyzs+mfUTh4GZbJh
oMXMbKZtw7qYUhnHUtTG18ZuA1TALnk3fNLgrhaD/DhknjgXEEyw1EfcJqixJ/z9efwt9ga9NflU
HvyoXPCtblTszdItXnvA66T4snXLWJ590VX5uQWN+9n3Z7mXeZE+5Iwfrs2ELBCnGBmDXCsXak55
od4JaTA8Uv6a8RKU2DZ7cyx2uraNg28OpFOGjriXcOuAhtDQo/dJ+US7hJdzCXW3qojSm2wkrAn4
CUpx/ATWZaLtAJliJfKllSISLCY568s6nh4hhozHfGisqyDkxwEwVPVvtquGU5B6DldwkzDGmNvX
IQ+GS1CgtWepYT81pjIiCrly4BZP9GvmBSDgUqKW63U/Gm5965skWhH+khsaOQ10XJmmBnS0AUxX
MChkyG06Ulkb/BjIk8O197z8xSHhAB2JwVtRp6OMtk0INx6gnl2CkMB7aTc9nWkigq2BWOeO44KC
g4ie+DaJXB9ZgpNdh3ZuLz3xg9fR6imPBLKOR8xy1slJ2wb9Xm2VX01McXdmCyR4JaxEILipUR+P
0mSmY0njnAcp7MTBGkqLH1okd2Im3jzo5/RK7DBS1GAk+iez0FUrZzxIOUBfaI2hulcVsfbE/FWX
KFcUfBWmBNAEyt4xHG80k/4svogkQN5WTt7FiprxbOIW2LOGai+FWQ03UZ7lrwQqoc1GDYwCVEzP
FS0HVJzKDp4ILsOKKGYiWwdEIOlU60e3qBiQOIRqxpkV7xlA8WxNQ56SlJIN94CqxvsJSSjTrFK3
68onV4UjFUpdezBqUx9k2UdMFwLz4Kc4RFtp1FfL8/NrjOLqpcYVjLXBLL8PdhXOK+bU4hDMyniU
Uyfu+ka4L1ZQG+7aIvz9jJOV5KxWJmfXRP5ZFzYRzShPgYMO1Ytbkp1uYO1+iSN80DB6AfRBepm3
tjUhhKbaYQ2TRjuziQbEn2GDPEcnQCXprh4dmQe7KFItKD81TMcyLexLmMek1uaeu8fcrtCo63kT
WgmmB/BqnwoSZHZ1I7qH2kcJxB+DpSSXn+IBGnIe6mhH5VffCo/5PIO8RXcPU9uxRP7KYM1/9VWe
X9GrxHsxGvhuZ/iVKQX6Nu+17a2VIcVRp329tZAQOGs3S6NTiujjhN6oZhmj9NGZrfxasSvAERV/
RSWr1l7RnKpIc8Zzq+EHeq1sMuoo7eUDeWxUd+N0xLIePtVJ1n8vGhPPhbbHfasXe4rsRG1tvWnO
JWiUCNeOdhhpGPSahLVru7pU0mjXswP2Q3dw5zJFzl1gUuK6CUbgnD22Y3/SiDQJajNurLI/5CF4
bBmHNyOgpgNH9daaUJLnCZtDeim9bbWl12ApiFllhIVk0DJdOzuldtuYiCCYbkZJV6BEjTpcZW2S
HaMuWf4vVlhsNTSkVaT1qwkQ9tB3paQoHmysabPJjkg387TpHDFvRT24u8LP+wfil9x8S83pH0ar
op9ldhxiIfNXQ/IgZ9Y0Wd41V7PhPoM9kaL0BepWqyk/jRUvDz23+5SbGAPnsXJuogaG3VQG1cZq
iulsDQLl8Twf8MfN+wJN+SdrDL6lXFpZHrxFo2wOpNhveVWMAwK8VeuE69otYe5YTol3zbAfsK8w
A01K8xGtANJtTSD7XSRBAayQ4+I1diPT2XjFaO1yGEdMykzjxxho72SJUr/wfNQXqaruYIOJ5Jrp
ym95i+9RiUqeWlHNb1id8EFExTVI8SIxPZ63YZ8Hj7wBOa+pUEDlU6ZoSgDjc5o6urVC+j7+og2t
ZbT2lTmXVzS85gV5Yf5p6E0gOEg/zTUpNhgnBsEwWnjtaHI4mf6P3LBt0E2GvxvS1KHDsjWLpVAN
8ZaRrufs8Z5HxwLy+AP2PCzm0eigrx7HzlwbTeEhSPeL8oH6Ii5ustAw4K7nGbMXjoF1dDQba1Yb
UdfJcOePoz4Nvs7Yntrx95wTBxmq4w2k+ZBT19he/GznOXHhlLtrlVoWk7+eKa9gVcefpX3Igyje
2QmDcbA+5taGsbGulYgPZh6LbSeH6qEZhruFnFjQ9fADm6Mux3LTgXZdKXNMVy2lxbohY2/N7nD8
NsTj+APR47cG7s0rBKo3r+rNdOU6YXnnkx98wNyAWUzG8boo7eEiCcKmWMWQNztCwyibAOQ1KOeH
jOupMTv7ZNfqScwDIxsBUUow+t8EqKA3UQM1JatIZHMzt9hFTRefk6IY7lorMPZgxI3HNs3b/eBa
HttvRh5eMgXflF2ztdc63BfRbPM2dPlT7JYYxm0VXsmNH7Hl9O3OwC2EpSDzHkMZ6otdcHWuEzEn
G9dpybkWvR+eJkP2u0a2CNSZrH+xkn7cKqC81zzW3RZMvVxrjija/sS97YB1ro0sgEZYQ4cIMnKY
14MiaDSK49HdzhktswvitFyLeJDbKDCjHUq5IKS6GgxSEErnLJXut5YeybwZ4T4ErR9tdYXqrTNE
cHAnJ8UFNFgQ2UiQqARL49Trh2OcBeVVDhnIo86bhV78aPEnN9btoR7S6sHEsboZRYx0OybVEnGY
88JFx0LC04ruIPbE1gE5d4Iepg4ywFLSYfT/oYpU3XiNmz33aZHvvbYwtzVrNPyAyLd8UqR2MglM
wMEVMKo08LlqpgIY/ZzaTPOK8dKY7b1rNjvqVGb0Er++yvRHIyg39eBEt/1kfGb2Fq3ssGSVUCAH
85RGsFjStMCzbdaVMMdTxdp8qwOWGqvRAaXRQZZfe10O5ZYPBgumvCVJ0Uxd78l0ZheNVBvwPyAS
QgdN8C9iNQCG/Ys+bRGz/NSnGUrNyWAC14RHgLp58eQYIAJwWqh4J9yk3CRI+56huDA1tyz/06T6
6k5Ec3hWk6g/E12YbJ2eAh/rkwj3UTdVTyQXzjvAHfUGtG0MScs3rgCZRcRDGyPvd3gHWJ47lBJQ
YOJPJJoYpL9lBRYHQjX2FWhmEMYpXL/Y+Bp6ZbixDSByRgIYKdfeS1c31tFoKxemuG99El3HeMRC
O4IIstwwyuahTV33lgRB3IcsiQiNr9XMhF7KVyr1cO8u1gBIdW9l7167tnvE8o2fJC3SDePwaePO
0XTfdwUAwXS+QLmRVOAoFlcmulrywPoI/UI26pljOySlS7R1jEcFaAOXe05RuO1JHPw4izxD4B0r
0FXknPeXAGTrMaqpdlFWCO++LJv+rgH+sBCGrIBhZyq+u50Zf6uCud9UjiG3YDjEQzmnDKAQdQCi
9mxzW069d2a8bhxckUIvT+ayxhzCNg1BvDl+75vxUxMRJFt0brxzdJ7t3LHOdijl0QpWLpHwUB1v
gsEFOFbnupWrzkVo2ZV9s0UcH9/NacENHRXiFNC/XmO4I2D6EJM+8KD7x9Efh6MoHWanJhW2FU/N
jypqKQXzYRiRNA6use6oF8CE1hiq1gpOGEYs6uz+veTO3stvsVTi3MIU5aDXYW22tdiZ9PJQpgc8
RvZSyTOc5GxSS30PsIBK3wRkwvlA/T8Yqr34S0+QLt1BtvQJXdYLZ6VDsLZNMli7qvQbiIA0GPq9
1/CozDiMlhbEfu9GuqUxyZcWJX/vVqC2ECOuIy5r/EdrXC7+4terCQqMDGAh7y2Pem9/LKmL6tDW
cmT451mnUbtAnpwKxbFO+eBCeIYCDmfhrUKsgx05IR236NurM2rAHIrtM4cY/dZcz48V89NNZlQP
hojjQ2XwgtkovB5YBTsAIKmUsYGNxqqkFCYSGoU9SdHswHXQktmSdFhRFWUY41kiR6LQtD6K2nXX
HWv5q68G+VLzHkx49WkZAemOayRp9JFpgps0SlsmBTSZICqT9fDeeXrvXai/NKSVZaf7emlSu6Vd
7SwvvNR0sNXSyrK4521f2lt+yaXRpeXVS/MLKq6/ektDzH5c7l0jVJ8Lp/48Nkn6xVsa6G5ppeel
qS6W9ho1MZ02jKzpEC3tt7804tN7T54t7Xm+NOr90rKDK5Mfx6WNb987eoa+AVIq2vx5afgTDuk8
YK/RsmTNkcUsk4F0GRLA85EHdxkciLbzNz/N6v4LRd47z+SXwZcjSIMgnYLxG6wM9VtSUeP7Nk1C
beynVjmnIo2PrQgULhasLGLB8wmf3anptIa1snzmwy7e7X0vpPW5YaoOdraU4bep74YTPGRgYMpq
rtA4/E8UBuWLrapLFxOW2pnQBymehgcN+ROKklGlvKeJvayOp/SASLyhFWgT9iYegT2nRoUFOIKJ
38r2RU9lFczFG1xe/DJgd/CYzstBlr6facn7+Ta/n3XO+7kXLUegvxyG//wFe18f/vKCvU8KKaYB
kgiJavPXG8gHQDk5LPT32Bsf50/2p/rN+FQ/DLfNPQqE4s7Ibv/5T/wtPPx9NmmZKDMXnShHpfzt
Jw4MWHKvjYN976ngS8amg9hkJ5lu05E46TWVdHXWU92yjAnT6IvlzgCwnSD9MVvuiIttioNdkQwo
PISkot7Ogc0dLiAimnuQ0cZHdAXek0fCVIqMBLD5OnWkgl6RThobaVlfWKLjMS7m8Uglw/nEOGXF
RuihG2e17yk/GTbkJBM5Vr2bmqE+K8KMXz0w0cdmCLJjX7tqDwzDeM5jZAhdW6T3bH3Cs8AlBk6C
gvgx8r35zRnihOTiJY0ZdKp+gbq6nF+5yD6+v6j/bSP95Qf9zyPw8IG0eYD/flh/8z2MkGVNb/+F
LItv/FOWJT5IF2WVR4YM+iuqmb8m9conr81lfI/k4X3uzlf+wvB4H5idE/xCUq4HIM//Sa7sfjAF
aB5kWyzkCan+92RZ9m81oGKxu0h1yVVTDv/YshX4uQbsgqgl5UR6B+1rJzwQjU1zrFDM6+WEir6N
aZad2D6N1ZGRPqWSNSnC1AcrmXeA7u3nOkHTVbSex+rPS/uRuYMxBGsmUWO9z8l7f/YbaVNrDCbw
VgOKmu0Wnr2WVJlALRwn8Q84d1S6NydVVxfTINwevzMEDzeMQvjDAK0aVyJL6bExrLvOMp58q+O5
6CRB9w6h0EWi/K1lkshaF+rBnDXJ6rZ5O00l6v60qrnlml5/rSGTAwS0GwaN/GfDi5k0fstYxZov
LqODbEMtjzSoy9TembP8IDuNLV7EjMJcNW5Cd7aBDEwEuTjM5QpjGglFySbvfohs/0mVvtoPVjow
Is/8dTLl/crGL7q1dU6WY+eDlIy8tegROb9QNQ8dHtGxkqu6KR8sNszoUqt4yrclQnXzItgX4nAu
hv6+5tIDnVuUDvdu3OK0DlRPFTkOGV5lv6jhzTRWsBDXDZswZ1yRjLdCawIalnGkWPecXv50p0Ps
KfcWSQEc+GYd6EOaLLOyqFLWfOzMFk5f0A8+oNEksPpt18HM3Nl9lH3qM6qJe0WtKHa090qBLhZO
ugZ2kU4rBsl9twu8pt/L1oy+mWUVynVe5f6+0J314gbMADahGYbYIJsfPrb6zhjqK8nT4lLqqUL4
YBoHA8X0JwCvJD+bwXUYC9qoemghbI85wiU9bHIy3O7RSaAfMbnZyyxIYG24cHYbp2i+2XkvDyVG
k3gfYyq3Nllp0oh4lXpiY044wIRLeKJaadVjZhnTZQiQDwHBhyPTtBmtOEoVVLTAWLGUEQNnlydT
FiChGz/cmrE6IbpYOJ7W/BTAqN71demeQBDazMXIaSssgCRkmKdl0zxOTgJ4Eo3tnRFaAbOWIWQH
YiMOIrViwuheRpLRDuDFcF8aQ3ZBhamIDUGxODEgvujawQ4PJDd+4tPanTHjwNUmtZt9/OTHyXEK
06FalUG3oUbE6UOw6DHsh/TOV8CzWt7bALRTAHchFCOu+GkYGQHNxgBPUS9g3RygCROj+3oq92AF
sm3tm/MLKML4myuMYauVrB7zLmxYUncJr3sy7b2ECAPpt+ROGHN3U7XT97LrYFNVk8hxNwUEeBsk
63laGuknAIve41Diz0LPksrXamrxFpm55xwXpDJqvrHbxKKyt54huq3b193OrBmZkokzQCpxATFS
fNJtYf51wJwcMt84mdQsnDD5eOO5ZvcpMBs4HU2YXUPfrk8Nge0nIBk+jIIaL+HQB+0foNr/thvv
5wvv//z/5ejhWnRY+P79tbh5y9+Kd0fPJu7+89W4fPMfV6Nc7DoCaJ10XDwaP12N0vzAlfiTx4cq
7a+r0fzAV3gQKK+FJZTPP/fXGhuPDwA34towxpCkQhjNv6FY9tFL/7LFdhWIPOERs4I5VIGo+/Vm
rLTBaKewHJYN8Y9OerdSu/vK85+SgOMKg/A2mxAd9zg+45AeafY+Ixfad/5rtIxTLCM8B9H8knbe
vordnUXSfHKZE31qB7Bokqlz0N9Eg/lSwyBK23BXze4+mfXBrNZlhPMgq84M49lO77yB762LS5bo
g8PeO/Xse0+7t9i990Pt3DuBdYvJXxAciQ93N1U+46n6kRnf4wzsh5nB2onKdUp4TtZ+mbPHKSQI
KicyZPR20hluZKVgbecXq3JuC2d8qWxnXbXFlcdrW03TPstZruMKQcPyxPJYbVTgPDUeLughucsD
h6VCtFhCXb1ET/erJMzu21Ae2LQDN3f711b7T6bSnxKHlwxd7d4OvCNO2y3k2K8gYzc1omeHE+in
T95/0ZH9jhl03t/EBZYLSppcXPVbuT/lWjQR7LYt6V6bkPskh9URDvWdO013UlMPk/65Tme5NTro
Brwz//wX+E8ztsUQZkrPRJCPMp9G89dPEUpDygIRs8+ks60wUqhO70YTDVfP6mKbRuKO7sLbd8F8
BeD10hexfcHCxiDVQ4UtV98nu9W72dPeuk/teCetIN8G5XwZM30g0AQRkAqNo7ksF2YMRhD18w27
DgZGKVZXlrjZdrCZuo8MJcsycFmh2OeaAQT8pgB5USO+TjDuV8M433cEUs8NClOevY92Lc6BHG9U
Ql418Rensq7C8/vr828dpP9vvse//Vv/E7sHjoxF60Ox/ffnJCDqt7aNG1yP0S/H5D+++Y9zUgHl
NLEnLp9ldGim93+dHcr8AN3T9xEEgqKjmeArf52TzgfL5HBdnIimC1Sd3+XPc9KSHxZdDppeh4wS
IKD2v3NOyuXE/eWg9EgAcAQdiWJ8wc/7rYUwg4Rkc3YKnCRlJHagPfUaqqWw15NP+OHKrpAZbHVq
UZn2YUDrLOVCfXJGlq0LztlZD74nLgW1M/Qfcs1WXUDCnstk/zGNB+PJXUxP4UjQMuOk6KxzaYY7
7UKAI8TE30qbA7kpmuhbb6sZpTknFDHnsMsBkRMWNYcFlOAgK9Q5tAqH0BThqTUxjdO9N5Y52YTz
Y9jZE7kMhyzPO8XaBCJ5F2t9jhRl+8j1IHZAjpDcBWNI0p3MJvJOCjHUt4SdMUbrstl8DNw4+2SP
Y/hYCkDanimSZVcZ3kxZTULMZPTzF1adLjwVR4Iv7PTbIAa9XtQsbiKIzdA2cJMysdg/k0tJOHLT
YE2c02RbGLw6hRjPIQTHrZWj8wAESjFuZuHa6WLUqqVnfVmykViElR2kl1bF6QUkZPpl8MimYgKW
+d/C0gifBVXm4vEHvkzukCGsTSiQFrQU0ltmWM7KtOMR/2ooTglvAJsd0pjoDvozUZ0vU4wnYCPF
SKzbTPT1OksKE+XOWBcA+JediU17e9Mxs3iLCyf/borgP8g7sx7JjewK/xVjns0GGSSD5MMYcO5Z
a1bWXi9Erdy34M5f74+9yN2aljwawYAM15vU3VmZTDLixr3nfEf3tmiqCMWm/U3XU/dGaHUe6xMO
VuxnsD0E16FrgoGxeUCknWYSZymgOGFw7z1mEnn5GNZ+3ZBenI60sYeoqBAYC8BcWhE+UDGDPjR1
Ee7Mmt9jjGberRLVuygogoYzIKRtiDaFrzxYhB74ZBTz7Vup8j7cmKIYAFRp3tZpHXTcIpAjjIqW
oaJjugT1QSyvbxvLFAdw2daZL9v6JszD4jnQzZCc4CavvFO2PBN/qzuUrxXEpMca7ZCxguyDsNuL
Vflk0K1hGm5IO9nGca6uDboAB8syNH81lb13FnNyOGRhBZYfrQ/UUm9w1RWntuGutghoJW5Y194J
T7btFSMZ9WA5SfYiK4nmdmC3A7Di9Td1npvIw5oMdYxqsM7v8BWFGrVKmJ/ipgcSkop+q3FEB4TS
93eeZIpqN8W0N5Gy8twmFYjEUINxXjKfYvDh6StAU0NF2LZIXgIervmfIqqjAZ2m1U6P6lgxDJLu
vrMRNacajsUFEJxBvw/Qvj3Mh6RxreN7RQWY8QW6bcG7NkfXpt9Q6QFzVNUbC6TZATjdkPA5X777
qZgeCRhfG+DKEJebr0U3T3h02tYvtjOQ7QgJdHgcujhfVW2IB1Or+xsGWshzXNPfJbYlTvIs7XNA
wsxncJ1xzBmH+n6qHStkgE5MiUDpRLxQAw9PnwBDYPEipo7UL6IuTADhg+vvxjEEBsNsvsDTQ6UA
3640Q3ABlWJnF45/5wlcpHmDm2IlSSBcagZ762JsVFktOfpVq3DKrXhhTZFuLLN+yIq18BMroytQ
Re808MPbyQnDUz0xkmCNghrKqGaJ/kHjQTE2lImqXSRV1T5mZhwyHNXmPnISTTzaU2ZXB4KCs5GZ
T1wQeD6hFzJgbSwax2Zh4SjfXlRVMoIRz4ti32R1/VDrhJVgVHhLsi4m3kCxTndpio3GS0Kin1rG
eguc5Ld6I+LzyRUTju1w6O4tfx42+2H4aODroAFjZ9O6FQSEc8OiTiYqNpvH9NXkvNbAJXYBZZ5e
RRYhrXlXnLCVoAAPCNh5s7QANbWmAEdx8fr+PGrbALW8HYw2TQ3iA9EcoNBcWn1MXCKfUzq7lqx3
1ANxYJgrAr3r99GaR6k9k1LybNhlrC7bqUxVJ76McvpOhGEuotKeGEj2adJsGTnXIYg/uhlWJBsA
ZxPiN8IizCAC5i9tfL6tifF48nSrXnFrVh9DP7qYDQBsGDUhOYykBhYnL82vc43HrUbSCZuwr6rH
yKl1C8G46141pRJ3dB2IK4J/Jc70sBC3xBdVD04RuydunAb0DpyGJEq3DMzLsnHzS4k8/7YasTSw
bEhuH6fuUpO63oCOUUfdOfIlsK3WYAV3tMJ0oMLgOj70SjfcU95haK5kB9ILxc7oPjaESOINTkV9
znNrZzvfEjijVc+YmbVJnXWZF1/0foH+1mViMPgCYzoKISaCqRZp4TKdUmOjVUWEi9B37scYWW5a
DNllEnv6ks4QqNO+iA7U3/kynAyDUlYW2BnC6q4N9OS29EwkOaBbS90xb1DtWockRQnfMrPYVXam
35BTpb2LuEBLJwLRrgj8MvexHkMlIhfMR+MTOAeniG6KQtcOfjH6yNtyZw6nj5ODFgtjGRDbjqQP
xz0ufA+O15rRfT7CejHwhI5OPGMGUtxW3AmpWT4DsPVxcLUBphqkvst6KnqgtJ6zJwGBvDDkea9p
CM1Em6pYEVtZhJeFTOuzjBn1GlZZ9ATO9DFDL7cdWm/Y+hGWDUdm0bPfjtaKDh+jL0inW60CkglI
Lt9U0FzRk7lCW+d95a7GNoRVLMjxVOeOnWVPadhhaHQNMeBKTxOsO+SrzBmfJYtLbbrWHjJAc1NN
WNXRuYXAAnRkW6hNeeYCPKxJgc8VvZS5tViAljB3uhubreUKRrEZLJHKJMAfE1euC72vnyfm4Odu
bfrxmhUh3HeFH14EeieudastDwZwUCI3Ats504NOXpt2OFbL1JpZVLUptrE7uBfE2gTNaY4pntwv
5sFIWJz0mbBGH9BvkhwbB+uhqlLTYVemlOB4ywwaLV2CCcEYlVYugbzn6SEaGPwvbBx/7N8ZLghV
NxGcZwK37sXEhBeeTnlISkJGFhYmHuK+a8N8lh1FM4DSILyTVh2qTc+hS7sYbAXAPYinVW2TQbg1
abfBK4/asd8jRK+LXTPG8h4li7gFhtahsqnQeCaZcdkjoyUH1a4bCDYay4PMnWArs7R5JICruFKY
TT2gDG100lZ6dSrDhGcVBWt85owmMCXaluReY+a6ooDtydjxuvAhNNC7LNK+awZkEKF5o8dDdQ+l
qjx4zETXODunC7eVwEvZtqxhZVeEIi+UiqaMhBDnrbAsGm0oAsYLrfPzE4+x8lZNHnZS1Tfa2qkd
+TpNbmOsXGWNzw3MqnFJL11bWyNS+VgQDLLBh9PSjQy9XYwP7KpLGqP98ilxmuRLvJwdiVfOjRmD
FO2n3r7n4QR5VUV5eXB75Ihhld3aSXoEHopYMg3qMy8LATGYPngBpr644jIbpQRy8maVA0ZyFr4v
vfvSAGC08Ms+4NRqCUC6HNnNuxh18ZlnFMXRKwp5hL1VnnN4Sc+YDqYPmuvb8VISNP8KwzncTolm
q+UgHfsCv3EHEzlthic3GvXxpBjMboRxYXTJCeIFAw5CEIy7BlbJq58GsKByHZlNDv0nXQQlIbIL
oVzvIq+CaYc00H3XjFq+B4GPMKqLE7xN7UTfYiUR7kULuzMjsRWFF92SWyk2JK7HD5OmTUfdyyCI
EUflsbeF3Z1B0MoRr096QRLcdJgis3k3P2++ykc6y4UncLgP/OMYjvXLULj1uUOW4I0ijNSogkAu
GOnJ55DgR6JOLTfEj+57jrcUEnpyNwnzEnFcv9L7APBaGI0kF9XpzIbUcytJIKbHc95HVbNoVAUx
3mkr7Ac9MCqkE1WDTFmPUGJXul6+WloFYLlQkKpaVVxFWV/dA+YDPlXhGkuJabgDZo6PamDesfe6
FjWr0ZMltMxICgPLaU3aPskrfSccuDKJMtFv2eMMteSQnC4G1bRnUWhm5TaRbuMuEoPMA44E0U6q
XuzKQa/Q6PnAhA07pA4du47P1OZluTJLoH/L2LcnAysWdDHm4PUJgkFQGB1G93QlfKM4EEs77Vp8
plQ3oJW3SLXinWvnxC/DEhNHQF7Wrjdk/uIWU/Y0n7IbfoOZpQhSTe1ab1V7gFCs7pMBz3VimBml
Khv+0jb9aVniMOVPOp0SQxPFaa2P5VnhBUiCMIoV/rJIi/g5K1IVoitAniaKjI+QJCXi9oSAv6vW
yz5UQ/uSxwXGsUrjg6YiVEOIiIulmmz7NAiRs5NPrulQxQjjHEQ8rS13EhYIj1YmQN46ChLk4gQw
RCBvVnKyrBFXvCx3dUOcU2fnkcbRNKRXnooos3eqqflqKOP1zCOz2e7pPrIjPUdM+eQyj1CVLQY6
vvUiJ87cmp3EfoctsBk2U9+gVklqGc5pok7HmS2R60GzQiSO+GuQQ09vmWtIIF5D1sxlZFaunTZU
7hKbZ7T3EuqyIUiK80BBNobY5nvAFx39FrENZwrmjukqhkOCzdE11KXV4mVjNu/vhN7lOyQH9T5v
x7Ai3z4b7mjVCn1Lylex16rOp6PoRkBu5JSe555Vib1JcEFw77QDfEKG4Iy+/nir6v8jxWvWTOgA
ssCHIJgAiD/PkH+7rXX2/IaB7fuG1k9f4Gtri5Y9rXzATNKzTNOeqSG/sLxs09BnEQ05gCSd/dLZ
Mp1POsE1YAfxlTC2noNtvna2TAHpxHHphTEGYE2nG/sHJgDunHbzXWeLtgeEMZrHn5u63wkjrbQh
TyFpwl3aO9ksdyLqF4Fa4C2BBxCGZtLXOnW03N22pqo5E9jOCUPbkJVZNpTS5Sxcz11S21cObdo7
W8O7U3vueEcV52GIofQsAfRnSbogXds7wgOpr5xEt4alE2cuqaMOZq0KN1OgqWXZGcCrTN0HjxRX
IngBiq6VlGqFdV4L2zyhOdE/d/6Yv5RhYuOyteJyW2Q5Ft/JjuZMsa6GOtiPUj4xeURzaxbeMG5H
vSErRKRpV+3xjvrakrGZBZm+NPBfxa6MrphP28GSsUTFBBVuUOsSSyuTtvPZDpR8FGOSHYbBGLXl
0ImEQiTGmUsSNn0nqEWh/ljF5HMTbsl6t/TgCRyHPAIMaqNWeo1tbTjx4owc0DYIjrZm52BKI3GN
+rS9x/1sH5AQZEcno0WuNZa3YyoybWfTFEHH0vHPOmYgKP5tJHoBaHgaRpq76ZjbtwuOEeGr1xMW
uNPSGgBqKmSHWCrpp9NSk+ZHj+EfREcwvUd9xrAeBln1OInEuvTakflOWMe+WmZkAN861pxT3LZZ
cwgBO15gOB76hTcws1m0wdhtkxSrFXOPrr91DKnd4T1HGCl7lju8OeGI8p7YinWEqO7gylC8xEZf
Ubu5YFREQ4bOoAd0fnKJFpgOaOass9L3MBQmzVmcYyJZVCa0KQezRb23YMMqttG8ecowiJFVYLX1
e5D5w43dFeAYaqsB8IKFxl06gMPPi1LBBg2KPE1XjWeJbVLFtXdJvUB4NFUwPTzb68CkjFpaRMSq
Edm6YNZeWOuYlF9zQ5C9857HbKMrrHi2v2TGWk5rWQmQqZqXEdPe2DS40GKGD/qM6uQYNHDytge7
42SbjfXcdMp6MkmcFq2ur4Z2GSHw4/p1qOWXBOrlOJyoG4424AXCM5kvPWScTD6iuHTGE5UKQmZ8
2ewgurbGK8A2HTuKkkZH8LQ/cUsNtLCAirMlH9ArGGetF+Y+Z77U3dPlql+JkBnwmpMIu9KjjP+u
Ra2dGVoEVbdrmdxZxTTFhybsJNKUwceY2I/ZLUHB1hs5hNEj25mPBYTTQ4nanOaTgSVwE+taYtGH
yvt9GWLnRgsgHU6ZmpSE7uZVihu/oMpeIsZvN6NH9bAIp9F99zolAZDVHr0WJ7UxrQ6Nc0WYXb3v
IGdQDWTtcK2lXv3iKbu+j+NQv4BaPm1sirBihQ0ATG2pvO6KeI/6vle2vVB2j5luQj3WpVh014Mb
QwaPOr9bkz3egE4tQlpeJYnDaw3ITrSY4q68h6yQnOZGYodrGUtiomIMaQh7Ahpdhm9OBFbl2HtS
7AIUZza0mS525FrWRffqTbg5UCoAwV8249Scp5zuj5zBQxg2flH6pESMw3bOKtkaZarvnTKhISf4
Gh+Vl0xvpJEHEvmvPp4z29fOW4Kfzj2sN9hpCss59lkZXXedRtmQdtLY672cdlbtq2Pk9mioUVNj
x+lzbRUUbf4wKyvW3URft/Z9/6ZpWXLoHgbThmCjFK+kV0ZrjnUc16EyxU9oVovLOFX2uq6COXhw
GPatr6a3djQLdzmGtHG3SVJwjpHdyHcPPS8kSKsPykcYjAmR3YHoT4iaNYulPTiKeHS9ueXbGebo
ycC4pHUJ5DcluftEs4e+XvScub1t4SKy9yONuYKOnLPkXo2LF0TreGstOnYU6C3oZAaW8ZNRWOWD
XfXkMFWVmpvjrdXYGwujBPmLScwBtHGQdW9FqZd3dWzEyVG4tLj4SkwWHaauFVJ6hMinYTziNUNr
YUzw9ZuZeFWO3bATaW9apBiMNY2oqlTnpOHAputzb0xW5IN5F6py0pchDMKPUFPFqqz16CYQqkYw
kyJzWjhpAqSr8mOaRkHhrOH6g2YKcifaWbmOUFgriHKwumrAKzH66Unbd3Sy7C7NCIMvGsLKYwFA
2ghwzHSuPxz6sjKnlQaweNtlob43wMUAk2lTa0nCjz2QwmPGZ6YyMBSIojEZn5vhtoPKj6AygJJf
46IlFnw6G2NSKNssy2FKV5aOWExm8YtTJTmdFvO0H6Ie5GPa8q9QtldXZeHU92aKWZY+q26SftrY
qMMSyA+LAt/EKgCOc8JjYxf3GcIhWrtNvXMk6kxE/SR7GukjnjzGAnIenxMeAWM499KT0OzRaeNh
JEY6qn1bp2k55axDtrZVxtF0hythgMJwdUrslN2AjZqeT5qnDLCmYjYZEPKB3qk55n7bfVhsPlty
23EhebDJVE+wGR3S3dSbKPqaur41B9vcuYnt8OimaUrtbRAdFHnQ+4lU8w6tgTmeYIAWFA1mtRPy
uDOsh1HLsNgAHGjCaYOjFsXD2WRWuFiDQl95nY8Z2WYhn/O06AEaQ1CMSwutP7mV0vCTZYgRYlvH
oxeTdlEl+ylC6gaBMz0ZuNXOXLeJTycvsk7bsAWtGJVt/eBxn9Gxyd1XCSggR0VrVZdWlrpHjCPO
Lm6a3GAs4dMoHDTxhh1AkONp5FdV7EG7SafIWmcJ4B3dbspbPWek3bd8/QUk/ocMEdJMhUsm/Ksy
0BeGEzsXOe36VyNi/LVWNDKXUjXlLFmAedlUNNvoz70OgVEeJErI8xxjOlK9JA4uart21mbhkAFs
MwGBs1yaDTWXcJ6IowPiU8wpytKKwKmgVwre/bAKEUxo8Nja0smWacZTCPGtMdhAmS8+dtborJ0O
Po1mmeRbVLofPDqEdDBuibrhSZMEuCYtOGtoBzFKDRrE29AtHbLBpHmCLyP54P2qA+nw44s3tST+
TuVYU55F0MIWnXKbG2/ss2oR170dr2h4u2Ih0UNcuYFyN0y/+rsJdfvGqfLs2ROSUqOsEaktmtrH
X+yrJienvDKDLV9Vf2YEQcPqEPnqKsIsW1G+yCTGc5eyUjFWa1LobqGKsHVrbbFtG1z/+xK+SADg
hfHsJjVC46IuS+teOD04aFHjANhEXdbB/FMu/fGIJs1pFDgQ9gprqJsVGkUVLl2IpOYSmyxoUX/s
1WPfRCpeKWwIxTKaUv8cQxiBejYK9z13iDfRDo2aZ4Jo2dQwvxjHpHO4/tCHrH5B967dCUZKd5YV
VseySutkoTgPHePR8lad0dHRErpzGtW2e2nghnyPjMpNkb3UuViz7+YsgILUDoiAyr7maB/Rgx4p
CRa9qsN8HUQT8R+GxhHmgOq2QxTY2dbOSUVRQJmzSlSVsLiRX7JVdOciqklS4lsIguVAMPZWGo17
TFNRVqvJ691pUXip9RFnmgc6EZnnrWdrI31tTX9z3bRtyQqa2MkTRQeGYhXf4aJqq6FkYBsz0qyb
cEl8WfAhQEwcmwmzyuiVRrShxqTjaLnRenIKddW6GBkVXpczIwdwvhmp2mLG94ZYk1jhsk61ibuQ
svafvb4SRz2nxFhT9XraUmWena6HUmLDxKmufQBAnKjRiL3FFMKIYkJCudH8fFgrx+QxsdiX6eUO
ABCrWC+eTWK1xSHugnRNmh5iz1IMh0JPaWzmZdGDmC+VHy64q8QS1UB48PGd7M3EJYuCmB4F7QEL
JicgUYFMhE/QLR1eMriNI4v3ZCizvCt7x61XFTDbjwIT0ZEpPPpMqHIYcvyqXWmxNgFxHfiS1YBT
2FTNmnQ8sIy+TgVIXIjSURc1zZpuIfdiGSX2wtaD8jlMNXWaDBORCoOBEVlraIWPFliira9lznCO
uEyDW9XxKm5Y2/sAswBHMs6cs3W59U/gCKnXMfUomicgikd2biKBTCIVTmHS5/jcdVC+5DiYW51B
GYArJ94wsx7WgRLVWoowGRBIO9PeihlUawCN1l6hdYt2rNtz3rR1wlRbf6AOmKOuPWaeRmRqPDRp
sXB6fwKBgosGsQAhXEOctMfCatFNZQT71oDwcZDQ+ouumJyma6MkcmZhu559qmeCcspO/LWQ/gt1
qrfVeSbXRdvgMfO84IlY6+Zl1HXsaBpY21UwiuQpqAvnimx6/CucDuKTviBacdKyDL5jM9wMg3+g
swiDD0v8Fc5Qnksx4BrypT2cuFXX76wyDU6lLBOuu4xO3BCOPnq7yN4WiS7uKzUxNSIIXc4VemZu
Ql2nD+d8aa0HMdVsEukvNkvMLqIshbs1xPU5jnySDjqTw7HqAC0LLYqbVWBO6Z4UGYpo3MjFDchK
d0MJJw+SxIRra2KIRSqDdihqBh49vUv6dbHsbiqtDIged4XYy8B1187QhTc8eoSIS4GExfXbkuUx
wAlXtx3z2zSHisdIOgSrGMoDGnJJLIfrjsxApJ6c25rZEpAemheRmAZ34WPkulRpFWBn1KFGInVw
9n4WjARJtHFzTWs6uoWs3B1wnNivPLvGwQiV914xet8QBuGT4ShGRANabxn3xLJS1RtJvGf+Gp87
us4MQ+/oZWQN6xUzWwHkzs0g8+dtuGrzLEOjXhFHRpTJXpSyxElsDadayodNHF5k4Ws5oowmKMj8
wWR8r9jqQn4bPkVdZ64b6QiyfUGUVxO2RKiPbYnfqwx7STRnjNvNFMN5QdwAFhsqF3tpOWF+Y2QG
2mOriw+FJT4cDoPsylVS16uBQc4ZbiMHSaal1l2SkH0OS6W/I6kenHUwVYW7IZu0eUvwJC3/ncN5
Wvq5me7MEWJzk6phWOkyJutsGkNoj2wpLWigWK//d+TF/4eEw0h8qT8YWwprVuba6H5/r4n481SA
f/tPYgJ+U17801/xVWlMZIBwBFwRyyYohrfxS5txVhobCIYd87MHx6UF+E1Bh9IYVBaj9rnradEA
/aXPKHTwWxY8XoOPM7+k+0f6jIZJx/K7PiNv/LPUmJuaFEBhY1H+USTKcamPA7r5kHNu27E4926M
TbDB8UiVB4POnTW0G70+mrf5sPBagHa3dRWBHL/3CayN6Nu5nYUmJnuioiedD3ocgCNtgw1/21FU
kCG9D92XcaB7QwovoOT7tn+iFFpr9PAg2F6bKKZ6MV6iaNmY2knpfihkXTsYT524CN5CeCS5fTYi
Ms3780KRbCs/aFaRCYPIQFtEhkTABh3E040LlsfViGgsDcdtNpeCklbPYMUbjjc8PmoTG00wV8YX
A8FI3kSF37/oXn5bN/pVNofSUOq5jIFJgqkd8o/z1ya9lG7HCsOwkoMTbCdWz5SaWKFbdcQBmch1
kKJeMtVGH8VOs7KThEkfY8Mzc8A1QXl5WbeK80GgVi1SbBnrB+g+i6GM2RTNAt812oW8sh51jBx8
TeuOyClmPPRB+o1VJ5vRGpeqIYVTKqJq6nMzag6NNKG2mq+JIw9IMLDOjiM5T4bAVzHeFtq0EZm3
DjA5LWLa1otQcvpgXB2gnYoOQUbEdwXqay61Liqw9vFw/t1j81MB9Exo/d5i+UWArOuOgc7eoZ/+
470FQq1GKYcBdZiyW9WAbbCs+jB09o6VdG0L/DGpI0+aJN+m5SXW2K1tWKdIx9rVqGMozeqO3dX3
9nN0W6Lpm6glWzZGRND65sHsCjwc9rVp2Xi4Y4ooMzqt8lO9tbaqzE+NEeG7C6alBIM1XdlpuGP+
tFaGd9HwFaJY+rCUfbSTR43L7LOKAwTfBOQGEy+zpG5dVf3sRqrPXI8MAagegdJ25aQflK02nWkd
Rt07k1ZwPjAX9QZoP2FzE5fImgyJieTEMp4kHUi4kSeVJIi1oO+kFUG1cBxaEB53JQOoTdkhzM7P
nQq0CdRvO3NfsmbcpalOYs1MHCWqfJm009k0kOPk+s9jaW+KnGYyL0gW1Hz0M0aIL5xhRHAR5zdC
qXPF0LE2+pt8eJpiezgtxQgdiEnbY+WbMBOwVWmxuQ5LA1cNt0gvLbDF3o5O75s+8B67bLwMgNgS
W1nYYLzN9rRCTFDK6en3bxMx6+B/fZcgTDN1pCc6HubZJvjdxGMqdBepZO6vZZG8B1p773P5fGU8
VZyzpk5hvVfHyk8upra7DGpFY3S4iNBmGEldbXDAg5by4lVcl3v0CJehIIg7ao416lmGiskhDruP
0s7/h7ubEdGv3je+EXqYOgs4G4wBoOrH911zSGM6Qk5D5SjCLQVsTLQ+kw28p0VHo4iP8JGKbRlr
rkrALhrsnUVFfC15JAONlSqkHehodPFVBaSwBCx9Si8PC16E+y8WKFCBn0fdNQvr1kyHQxS31yUn
rQkWHeaCt8AerjOLQth0mxUR15yPI6Y6SpJjP7guS2MnPkjxZRzRNBrmX07Q8YQsLy37Y9h1h95t
T0vpkywoc6IWfKoX6T1VzmQsMJPfSCO97FILNoNdfjDPDte2Wd4g9vjwQpMo5Eh+YNS/rmX8kNH7
U10N68H4KOkIhbgTvZx3EFR7VVuLCSUs+q+7PiNcC03twlEvfagB5HeBCvRrEPuB3gMmD5ecX+5z
stl64CCWP6wzuzkHxXKoG3aPUhfMbb2dZiDWCdv2PlbNbQXfgE7Nw5RUt0E0XLYAfFbdfGjRSGuP
q2UV6Du7yq/tsN/pEMbyJn719fI6DZuTViBYo4upYhv/m3sIcn0PaPWA8GFFAXidGYLzSiZXGN/X
HojFCM1WEOobvvoz3cDg0PXsMtE9begdvcF14yApopdcnDX+tAZJvkGnt0wdtH31Qzxdz46YJHJX
YXvqlck+zv17si1AMnDIYTaB2BJMjJtM63A+00MX+CDyFuivPLTAnlDlPFYZwQGodvKdEKm+nEyL
hop0mvs4c64KYLxUnRWKSoYxXtkBWYuxn1ogzsRH5GZ7X/PuLbqmvla8Yd/YoIeHMUi+ec5jyIGr
ODRVshMTw4UCC14vj0kQn1pi7FcgQBbVZI9Aegz+fbPyinYD6mLlB3XOzvQQi36HCH2XtWTNJIwp
IAFkt4QNPgS1fTYo8y5tXKYl8sGeqpsha5s1d/W+8p2PSZinfhvKdQ+OZpEawemI0GbRksq2wjya
rm1rOgOksEDedwlVRW0dpT9bJISv0bEfC3N8TiqchQDfHuipgt1Hr7EkoPCgrOa2m9yTjqQ3VNq0
35N9AlQOumi+bIwBEWx8g/bmoRXtqU4CajZMIE9y+HupudP6YTXo+iEDYA3D7i5DOOaqBBevd5St
dh4kjyA0iIdrlx76tbqLrkwUqVTpd4xCP6YIHS5XbBi862E0AWMQvNyAhDGqo6+9dIn74U3608AE
LxDDxmi9V3hUqyhzOvAd9tH33jMOjY63trQL5V6UxoVtXubtEafkQWkZllHkneaxGxHdx+5tNtRL
MrGXBQwrvM6LDi2uiN+TCNZ4z/mnfnC8m55mMoI38g8/mBWuDPHYBtdOAJ7IVUTeXc1q76Am2qYV
3C7aeawjCYnmydGZ7oOHGxHGsUdFWCmh39lWtiZoedaLsj9cGv0rMTRIAs2HBj+DHHmuE/Hgeods
6JGIXOmznom18r7yRUICtL0Kopce6mjWfgxxscxK72UwzXTjdfWLVspdpIJdEhlvXR9jwvZCjnaF
RxAEo0vb61cMfBeNVxDISYd1AUaoXrlBdheRGb8exGi9aYrobBcsFlMUd9PDIEaOfxMGlbOaYuPG
S7THYhzvi2S6mYb4MPkNyejQ7pcmcYt7Wozpmv53vnYkh66uz1+Ldtq6k7NjdjQPG9VSh7JGXcXA
zKoAxevkCKLCzeD8NGi4W0PtZe9DPG9Q6knnJeu6E0CZ7yRa3mAuKJdVLHZxDNq6qClNEKkna9+Z
oR2I8+OO/jtDsNKgLz5ZZzCSPxKdroixDRp5YlnFyijUedKXrL5w6Cob93mzRdguSC43catYI6yW
3tZWzPsjnBZKW9aW16xJOx0X/x5OnHSdljKttL1DIshipAK7ifTsAVULVt0CHk1Q+0czNE64NtHa
94iuEyXGrcJxMKTkLdovzeWXEFv9uTr4Qyatnytf/oT36utvXz03z+u8iUgoaN/VeHzHXd/8kiwz
/+mhiPLmpvjX/tI3+cfPX+jf3j//5i/kZm6YvJnfAdm++ff6FWYf31VTv7zS5/f7e6+QPvOx2rf3
v/9NoEuxBR6hubiafzh/Ar0Pvv6x483GVUbCcBg+/3wR2Hx3hX7rGvz+x/tyMX//7/zwAZ7fsgiA
aN2o6LX54RLonNzxL/5z1+FXL/PddXA/SWo4OgHyywelCfD9dXA+GQaiHdc2QF/w8yUU6S90HRh2
6P/kzfCbF8Gk5YBdzvYEX/P3n97+ZBnSxa5HpO788+UX/YU+PTZo8eUrwb8evBe/8yj85qc3vE8W
h0qQI95PbwGJbdH1yA/8cg1m8glas7/QRSBJS355U3/iIoBvN6Shc9r68RZwcXo6M9/lr7cCSGBs
f/LxN6xPjgG33gKT9fnnV48/3z1gJHIaZ/INP3+5B8Dh6Rcmi/cP8sfPi/M/7ga/+QiwG0jGpnjn
v3xMj8bi9+uA8YmkHaYetvjy53+5e2Fupf7ZVVDITzZJBMJ0v652v7oI5qcZuUCEK6OE+ecvtw7w
/Lom4so/eyFwY7s6eAASBH68DbxPNGJcUoy+LoX88V9sJaQD/uVN/esrIbcBumJwHSyGn39+XBIw
uNtS8iS4f9UlAemy8We3AzHf7MxFkDX/cAu4zicP/zLK6K8LxR94CP6JHfOXKhsHXfr2ub6O3uuf
leG/9Re+lZb/+Odfy8r929//NpfPP/zFudz+8rv/u/z+jx9Wy8/7/Xd/+G3///x7vv7zrx/wH3/1
D7/r26f69j930bt6Vq9ED3+u/L++zTlQ++9/Y7oUkkV9UM9v73X4Q/lrz9i2/35Df//bD2/3u/3g
d1+/rp+zby8zX5lZX/7tv7+cQf6Vl11E4bP69jLzy0JwZIv6s+9296zG5/z52wt9/iZN26X++9Ov
HGXPr5DzfnqlYaRwyvizv+Lk+b9Yu76fhIEY/K/syWcRow8mJv5IjOKQKInPZbu4Y2OQGxeDf71f
tx14sAlZ97rAd13b67Vdr0WbhuCMFqubYEToxK09DsHFYOdCusqITI4ANfWZVDlKYmzoabYHfMnX
I6TAr5QWCcXfSq0cWClbvkrhHnRXxpDiZNO8h/iqhnyBt1iDfIdT7iJk/nsQ5sTGNkqUMRsP/GrI
PYWkTJ/YfE4zh1NSXUWSUuB3mhPKtMhLWNT+mRT7Q6ep9gwWPg9xZCIFntJCZ8GYYuuwmCN1YCUF
L0doNZmWYeWuSPE/VbEO7lWOicwe9ZUfIEUPCcYcBmttPB2vI28p+pOdA93L7GxDGjH20qOYcXEh
z7Gou0XBqbxtKDfW0XJGJngueBp24cBZexA3DgYclUjf487YvP14Qjkf2jv3YSj1z9L47gCgz68v
OOklfYepQaW0r0E1eA+7t7k2xxHNsijXQj2Ne9Zd+EcGn//J3nbxnELKmU+OzJp0JDr5hqNUBse6
Awtpf1RZoh2VO8o5RSulvLXCCnLlLHAP5+EDTzjUB53PKvwe9OaU3mpCAZwwqlG4wguOgtZRkD3E
I1MFK/q17+Pv0hpSPTr1JrCQTc32qEut4L+ENMWb28T0YRTqvr00/c0PsfkXUabI3P4CAAD//w==
</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35F111CB-754A-43A4-B90B-9475C7D2C17C}">
          <cx:tx>
            <cx:txData>
              <cx:f>_xlchart.v1.12</cx:f>
              <cx:v>profit</cx:v>
            </cx:txData>
          </cx:tx>
          <cx:spPr>
            <a:gradFill>
              <a:gsLst>
                <a:gs pos="0">
                  <a:schemeClr val="bg1"/>
                </a:gs>
                <a:gs pos="100000">
                  <a:schemeClr val="accent1">
                    <a:lumMod val="75000"/>
                  </a:schemeClr>
                </a:gs>
              </a:gsLst>
              <a:lin ang="7200000" scaled="0"/>
            </a:gradFill>
          </cx:spPr>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ndParaRPr>
              </a:p>
            </cx:txPr>
            <cx:visibility seriesName="0" categoryName="0" value="1"/>
          </cx:dataLabels>
          <cx:dataId val="0"/>
          <cx:layoutPr>
            <cx:subtotals>
              <cx:idx val="6"/>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62740563-2288-4B38-80EA-4AD8F7A410DF}">
          <cx:tx>
            <cx:txData>
              <cx:f>_xlchart.v5.9</cx:f>
              <cx:v>sales</cx:v>
            </cx:txData>
          </cx:tx>
          <cx:dataId val="0"/>
          <cx:layoutPr>
            <cx:geography cultureLanguage="en-US" cultureRegion="IN" attribution="Powered by Bing">
              <cx:geoCache provider="{E9337A44-BEBE-4D9F-B70C-5C5E7DAFC167}">
                <cx:binary>1H3Zchy3su2vOPR8i8Y87Ng+Ebe6q0vUZI2W5ZcKSqJqnoBCTV9/siXbQWKTog+Ob8S1Xhxms7Oy
MrEyE4mF5L8/rf/61FxfmR/Wtunsvz6tPz0qpmn4148/2k/FdXtlL9ryk+lt/2W6+NS3P/ZfvpSf
rn/8bK6Wsst/JAizHz8VV2a6Xh/9179BWn7dP+s/XU1l371y12Z7fW1dM9nvfHbnRz9cfW7L7lja
yZSfJvzTo7fXzVWXX3VXj3647qZy2t5uw/VPj2792qMffvSF/ceDf2hAt8l9hu9ieaEQElxj9eiH
pu/y338u9QVCWjHNmf76Dz7+9swXVy187y+p8lWRq8+fzbW18DJf/3vrq7c0h0/SRz986l03nU2W
g/V+enTZfS7hdUvbH759cOjPal+++PqeP9429n/92/sBvLn3kxv+8M300Ef/4Y7jdVOUf5jlf+8K
oi4Eo1QjIdDXf/i2R+QFxpxJxfE3j4g/Hv3NIw9qc7c3fv+a54njs3+UJ15fVVd2Kq66P0zyN3hD
XHDFKKFKfjO3vu0NeqE4wkRh+c1Z/I9Hf/PGX9Lobo/c+KrnlddP/lFeSV11Za6mPwzzN/iEXAhN
hODod5d4PsEXXEvEKSffPpd/PPqbT/6CPnd75M8vev5I/1n+eHpluqvpqv470we7kBgxwhi5M2aJ
CyykxhzC2td/9LZH/pJGd/vkxlc9rzz9v/8olDy/gtLhyhaT+Tv9oi8YJ0hRru/zC1Kakt+Tu/ai
11/U6W7P3Pqy55vnj/9Rvnnpuurq4x9r9n8fwCi6UIxgrgmEppvVFr9gWCik0e/JxsPJw3rc7Yo/
vud54WX8j/LC26u2bH54cfXZ/X2ewPgCYYERUl7dqy4Ykogg7iWPv6bE3W64+V3PFW+hkP0Hlbzv
pgn2SS/N1edrW/x93iDiQhPKBQaHfP13u/RV6IILAWld3Z1G/rJWd7vH+7rnoXcv/1Eeen9tpx/i
a9gmNn+jf87VLsMcydtxS8kLLYnQ7He/+HnkLypzt1tufdlzyvv/vyPY3Yi+uWe/9Rv/wz07IReA
BY6I+r3oIreTib6gggqJKP8GJi+S/b6lvl+bu93x+9duKf7/eH9+/979z5bGEQra5Gsv5Mb2/fuf
fn09aNF4X73VUrn1ln/g6PIz9EswpOY/OyxnEbfaIrds++fvX8Pm9KdHWkKSx5JyTpmAqljA7mUB
tP70SKgLrGFbrxCUa+BUCuGv681U/PSIygsAHfRnBBKaQjnHHv1ge3f+SFxIgQB5ShIJ1YPW5M/u
08u+2fK++9MOv///D51rX/ZlN9mfHoGc4dtvndWMCGaSSc7PCB4+Xb2Gxhb8Ev4/Nluzvi61eFzg
o+Y/2xn2PH++//9A7vl5N+RqUs7CNqtMJl40Rbzv2/a+IGL91tj51tf5H4gHr9wUX8mo3pa1k0lh
RmNeL2JH+dt83fsv31cfmip3mgUgdlO+bvdauToTiSbc7q8G3GoUF7TiOEYMtSRmdJyy0/cfdp8P
wP03H2bB99WSdyJZLVU0VojmJu43oX77vnwA/p0vg27Ll3pEQ6U3kTg8sOcYL6x9s6AKiWebmro1
jeQuTNxu4/D6+w+854UUrPSbLzQoNMzy/MC50XJ90hcucwdmXVEm33/AWdAdq/ZcxN18gCr3BU2O
8mSprVyeiI1m5DDUlhTPeF1U5Dl2tasPox27TcaoYXg8oa6YDexPvre68dl0dylwNvWN5T3I1tbc
bjxxeT6PB0VUKin+MtR0XOp4zJe5jd0mo2f9kuM6caTvVRdHuSIttN6+p8J9Nj6v3BsaNPnWzg1f
wASK8AM1/RfJl/KB97tPuBcVekDqoraJJ9tm5a+o3/o4m131c5jq56feVF1VpbDU8KSmZXmNoPP+
rIvK2h3CxHuxoY8WPowF50kzyfkXvIwsXrNdhkUe5UUG0yzVMJCRJ1Mf7XuC1mg2RzH0vQxU34sG
ZM2x2poKokHPXHXYhFhZPI4ApWOYfbxwQKot6no7RGnXb1K8tCU0J35ppyl6IHbes3ikh36rkEPL
ylW697hNtpxFJl7L2poHDHRehHdgT3rg133NGke2LO0jtbenxeBhTpplw+VxLAumAx/jQZyyPlPL
EMl0mhyZHnei71Cyd7hZk6GcljUMatLD8djPY0bXVqUDqfe3tdmKnzsp9Nvv+/o+W3lAXupV4QXK
jpREa5k01kj6LGdbP76vuarXB0x1n8fPP78B6ELlQ63koFLTsO0yanf0s86xaeLvv8R94ult8X1W
bgiMI1InR7LGqFrZB7H3QxIm3kO0m2UvFZzKpHMDHpiavE2Yi+QQqL2HZ1fSbmu2SqXMzjX4YFNr
FFu0lXvgAzw81zrio17B+hq3Y3c5YN4tiankvrwMMtC5cL3pXkk2anG0ilTbovxFKmtfrmU+bg/o
f17pd+BZeHhu9bzwyuUybRs7Zq9l247uFzruGj2ZokLLV1DrUnEZ9i4equVm4AQOuj/pQNlUPp52
uuq4qNsFheFZeHhey20UEzEyrW0+sEvbklnFlWPmodx8Nstd5vIgveVVjtoF1tOYbYM5VjmV8mUb
7bN4kk9ZWydrTrbu16ZV9DfX5Uv3gOXuq3mEh/JmzTPZ7wvE3UY1w5MispmEyr7WUNapaanYFHdT
tc+HshBDe6rXPZdHwRbav5nRJFyggb1osGUikqqOsrSVkTvScpGpkg19YDHiMyzvMi+5vdj5PK3l
SEadUrSbPtlxNk8Jz/a9eTxoKrefc9v2X4aILe1jtquOv1gpJd1zIpWqflU14fwBVe4Je8ILHKqr
+NAvJUsHmVl6ELu+HtZ1GcOCtvDCRmOowNtaydREw5LmE2ZNnFOVfw4CGveChsNGqKrKWZoPq/rA
IZW+sChqw2I292LGSPOuiiKpU97ATubgsGr32JVmsw+ssntQdm4H34x5thw3Tlaj0mlbMnKpmDHo
4zpgQFxBCtTHXemGNia7GPJPQ7tbEuYW7sUPunQNLCIjUqGy1sXDSGwbb45FgemCe/FjZ3s9OmFk
4kaOE7HN+XEXfXQMc7sXJESmUVeN655al0/p3skqFmaoHohB90CCe9iHhn4RrZAa0oqU7YFMuDpm
W08CF5UHfdj19AqX/Z4S2DfGqMDvu5w9VLXep7qHZiyGjq1Nvqe53KbnbusQ1AJjgavAdePBuajc
NFCz7WmUtfqSzGt9zKhiaZBbmYdmOsx8mGqQPmWEHRYqbWxbXIbpzjw0q47sapbg1mgixaGmbo5F
LVlYHGUelCsUGbRkdk9HXDYnq7v8MHO2n75vmTNs7sgXzMNrl/Fi33G0pEvEr2HbWc8nNtVDl06L
FIFv4EGWznLuqjpbUgrAfa2nvkow6+uw7TjzIDt1UAotu1jSnnFxqTR3x2rrAsMN8yCLp7bJ1F65
NLcNe1o2rXw+rE2g6h5iIVFndY3plI59leGD4cQeZLHWxfH7zr0HtMwDLc9yW0c7tHmGrlyf1FM+
PXNZ1gSCyoMs9EejGbtqOhmXL/YNXZBqfuZGiSJs3VAPtTUu5zGfyQolodsP9cA/bHrrHlj499iG
eqDlVVQzpbI5GZsCx9Q6Eo9au0DVPdDSoWIkq9QMlo8+GAL1XafXLMyt1MNsPewmiqz4XXVGRhLz
WYSq7qOVq8ypAs+JXqBpTM7Sbbhhzu64sdeu0TxkjQXpa6WLg1O1i4UgVaDZPbQWjKseTsdBOiPX
Y8maU17mgZ0t6qG1Bv6tKnMQrnfXpo3UBnZeYg2rDc6HKDcNs05UZs1WzwmfsiVe8UxiPGRTWIqi
HlbbYiBdT5FLunnv4qUor1214zCrEw+ndjfT0BeLS9q6YLFg/EM0WxIo3MMpyrihWxFNiRxRd7Rr
eWXdbgOFezAdrV4rqIRdUgldxKIqm9gZIgOleziVtIryMtKgunb4uYXjkZeZzJuwIyri4XR1jHQM
JKc7BvZ3vHdK8GM0RcqGrRniQZWMq27dkM/pxtrOxBEdeDosZPoUlJyIh1VcZsT0awuZNbPNE11Z
fLR1tSVh0sltODmTDTTfuEsnTX/DFXllGX0VJtpHqt2qdtuiKS2L6AWExw8bkYG9QuLhVJdlK3En
p7RaCnV0BX/b11kf5lDs4bSrbWS0ci6Nyqk8NJV8JsmIwhb7mZB/M37BsfAy2FVFSdesn8sNvye8
fRpkcOyhVJVLHkG+3lIQa6d4J7YQ8WZpHhZ6sYfTOeeuqJmZUiCBol/ZBHEgtuWOwyoN7AHVjQ1B
Tda7tO3NfuxX+bEohyzQ7B5IM1WOci6NS/lmtkPbDqB6/dDJ61nIHZuDM3ngpk91J1g5RO2Uwmm/
fq5sjp83UTa8D3OrB1EykcnA3RFYjkVWxLRdfpWqDHSph9Gd9brKitqlhs80xmr90IzqZZjeHkbZ
wtalpCA7quxb5rbnnNnnQaKRh9B+ybJ8ovmUoCyKDlGVPSt3FNgfQB5CMR4GuUckSgTSP7eb/KDM
1oSFFuRBNCqgTjc92KQpuld93p+ytgiL5MhDJxuWja7QwE/6fX5sFvKU8bAMijxgDhufRD/A3k60
+TPVr2lnsrBjVuTBsmymtXAOlB7ad/vsDpX8JWyFeJBsdGWGvQYnsqL+aFb9Su0iLE4hD49unOt1
W8SUbrbCb/dtImnlqD2GKe4hknbZ2lWlnlIbAZWAdPVjnelfw2R7iKyb0nIg+kcJL6G6jZC4YpqG
JTagnN8OgrCwx7FBkJKLUqwxtyw6ai3nIOAw7YFS2VlOjM9RMoo3pj8q6GKH2IRpD5FFXoxsLLYp
dQrIHAu1Q4xH8TZMuIfJBc67tq3LbIKL4fHSwNn+SKspaKXAHb7bBjfOoTpqQLhq+Evqhk8l20yg
VTxcasY3NCptE9PSlxxkr24Ole1BEy+lpHTF0DYmFD1zKq+ejGwVgVbx0FlYNjdQz8JC4buId1S9
a0QRVGAx7WFz1Y4ttQbkr3SbqgNimeiPBCqgMii0MO0BdFhalsFZzZTmbLiKlvk9HD68C1qKPllr
phQZQcEuzuX8OLq6jKkiMqiOgIaQtxaLWUI/egXF1/Wl69GTdR4DEao8hFatREwW1Kaqps8bIBwm
SkoSZnHlIdTlBjiXbp5SNDSvWNQcKlMEFSlM+fjkUbfltLUpIZwclhabA2bVlzB3egDd4ETBqnay
wGYQH3K7PiklfxMm2sPnaqasViQy6YabJW56OZ66tgqjYTCfWNXzpdMzcIVSOELaj93ev5DUPsQx
OL/9fxbiTHkAdQOxdYEXk/bAtWli60z0NJrR9jrMMh48l4hCVGQOPDpvny1UcKtVH4NE+2yqCRJP
MYjeprXIX6/DcInaNmwd+kSqOVO1qBpm0n0ei2RecnKMmu5TmN4eOMudZdastU11MRxqtr1o1UNl
5xkndzjTp0wtEfSD50GatGhn7mIjRfV8FMMaLxVx2yFMfw+kvO7Wru65SZuS/tYU7H001G/DRHsQ
XYHx2AiZGcD/bB/P1uAYzyzsqI5JD6U5KXhpKAHFGX7fzlEXs2j4JUxzP4eu41AbVNiUk5ItyU7d
xuJONUV9DHuAh1NW5LlyqoEluUavypa8LcewvTiTHkabko+wYQbR2aZfTaj8OaMi6BiK+QSpRm1Z
O86bSWnWkjRSZHqF86UMYvoynx9F5Iz4XMJKzNC+xZsZU8oC2WlMeDBt1yyaVluYtJsHFKNZnsYl
D+sOw62H28l/Msw5psHkEB6fzht52vA1DEPCg6de8sZVY25SmeVdLPftqTZl2LkZ85lOGlYJWklt
UtzPLykenxk0BertodOUcDohlmhMrVDvS2xeNfUYtIljwgNntrK2zofKpAIsE2sgocfj1qqweOiz
kSZajVHV6xHObYrxYEj9ykX6XRDqfSoSQrDP6jga07ykbRUv0KhIHIpEmGF8KlJVaWClVRvgRm/t
QTkhXjcl2sM86lOR5oqLDLh2Y7prQw7YsheQScNOz5lPQ3JRp3q+9rBces1QDbF2q20RKz3XQT0c
OOG/jVHgAiOdrx3YPi8WeeigeZZmGRvDzhGYTzfaaueUabMhVZGtx8O8DO0Xp+USuGnk7Lb+uCWI
LToaUlNs9tjmoorBQvwUtDJ9wpGU66rQjIbUNYIckAASO4Xdbxwm3UPs1AADz9JuSC2T+RTjndRX
9bZ2eaB8L5uupRFmWcE2fVH1cTm179YGh+U87qdT0i9tJB3YvVPD480ie1qavngcZBmfbzTTmW5D
swxplfH9Peqz/DGMxhnqMMP4hCMKcZKTDdyqu2y0J+kUZTHPejEGPsBLq3AYV/fdMIPlqV0ujVHv
irEJ680zn3Ik65YAx9gMqWTTmzK3r5Z6ehNmdy+t5tm20KbJx1R2+reuX3BcMPYQt/YMyTvqdp9o
NELLXEWuHVJqKvWbhEOFx65u58Al42XWCUXrtlPep4BUHQugvsTRFskkzDAeVM0WwRl9A9L5vLmY
4+FJ3T3EYvpagt5lGA+nY7kCvU6RPp1FnWcxnBZXEGxkudaHvNV5/bgdtuWNa21zSS2NRDoVxcjf
whU3Ob6E/p81b7RsxeMaziX7x1XdMRHLpoRmfL6OCi3xzqrRvFtGErkD2sauvuqLIhoPAgpLcsQc
eu2JHNzqjg2GLtlBwCn1eunGSFUpkWvBLrO+WrYDRtBN+DUCZu92wrSy8kjlCjKXppz2Uz7qwsJt
O7K7U0vIuh/t3NLut1Uylr2cmIiqjxbzcUzVTvScmhXe9zhMO08qNHN16CTB9UFsMnePc9zn+plQ
HdwLQ+NO3hCll3gmwlwOpTV7inqtttPSNjM7zoblPJnlwqCF3RQzO+TN0PZQz2q9HZQpqYzbvjT4
6dJllb5sKJ5YuoO1lwOn9Xy571H7wnQzYkeG5nmPq8xk+5sGV70Mq0KYFzDblTlRO9qnghc9dH2i
mORUh8Ubn+lFWbZBIdkMaSHa64zVbzJZhunt87xmOIlZGwJ6c5elVjdPMo7DmoPUi5J8BmYKhg5S
CgOd1jiLdB3rBveBNvEqG4NyKmo4tEtzUlXxWo9fRGXCij7qxckKrrfOnUR96jY3vIDbYOXjnk5t
WCijXk1TiBK5jgib5qZmzxjUr8D8d9OHoFBGvUBp2nye52Hu01rl7hejxh2a+Z2aAs3uRcqxKye4
JqL7VENTOeakelbsedhNM+aTvBBAmDM19OnWD1l77NFSpeuIysBdjk/zwl2J94jCihR5y9eE2M7t
sYx4PR6DjO9TvaZ2XLKomPoUDqq+LAN7wiMbdqODEXW7FB7cYuZxk31aIA08ssnKtTlQXZEvYbp7
cJ35uNPZkSFtRr2rWPYjhTN2RUgYF4MRD7HL0DUYrTkUCDBzM3ZyqZKyLAMLBJ/vNcglq/YcUjic
0ZgDMMrEYYgWlIYZx8PsguCqNC+7Hm7VNs0TQWc+xWI0Iozfz3y2l626HIhMPYThzsknRUfRb7Cn
3cJawcQDrVzbcW8t1KvQylovM5a5VKJJBi56r74htHG6PGenqmzzg13GPHZT24YFHJ/yhQ1e3Qr7
5DTaOnpdANv8em9dG8b8ZD7pixPaVUVVDykXco4ua93hA8qWhT9wdnjPvTrmE7/gbmuWiUZ16d5g
at4OdTn3h0x2ZDguto/ewoWzF1Gkm+oIVVytD7mGzeipiDjvw7zv88PgUrBAroL6c9nGQh2itoIB
FG3RDU3YNtoniAlEd9iznCNTNuHsaVvmcO9sG7cJhXWnfIrYjpyB67WkSynFZR2vS7WwuKrZHFhg
YQ/ewu6t6Qg8YHMEaMu7ew/s/U9BocNniTVTu03a7V06mM4e1px+2SceqriH7HzcsbW1bFOobU8N
qZ8QYsNaAF+vUN6gordRhPIFJoikE5vtoY4YHDUs++swo3jl8lQ0JsfL3KWZMypxBcnjlpeBqdLn
iS0Spg934NG0NGv0sa0W+slEkG6CdPeJYrZiXc863KZQa72Q8/60GfMHZrmc19sdW0WfJ5avcM4o
TN+ldiXFE9wYFcMk5SUsiflUsaUWpZpr2qa0Vn0eV0qNTwrpuiIMpj5hjOm1p6JDbSp5Vx1GrR7X
DG9hecCnjJmhy/NMl12qWbE8s6ZlBzlV86vv+/Rc2d9leK9q1ku9zQuG/N7sbISSH9lcJw3CfZ8I
2NV1YTWWzyFTm8iUoHmfIkenIS74VJ2hhXQflouRl4vbqLTjrEtYm5y8cRN6neMscNl7kIVJFpNC
BnSH7ho/lgZa+bvDXZB7YeLc7eq2g8UY1cAKTLA02et5i4Y3XcHDbjPBVK3b0puyww4R25xjsHo1
tJSnU8lVkNGpzyUboLuAsrZr4DAcuhL9qF5FLC8DDeNVzW6bus1tZQMMARjhdIDLh+OHvdH9HCjf
2+vCQJosGybTpLuRH6F39LyVxfvvg+ruaEbP081u8qPZjOC0Gm4IwqXVPqvi0br5eqFj2OgNqj3M
lrB964rsbPZBZdBwtOqyFdwFLXcK89duKd+Tyq27AeWzvIC2EyZDDCNVwjIU9SllWuxy4xb6b3iZ
8HbsSuAjHKquq+ag5gtMvbitvpqXbIDKtklxIbajyhF62cN9vtdBnvVZZZsoocO1jNExx/naP6kQ
Ri8IGbh7QPuvnZb/jMfUJ5bBKH2yCuFg6QjH259HjDv3uKzn0ZxgI+bICWbpCXscebP2z6INdgXP
BlmN7QeCKTs5QfZLyaKNx3rPHExX2KK6/rnt+EoO7Thu5WHPi2z/2Gdb6U7dADn34Hi1fqItY0/n
oZqebGUxn2jmFhABMzCKGLUl298WGO63vKrPcyredqUa7BE2bGyHT81yKBAwP19UQxHtR/htWz6n
JOvnoEISRtffdinwGkdyvpCc5BmuXsy61s9ISfKwBEt9Slwf1byH7midkhVdCzK+0jh/GbZcvBgD
e82tjcRSp3QHnm1D2CXp7UODNM6B8K6l4kUZ56I23+1ap+MAszoujd2b5ag3YD0cF9gh5JdCi6YI
6q7BvL7bPsCj5oLNvE6jIRIJq5fmtA9N/i7MTl7MKbbMwR6R1uncs+IYZfv7qSIP2els7Lvs5JUG
GOWlq42rU9G48g2wqtnPqsjXq7XC0QOdzfse4QUdlGmZk2GsE7vSWhyLaTRjGc8Gmu2X5QI32h7Y
VN/jcp81B/SE3M2iyRP4gyd1fXJ8xcAOi5qkbHdFDsDoDusqUZ9ElxfQO8lMA0brSAREN/EeAlFg
AjuP372ZHyMYOAKNgK5OMRzHTXQ5TRQ/EKDv8YRPopMUuJw73ME91vkop0vdWH7qlYZzf5HPDQpi
F1B5fvqNLSIH2aIsZQRjOmCQINx1z3/Vowy72kqlB2y76bEsN1OlUvLpBJxrFWcFDtusUJ9IN5fQ
iqQOF2nJFDsN89YelS6D9nFUekBGYsBNI5vsiOfyCcpozHoRaHMPxhtFje0nEL3vLMn0eGpLErQ/
pD6HboOpa6XVdXasS/JU8ujpKMK6eNTn0AGt8DwIt8yOQ7WMTyprpzTi9E1Q2PQpdBmXxbzRCBY7
zm0yDIbFm27YKUy6h1Kka5NxFJWpLO3wFFiv78d8CxsOS30OXS5kHs3ElWmzkebk9NQ9RmMTRkWl
Po0u2lY4T2lNmZZVNR6HQj2LpLFJmF08eK4VGp2lvT5OLSvXEyHLu8HUdVhTEWZe344tRa+nsWGd
Pnbz+KJu+rQyfVgS96l0W7GueZtDIdVMrow716HD3vAHIu/59e9Isz6TbgZ2/g43/ABEdu5jYI0d
BgEThcNs7iXYHYb02HkaSri11G6HLh/6Mc5Mp8MIaTCQ+rbRdbvBnYuaa7ho1e8kVk1mnvZrXYbd
g6Q+m86JLuvkSPWxXXY4s30FLIAHLPO1VXuH3X0uHRM7huFUeZHiLaLzU1S2HC4Y5TA49C1MSurT
kuudxnKcW54I6K4th3Gq+QzjOAexnUan0ZjsA87JVSs5mdNM0VIGdeDhTyHcNusajRjmbkzn7ZKZ
8suSIuWSwta2OwatC5+G15XlJBQu5HE1hYAAtVWuOxTwJxlo2N7D5+GZqXb7nA0ucX0xJK1iy3HQ
LKjTTH0aHpRsnA60dQk+z/1a+Ag3tZkM4lfDaP3bth/kzGw2gfDZwezmxrIx7hsSxvGj3MvGrHBw
G951LiEVHg60xlUMHYmPYV710N7XCv66H82mZCZFG6soggtcK0Nhec0n4eXANUUsolPSA7Mm7muT
v2gknX4J0t3n4LFlGCgW45REGk49WL3nSbnxMMP4M79Ks+AeDmKnBGZUkpddu9YfBdplWBnkE/B2
Xizj5GabdJ1oDjC5GibCsCxs6gllXs3c6InuVHGblHI1J55NMF88qsPO2KlPwqMLoXtTTzahS1sA
42p6C9er1wdi7D2pzR/25ZYRRmbJzSabxHtco9ocZB1YqzAPp7x2IqIjWH1vYVzLMm1fkCnC7hJS
f9JXtA/tmDXUJTncnjnqpSgOEI/DDu+pz/3a4RpEVs5QWMmBfLQtfdMWJOx6Nfyltdvhq2ihpdwP
zCUlMiheB5IlWQY0uu+j9J5tos/+anA9krqn6iSyhs8vC9eW7WkTpDEnZgbIgt9/zD0Lx2eCZTPN
GK7gJeCPAEXHmfD80K0ujAlG/XlfQ5HJaRIgPc+78qiABnbQ/fY5THUPrnUF4QD4jCYZ1mE7lO1Y
HW2bhSU+nwmmB4amlnOTzLWbT22hSAwDjPewzOczwbYWthu7WUwyFXtzwrZ+t+OKB7rUg+tetGzv
odeTDKqQh7ZZqwNQUsNo/3Cqf3vVd3KTk1TZkERtZA7VPnQxHbawyU1wA/q29IyxxuBKDEk5jcVh
521zUDAmP6wW8zlgDm/Qcja5OlVVt7/d0bD+UqHuobn190DJZ4FldFmwA7Jywg2G+yjngmOAv0kX
FuHPf8juZkMH/sINtKs3rU8sgtb5HH3qm+5tEJB89leNCc7g72fIE8z5ypp43v+bsy9rkhNJs/0r
Y/089Dg4vl2bngcgIiNyV0pKLS+YpMxiBwd3cHd+/T1R3fdOV05X1ZisZFYmZQYB+PYtZwE60dbe
fP65y79Zp3E/0WknizoyPYwA4Lae17c87kf5c2v1rdyXNnJFFK/VUZk4a1Vy3ZOfjMTegr8gxDXb
kODSQ4rj74KHGH8OkEjfIr9gBtGUtZjVcb9IH3UuTvO0lu4np8ubZdqSvrZ7mNICKlyncdGPhP+c
miB9C/siDKAiOgxpwQF/aMfoNh2bdz81Vf4H5AsyQvVCx7RI+DrEV6nuwbuu3bB+/Lnrv2k2jzqe
236dxDGdYg8J9dSk1xeq3p/pCV4W47/IdN/iuZqo06l0JT8OOjInW27bcG8EqaoDeKqiPFfD7uo7
u5f/i+T611T1X33pmxRWhKQct3bukbZ6N/o87ps+0Yeuw6rrj3Xpuz6bpwF2NdlIZ5ztvg3LKM5T
r3k9HJFYt92Q9Xu3hXNdhqj8RqkD7G4kgLR2GW3D7lyGIEfPtx2Ppb7bTOlifvZRKuYuW/a+ipqM
UNXQKlus0AiEJo6hy5iap+qbXuphjbO0E81wpnsHueciIKEXVRHmzS15F2jr30NCzm1NxjpY/EDm
OzTejFms1oinmQqQhu9Ose44pO8H1CztkIFX0K+4QSOm8aNOBiQyrWjlL4Me8M/LOqdbwQH3pdmK
N9Tl2+aS5moPq4frUkeoGb9NKNqKNfNLTGKXMcmr+svYpJ36MVQrjH5A5NynZcig9tWGzxeQ3knv
Q/DZCNEokzvXmLgrBIiT5WFHyyY5REnpTV5KzDSVb9wFNhTJtjNyE8uNq2PD1n0AL2yewgkuAWMu
uN74XUvWRhakoY7mteAzojA5yEIOEMDN/FzxeQR+s53qqrAK+b7IUSHx1YQ7m8dFZDLhAryRrbkq
U4GwEXsJH9ZrjNZUN9kiEdllKo76oViHMfk624EXLuxe/FibPdCjXibW3e9LIvlzPSdC3FNbUnq7
l7Vcq6LfwVFJj8qtMRQRdi7W/g4MDYnx0k2jcXMV2VW1HglUjRGNDWTau1Pg1LvvsxyaqcqnDcXg
swADSX2IvfAm5P2YwkmsktFFBrJf+9FFYLHsAG1BQUes23oIGMtpOicMhbTkzLtR1lnHO3XkXT3m
E/duWFBNCZHZLpHlZm7IarqDW7BH3fOpWtsP3ifVKDEdpmQ9tpQZn09VnSZQia1DXyCvqeUXaek4
3Si/I/GrGVn9kjltUczPlGQiQQRlLaU0V3Bcbt/FnVz4EQIrnb8ZExejqk0stNV2tJntVoG7RYLh
FkhODpE10q/fkz4CZ2bZRKrfCzbEsqhLw9rvyH1kj0UzpNNWmJZN5r5bScU/AJ41D8c2CNCE1EQm
dr2zKOlu49p1+0sz9tMKxswSTen9jEVbH0Zdh+Ssh7idP9XRIEmC7a2rOMvEkCp9T6zt4u9pW5Yy
ZGWlhurKuW1j12Rp0ulz63hgOTTvCdjolaOxgrQz4/2P0rqqq7Ju7uR3RvmsP4Fdvtc5uks4u8Dz
mMIdUH1G4sNTlP6Y2mXbz0OiQ/jQ7SSOc11jJf1oU0zzU9Ul+71VpDqSZJbtg1xWwQ9ENrp+mrva
748OBI8kQicaugGyuCgR87Nxdhx/6dC5qW9aPtNwNU1tX17NiYqXm3WGV2bepjRNvkgO6+WX2HXl
PSjk0TXaSPsPUFuGrHWsKioIBEWFb3bpruEhse0niAfRz71qUlXoHkzHdyLU/XgfV2UTn93UrOEQ
zXXrTyoshF8J7jvyifCyK5/qWVU618FG0ERsiTIg0QwcRn7bbthyZ8huyZlqrvuPMO4op4cVLur1
kdTdJArr2w17p2NyqY/AT8fL3aw2/qOHJsCYlygZuofakwVbST15d+BssktVEHSrtpuuhcDxsaxW
DXpNJLbqQy2NSs+D1ppntowW/r2uVavzajSdbTM5xiWB0VFK/dn0g7GFdQmJCmvGJM7Gfnf6C7UK
d1AwUsWQM/S4iyaqzJK1PjLjYbxI8mQQtNu7+9mBmHZgenFfExIch71aBavIHFYQ/A7hUvVaYgmL
vO3rZMj54Nj0KczwZ4TA0TBA8iyj3b43Z2fBkv0Q4E+3lFk9W+Gx3+/aTVPWWhzTLkPFezM/3LpR
9gwLjgUHQge1GvXU4yqXgdR2XQ4wcUSn8zC6ZGAZuJ8ju+pVrLrDtlW0D1kVW7nfOG8qVC08bKzU
iZQBMSKYbHV9NnBZi7J9aZroPWfdkhR1yteoMGSLVSHCvrfPC9lpe9rs7tTVOkxRWcwuKcMthVnO
I4lN27xH5SgJXdb0vVVHqMZX9lp1yGDuA0pi8ph2Dc47W5ZsBs47rf3tUJG2y6d9iW2e6kVE4C0s
pmwc2HO7iZ8s6QaQMcbU2sfGE5GcJrSM2/sJSnfNnG0hhYEOdMWz2S0qPsdUGfvAzByN35LGy/6W
99Rgjo310NcvtJc7ZsIAyTZzmCrZbEc8mW8PbOhS85F3W11em6pp6RkkWt7frUsCg68DtqOeF/Bl
ouXrDqlkaJqbumUnMzVVBWwzGFiYIxI6Std1a4M+6XagwAwnwBCTg9FwPcw2G8bkPb5TPm9xbf3X
HqLx4KSrpJ7SfIb8YpVH2J/K3Jfav28TbulJKg2uCxtHgFWHbZFRHvRqYSm3TM6DQLKJOEdDQdaP
uF3GHrwLVXOKxiRF56gpu2j9MAz7NF4DulvviIrG3f/AqWHGDhqphMTvLp0aSnJaz2K/24lKB4Od
eA/lWbYYegjNcrib3TpsyPMD3C/Mcia2VvbkLVfscnL7GpoAFV6jMZlVWOUEenXVvlb53LgQ3lHl
e5XBNU3yo0gH7G9ZR127PBAby/nbvhidtllvN8/OIaXE36eY/fXn1nhY0OAh6VQ+dCiHuSfZ4SVe
70m7+GKkK7MnnP+RrvByk2E7uF0IVyF4stOOwVyq7bi5Lho+ijjY4XHDO9uu5xaw0Id2a+omT9t6
Mp+9Fgn7MiQiyCGDQhgZNd4U7auXEZqp5BGq9an6NkF5pfs693OXIL+CICLNhzZpxWkQ1gTEbzWR
fMrmaA04CnuP4wPRHiRjecQ2URiINEwBGD0RfYeqfEhzgkO9Pe/r3H0QK+b3oSOu53njd9RcBzGm
n1gCXEROgyzbHLloKuCIOIn1KukF41tGPRnme13PNSjHMeQ7j1q1/XRHB+2iPuNgYH1rp9n6I4ub
dHuIR7JAfxd9VvUhlaOrj1sPp5zHOanpZ2ng8lKYtEQpQDaR5fdh1KU4kqV1yQP6T3R86jth9pu4
HecJG2aKtQFYPIBq8qqDiOpyVw690j6XaVo9BiBfotzzZtiezO5mEKLBe01cDhnDssuFihv90BnU
mLJ6qPr5QAN4tf0RFLX4IEs6jsVCygQj0dR9fJeu+uLkys0l+JGAVtZVruTGkmJYZxKvWbf78KmV
PVSTsn0Aa/GDBrmNPleGT7fLuCLiyuuqjfK4hSpcyLG7b5lwnNpPyQrZg1PFncZ5LzxBmE5B4NU2
CzSN7LnBLZB36zRakSeMz0UX6nW86jyW+hdGFrcdE9H1MZxJFkiexWlDZUF7wIMzQ+P9qHAYOZst
rGzN/QrolBrzgQ+iv+1MGR5kuBig7stOb4yUHTlIONh4HKMIOYplT7Htu36LqnPHR2Y/rH0Zb0/j
ssY5eiRz8jX0pdvy0tXpCeEaXDM7sGgmVNqzxbf1qbYawhopeNU4bGm+71bpbIIZEi/sQpJThXjg
kxsEvakgpTRkXLWzyes44RU0W3WSTVPa8mvpqvCSgv3T3iVYOsPV3ppd3c1RsjwSB4lXpEDU3lZc
JjtipzhdHrdIA7Zrvcg5aOR36OeArA3zUgo1ctCQ78Iik4+Ti6pDl7S8y4bB25ut69VD5aCgX3SY
xjnzq8uTumxOaZqq25VX4bqKff81VFv7XtF+yRvC3/VsGT6yVo0qq4g2gJ2sfdfNmSeNciarEO2G
Y4BVXTjxLameeez1tW2DVAWmM8+Hfd39cVxadh0AX0w/ukiK91XvgFooEjuK6FQOYnN9VmLmStDk
Q01eGlsG+5ExzkO2NYOXgHLGmwtFc9EDOPfB75BNkUscNJx159kkyGMaOrVFxbc4ut7iFGxs0Eod
uV7quFT3JvLGHjfw/MnzzvuE5yqkm71ZU82qr4hch/nAbBIlJ93oJr1t/dbD7LUatz5zsV7kM117
TR5mulJ9gExDGCFJYHh9nqJN9V+iGl7Cbc5Cw5qCmLa22coahKLKrqLJlx4xistKGlHaZ4GFtfnh
JaPz7eanbf8OUyqHcKi2kmF291hbTGctCEPtASo6ZXK1yL5p3/kYuf9hGlM6HK3AvlMgo6nEeb7A
7w6zGBL6AFJNy26An6VxESvP1DkGbcr/0gCMPTysxkpN8qCqrb42s6GEZxAUkWiP7m3Sh3dIjUWC
LBiQzf3GmN5gX6hH4eI7PWBJvu+QrLovHevUOZ3QIqNmcOJLbGgXfR3QYEWa7CcGx0UUoescswPB
UlauG3Z3s6y+2IZqkZ84OP32WTrs7Z+NmVXSFkzMEc6rcmTR9p67vfVVFiWJoJm15TLkqqR9cm92
6cMvKej+/cvSgM12kC1sC59CX3sFwQE2LY/weGadP4wb1F2vVBMl0yPHKsOOSOgyS2xPtRcoFtYj
aM2nlpLanWhXd2Qo0n1BCJD1nPMKMvAT8g9EfO2ch01fYhHYuFj3rrXLUrkr1VXd8tybaNqOUxtZ
dTZGrQwjtiu3FHPS++1rpxi4SLzulPlqXTdvR12RIcpVt8Y3zVyVPJ/RCLe3oW3TCkMiGpABDars
+aK3GUHpzCEn87zuUMkFQXoub6cqma9c6eXTTJNgER2wfdcPoe/7bIE3aAZSWLVS+IvJdjoGJ1nI
K9ipruedGiRotVpFZqybIp3Z1TrzTsRO1L9ssDaRh70jpC64u5yrWWXgMXEqEWbfNpDmwqyj8UCv
yxb+rDe6CtMnJfESCmptGvcZaQB5eDb93kaIUgOJrvyOeX2FOCAW1xZHQPvNOdpcIQWI1ZcJEuei
zpmqSPOkN1bXkISOB96sGSYZo7nErhqQzUUgzu2ijpt72Tqy5wsW/McuZsOhLxs+YqmV6/VEUMG4
Q72Cskc5et5du21R31GJ+YzQwyYcliocEPAJHjHJ05hU5VfoWbRNUQ3YFJt26e6sJYjMdgiMuHMv
ZJ3rPcBwBLQOcmrEQvu72VLT3y3lam5Wraf2Gwyi7Ws0d8YUfo0wjKkXz92aXpo7ncTZ7lP3zBFL
2KLaZ8TqwDVZn/VODEeQlRXPWu0qxAZoVW4wu5Me9VrshAb1HdveO7BM4MAoL5UeEL+X5w7BWJYw
INDPKKUrc0tnOUePVADEB1CQGKvtvPGqsj0GZQ3EgNFdts3BEypbcWglb95VM7zhDzHYK/Mvfku6
LY9qVK6+QqsBbrgLkyY9jHUSEkzNJnm/NMhHrsLYmixpsYHqbFsXuNhVyVr/kGwwyTN1a73lYTAx
sh2R9pvP2k320Zemicvv8hKanKQHy/xj4PrVdr1NEe6qOUYwO6TdelLwBJG54svwOjEs2UzCsiOH
LQhJD71K5a/Fv47ueAlBHqBvWaZIZWCqfvSJcOKzriIF/nGjSlQGIzVAGcloSBQUCEoGd834NP3o
e09j7HNp3Y7PUGpTbZ4staOn1qbhBalztd8sfVK+DnW/Kwb/77Alt0Pt0vljVBLOXmNYZrAXpJY1
KiNtxW7VtHTYO0gd8qSKZ/e4qFJo8DrQW0orXpHHJuIc1WyEHuSGOQiKHtW28KTwdif0sPHNbFk/
rP49NJHj9JNe1PYuilLzSZYi/gjsh92vphIkoFM0ITH2/eC3A08lBH33dtOf8M67mzHuAGvjLQy4
oXGSTuepVmrOmR4Hl+mo7D6DqeuzmYG8pXXq+M3idfQouPN3XO21PE4lpBcOPQv+aoatxFWse3JO
4cmMPW+k5rlWFQsPuprAHt426P1kbF5L+96tkHj9CgERJGcmuLT+jNIwFRnfAt5D4toW24KiMZ0Q
cQjwjyWxH2vPESRSlBKqClFGyyLIw4o9KhbA4NmByQp1Ewd7dfiUiGVvrhJN9DPk19vuKZETSOAe
DgxPDW4ko80W6zXHth2syxbUxuiD7mqR5lTjdj5OU+mmYzuXbZ0nqdDu+wXrep7GfhhuvBB7j+/o
IvPUxanrH2glHAK20NCjlDqaToBQCvcOpejxgG1iHI8LY60pknrrY8DlYAx7mBzBJgJ9jGuMBcoR
pWaTRrrtAFreQrBPJqrbLR/ZGvfXUbQN+xXkx/aXiME2KethDXlT7ZPH8iklXkfnyKFT6ZrPs3XX
dIoRcNbNeBN0zZ6AXp7BEIC+I+ocEGqgqSg/Rzvg5EcJhkz4iDqT33AQGRK/WLlUiYAHTrejPGD6
VY/nER2K5mu9z2bIMVIgvMuuRmSOHbPfhryeSw39cogXqTtIpEmRK8f1evZTOssrAQ9wWKOWG5dN
FjHIHh6dopdFGLVbVcFdcUbGhM2nK9rdKHe2IGWoLJm87bGM0e96XXF2lme9WFIVGxS1CZCYQ5LG
z1OKCK3YnFrqXKQbB9fH8tA9NxwyNQWB3nzzuUdBI82Gca3rj8Tv2D2qKOLxNRfxwPJBJX1STKiG
bfk0bihtZSBB+apoQS4kD6meF/kOhiDNlgWoQOvDGko2ZSHZU0QwSsf2R7TAVSFjoHqod/Cy2cRV
HbQTPzgeyn0yCFD5LTNxL/K0F13y2FeOQDRZIymoGzMMTwEE/u6YtIYMIWMg228oYNbjXiFRtyg5
YFJ7BIXwaC9nGGsrU97VE2n2c5wSP94pjTptxjV10EvX9fJKGG3q+2QvR+CSStKNp1VuUfII3qTg
WFML3R36P2PQR/g3uuUIpJsecnRV2Pp9dIOJYJC4W3mOepRTPpN+uIwQR+JTxIvSLcioSMCG+xX1
wy4Hv8KaNYMWS5zcEJ4wJJfMRuOpAc5i++6SoExRcl7aK4f92hUL07o79JTKuUjgSGO7bF6GUB+R
DfbqpkwhvwbwZX+xB4Nb2lS0daP8dWmJkDl4IpViBZQYCBZUUw7oZ6MVOlXXfPN0R8xidXpCkWBC
t35GbJehDht3GQije1vMmAb9MfVrPL+KhnV9hNwhTi2F3y1ETH7R3dCDz9WhQ2ZxmA6IE9M86hd1
xROdBH/uYknlMzSjB3vrkNp7jQdv0jZFDOLp9MBE0/tPEZ5GRVkdWzqtx4uaNRLSTe5ber9eMuib
Mpo6j+ALeFkITIWyqh7CEBskK8tKORZ42qFmJXL0WhiyVWIGNf5oArJrYPuCGMjrYrdoRjAgGBKm
yYLbuMGtZlqujZpW+cCweVQIFWW7v3Q1uhFf29ZN3TGt0jFyeLuajvBi5kvzLkW4j7WcKJGyo0Zo
NL/WOmVOZjZWUGt2Il3lhxj1uQb2L6j/2+9qSdfuWUfrFD1OFRo+77ZLogrFgiD7JBfbDF1j0Ob0
0p/rAX0vTJJU0+MikPjwA3wU1/kGDMCKuXxHD2lCptssohEFYdzKG6fRSbpFdC35LcKi1Lwf+7Zb
rkVF3XSOVhizf6WElCTnl5jtuE5DtGa9SFx0OxGoU72LVrM22OMgQ58rRMbjIayDXO4bY0F0GRgR
24e9B6Qxl8SgydPQfoTEzFJF9ofkRpcfqDPY/Ef4G7Tbfh3tsO9GyApdw/7sdEUD4ilYXOex8HY9
hWlU9LSgyu6u+o7v5BlVRcaumw6dwFyTAQCAA/jEZJEF5uaO2talohYd5yVJ1pzyoY0yrLk7rk1I
0WtkkMc4khjQ6vnYRDH6PXxEiydkPSzWZBZmr1mx1IKlJ+tXtZ906iMyQtItcatCTa+CV9q0qri9
ZfFizDMzUFV/FVW6DrcIbBtx7Fm9qvfOoTVT9JVsK7ATAUh7bMax5zdl1Y/deyfxYm5CIjtzTVZY
6txtuNcEjuZhZ4/tKobq2reL6j4i0WvKLScrouW5aCc5oGydQqOtIfmKxayjHNofPOgCfUAh1bED
HPAiYSy+QMGQmDhXCgKYw2FAK8isZwRgC16sFa1eHnFOjyg8A4yDVhpiNxXeU7x2kKsUq7v9I7on
pT9uWMlHte/iFkk0j26SqFQI7DiBel1yaePJ5Iq0nOurrhUzu937CczrOAmT/eKaVUG0olshHXK0
lfahzmLHmUCPMwHoisxGbjlHYcN8HTZI1j9OkF0wyfEi9RqjpuEZzN3lsqutzdXgXFeEYbk4ylnD
79lSpuM5BZPXneZRr7SotqDH28RApwYlUoJ+6xQWsR4bFPHjLDJxHB3Ro7RN0ctKIe3Us9GIkOjQ
0G9ewEX+ptyr1j9BkiG1qL3X5bK/0JHR6rvuJtKfCQXV8UxQ9Z3voBqw2A89JKkR24ws9bdxGpnw
S5hZq29DqCKDAp9PZL4rhCMZ6ssreiuNMQD7zTa9W8lgXG4DjEPPC26hLdY9Sboc2HiOnnmaXuC1
mzwqIJvv+w3OwB+J6ypzt9g9Hq8FbO/2y2iLElwHZQOc4Y1I2+8o80W0aJmMtIFYK/KZ3IyY7cMB
kXWHAxIb6SXNd4t2DypaNpqHKIoXLBY5L6BLaHZ5g0qjXIVIYmHqwYitjyA30IjmZb2cjy9ihXwC
uOSsOs+TCnFGsN/17+myJBZrr2LDbDMtDVjVKDHBKErUpCEFTVgEeA2t5vI+qYV1R2yj0ELc+rHZ
Xm3rtb+ddjGwT4tfeYrkZW7X6xDE7j9JMejt4aLhSE9mWMtsgNjNnCEarS7Fcu03nLloYD7KEJS4
NjWYBvdolAwgvCM23lHamjtUrRiMK1Nmv4G4OssMxKLEHTzXHap2y1w/ASYRIyLaYMr81ALZiHMR
HhvQblSbLNWz0EQBaT4S9LO2q7Fc5slmDfh+aTZJ4Ahojt73sr6ikFSheIuCDbHfUK3YmyjjFuFr
mzHsshY1xH4C2yODSD3yzqMHPRTmQKNPef0FDOuwLtnqYGIzXw2bZU2buxn64YhDCfcsLhZaA8pR
/LtZLOR5Iyav0KmiNidABJksknYucwgl048Un45uNldX+qzqS+23Qvrt9WXPTMuHKTHLAdWCfQXI
Oiqj87+Xqyc+mLQ/Qajb+4LwdlqzPdTsAQ2rcS14CfL3zyGY3ioL8ZCOwzSa/kDU5zb9wLefA9e/
FRRiPd3QrsF1afMkUbRo2E9SaN7KCU1Qa1RlI8QRxyRBEUlt5M5gtzZ/wuH9HcEqtAx+iwFEKSyx
QKShMxFh/c311NibwUUTNBDNolFwSrYWtgBCzcmjNyjdIsFqI5JPkcc4/TGE6oIq+ldoozfAsgot
Gt9EizhOcDPtiwakljuAB+cc8Rraj+jFyfMff9PvganeYEGX2WCqAVN8hCDALN7bMJVroSvEuYXD
yQR1Usg/9IhKfRj/5A3/DoTzrTpRC3wYTpOEHbmEJ4eF7MxhRq35Tx7o967+Bn2m4ehnRK0YkCPD
926Jn53U5Z/AxX/v2m/goQjT50FXJTsG2H5k9RLOzdrTn7z4G4SZjWM7TitnR9SgD2ikNlkZo/L4
x8P8e3f+Bh5a+q2xTDX8WJHI4Ezfyiyucfr/3NUv3/pPPOik0xToILyXZB+gzWsVXCb36f0fX/x3
Ziihv704X+LBad9iutRCJS8GNSWXEx4S+ArJZNCZXoHGPoHkxPRP2fPRtzJFtaycgGYLO8IOlX1K
58XctzHKq3/8QL9urv9idb8VKRJtoCgLVelxkKpGBVqNwaG5gv9eQ2z5c4rIG/8ypvHIrxrdfmj3
5kOMmcZOpWnWGrlKVR/gzvjiNwrr5swKhGR/v7v/+OH/T/U6Pf79Psx//Sf+/mPSSPar2r756399
mAb8+c/LZ/7/7/z2E/919Trdfxtezdtf+s1ncN1/fG/xzX77zV8OiMtteLe+LuHp1ay9/fX6uMPL
b/5vf/hvr79e5UPQr3/7y7eXoRkLJD1L88P+5R8/Or/87S9CEZpcbLn/45+/4x+/cHmIv/3lCnX3
5du//tTrN2NxkfSvqeDQ8uEAoSXk1+PBvV5+wuVfYwVYLkniJCXJr9yjEc6n9d/+kqR/FTFIfIqL
RLKYcdyEmdZff0T+GseCSkh+JkkcK5yU/+/ufjNG/z1m/zauw+PUjNb87S+/Xd4iJfgGqQiYnipO
RPyWwa4S2ISZ3ouDZZdu9r6H8KlOuP+TdfHbY+nyNZKniUi4EjzBc705NAxHTOKqkaP+2m1fNxLJ
IyrQUFXcbLddVYgTr/5pFP7xnP/8XL+qRP73Uvn7NyIzSUH4I6iSvhVnUQi10c0q+UHEsJ3OkJn1
sIdHsxHLRNCxQLu7eS9X0QIPLJ9WR1CqwCmzfx0Dja/IrNpr9CjpdTxvyQEK3u21Cr27Qzqx38a+
039CdH2ztP9+vxjylDGmiCBvtRtaEXXBeeAuoWo6vLgtdLkBSASVJXSQizYqZeYqlJ2zRk4vy0T2
l9VL9xwqiPMytPB/qda1+ziiXghkzT798sevM/mf80RyuA0SEeNsx5zEfPznDRuxC9GtCvywIha/
g5Nf5/OGTbQQxtU3ofUC+Xqsp5veUn8gEalOtkr8AfcsTxegyKckVMND8PUNJKjPpI7e+QptqKzc
VvRJObxCv1B4/VxtJfr0/ZRM39cq7q4GSHg9/fGz/MrTfDs14HwH1z5KU4n///ZZZLMjxF8pO+i1
r28DW2TuLnDUwoOac+3gINzlAyXsEE3GvYzcTSUaDSPUuMfBspPn/5e7M1mOG8m69Au1l2F2YAsg
JgYZnClSG5gkSo4ZcMzA0/cXmWXdlarqSvu3vUlTShwiEIC733u/c04gHsdlGT48Z7JFiNPSbVUI
930xi33fu3eygw6tZTZFshTqHixoOg0YzO86lX+0rk7hoNz3wB3sywB/UNdX4gJb33b1qlPRld7F
rGp9y+F+a0N018y1LYZB+7SqmXlJKWm/+tQh1Gl3XWukn77XkbBiMl8/A4NsdwOslwpTVqNzVxnz
GuYWqfFxA1f2/t+v5R8P7m/XUhq269jSZBRBHfLXawk7QeO+X92dmdjVfUOblYHubNz6Fj1v2/wl
8nm5x40N+BoYgV137Mr5l6fL7jtd5eEOvTlpohZoM1hnWcZSaMjFuoYiE4ndPjTgUMdp6tVyVm21
fgbjbD6PbQIVXC7i3SS64rbdmNpFZZsZ4aqM5dYvxnw/jJ7xNzfOHzXIv71Zed0SfBgXHoXf3qxv
tBid8xCQ3DJdVGVR03JpnVPLsv4gaI3v8d2yOIaV2yPzcnUm4p4uN/239mjShnulAbX+7GZl/Pjv
n8N/WF/96yJr8Ql4UF2/ndZKBRRfurO7Q04An9U1vzD4ODlDsTD2m/5HRip/LFW+E1hWgJbaZ9D6
26G2YX+Y/fXK9VxNbAw4zetTnP+NbOj6kn+72H/5Lb89paWfZwzlGGoVdpb9JCOuuV3HmsG7g7/f
/r9fvqsm9PffFQTs0eyoRJtYv10+bsm8bS3t7mgdWWdbVNvn5mnv1uls48laepZdwj+CJqTfWj8Q
ktLF//0F/IflNXAkobpQKq7DH/96ZzVidludui4GG3J6M2cNUJls8m92YeuvJ2Ja177JwcF1fZZw
ixHUb1Ui1oWmv5a5t5vc7qntLYUiYMWFenpcONcF2f1S2xHigE+ozWhMS3G/mWUSsp/4cW7TmA/G
sQf8c5pH2sPzQaphCN3lqQeiQS6S0t7NFDDDmJ5oxVpriDazw7pC/8xV9jelw+/3h+v7rkPyq8SC
+nqu+u2UvzlboUevkzvNthMlzP9Db51UvHmN+JtP598uW4AMi43P9DjAmO7vAaXplsA3Eu+1k6Wn
bpK1EEdpbNNZdXW5t/tkPHKpg7/5pRwFf3+qPcPlJMBxiZVVuhzP/npXzNbgWpU5J7upnF/crGh2
tvK7Q5As8zuMCZWTufRPzP9PQDUfMqjzvZxX61uuwMcHIz1z9gkJmZFMjL2Hvm2v/TySuTKyckoU
ISFY80di9R/NZB4yY25CaL8+RK5rhbocmD/Ny8ktJodMyR7qlEYl0AFT6WxNQYxcBkeZsRr7zkzc
O79Jllh1xm1riXIvlzkNgwTJgN1Wj6NOg7DWquUBelplEbHonwrHf6arO95vxGu322dtbP19vVVu
XLuueu8bMd4LnVv7Oe9VnGy5GVaIVsKulzkplPjm8v9l/rFuwoQgyXDlDZZ++rTKoDs4qROAVQ+2
87FkFj1Zo3pp2+mh8w8j7zPLlfkjIURw5zICDEHqq68SEn4LB7i9vauLYldnQXtcSreih9JVF0fn
xYO5eMkIy4FNA0gee243Wj8huPy7qpL9PjOVGSdZMSdRYE5oj2ZPVnHCLvUV65J5l/W4VjLqitrS
e3bbrIkHTYcaR53RYVQEsHamTeg8JumkI5mtu8U2dkGzHBsGoUC2NkDRC0RYuC5ODNIf/CKf6LaY
xxc9jT9zTpdvmcWAy96YIQCjfqlSfdNXS7/vx2G6SywYI53n9uNUwKqEa9tU/KySAh/LRmAD/VgF
29uiRv9uKiRTlbYDrRsV7G7hL15kMti972BBDyb+Pw8D3j0QyXxsY+fTGU1S9cufhuCgtqTHlslv
H/vSN99r3ZZf5sw+1DninX2WL/4D4672URQlXdNFGSkzaEuvaG0mBvFqGx7tZB1Rj6HW0oyWX+Cd
2kOL5eJFtFodEQSJp4KD1oVsvzTKDcuIUeZIfrPXXpJNjLtiXozdSPTtN5GY3akBDLxYtOPilE/v
uOXV8JiO5XfEP+v3/PoOZwOaokumB0ORhdO8IJIxEU+s9zpZ7xIh+0Nu5POpMYvmB44C6QvYlBmC
NWYcwH2QBl2YN0KWWzwMeoi3YCtDRtYuCMScXgrdbLHRrmbEjKP+xcBt2YvJWW+qtqvua9f/SYTR
R02nOQhhgdCudLTQvkhUdEdHMZyjR15ypluQzfXpdvLnHHqrU1+6tv/SogDLw4Eh1/eyMYc3RZLt
sQp0RejI2uzapLYiKp/+tqs6JmZB5x3zDh6lE77auYTORKbh1W9OV4u7jFcV47PHFxf1EyvsctQg
0CfGuEiCvFqRgDTfJv3003bVmeGtR0c/oNdRG/YS5VnKFwiVPk8LSNy0TGJf4FZ6n/SMu2Gc/GdC
Ur/3vts8ld3s3TP/bEOewS12AFJOZeU+bK1hP45pxWdiMWKP034ebxwGwzxUQ7pPg3mOoL+ZuzTt
rcwntGe2l4VqTcFIky19Hey04e/a7WwYiNbcBnx4xWF7DxO+skFoGBwzzb/1+NDcTsxfL9mWlAAO
zXxH773aCSiLOC3zg+tkHzqt+j05enVM7LVmXe3iYkKSs5ALcGkKJi+rWKwfCAjoyPvYHRD7ZMQZ
opAHSxBXRZBPsXp7u3Le7ERDp9oq73ZpWsemLO7FYIxP5IydzWqKRhs2rchfkqKoecdt8Yj4wIzK
NbM+jW0pQf1yTvr+vDmHvLck+rmtzvEw8u47iwYsarPtqBf72UyWyK0dKxzHBGoTQr/e8CJiTPcd
iu6cmm5cOsV3NJVArPXkHObWA5UVxnNTtHGfLtNd7U4JIouG7EwXfvl92CozbjWBUV8V5dkUpuDH
+zVHxxC2W3cezEFFVmUjRCnUZdyQng3WbEZgYhvTcIb8odDdGEGa1eTg9LWz9wIHqHBObjh2NIcm
z4tzY4vpQZgZA1+jrm9TrDxA0PrmyfH0Y1pgjt6UgfiWOV2DTsPACZJkp7ek9p3dANp0myXdFYDC
hbyHZb3UEz7QweJvBEG16Tekllhc+cYYSo+ds7NWzXPRBseJgXLUDjnlYLn6ca+a6kSLMmPpd6Hr
u8K4I31v3A+axTvPusfO/AUqZdehJ9b+xR8kOlAzbR+suVyfPFX4Z8b+61luMj8bjr3ugFiSL/UW
rO9g4C0am9J8gkjSByaR7IUM+A5ON2RfybfcotaBF5+0f6XzDOOUpQGWwbZiu01XJONFGi8Mtx/o
7Aw7g3d7C6Trnoepd28TRCi7NJmMF8tIs0eCyK4Or7N/66ADZWiTqzuIDv7UB9NFy/wTejJ/Sd3K
iLIrrMktusOm7rtfueme/BmoV9ldVxc0WRAk5ZXn36S3nhgC7GzR3bTjvWtku6r36ntyz3TI3Ngf
IrP1kp0YfXlna695GrbM/SSvoHqXVu1GcHpvK4xL3KQG258epoN7ZU7DATXUwXCCOhSOV90MhfZY
wxzcVSQzUoi3PpKi088oWBzcXfD1nvayddOTtmW7NxjChiVN8HhzKm78ZOhEGy+155xyhf6x9o0v
vjPIB5/vD8dFiMcagcrdlulPr7fMHQ49yElB+Otn9AwX5BpH2Tu/oA5uFI5MD8DbXrysUxGrOc1P
5DIaLwqGJkL9iFBZOne9aneTSlBCdMm+S+hE0yBACDoJM7if0U3fD0OvXikxvavELzP3jNy9NJT9
1F0cO0jeZCfNp6oajDtrmNsbW6nlblmW/pM8HcgXssnTlxku6kEYjvsTyU3ww8/S+qbIsnxnpXyf
mWAa03l1Z4YZh7594uY2munFXr9ZQS9vq6lfBbBPU++6QNZPbS3rU6rz6Wc5L94Y5rZoz4puPzGr
rd2G0swAKhPOJDk0th83Lvv1RPunCSsPBSPeVQ5b5aiTF6c1Rz588KywnxGzrggMyZdPyCNnMoYQ
I+ut8q1xg+W9gyBETtKXQxe2aZoku3y0Uw9RfB5cwF7QsBRijm2KIXC0RLgfSrMFoWMvPzxrlIfA
FWJFeQixOs9VcBeUuuXFG/ABnGdyGNFWaBTMWmz3CxQNRyaUXfftmvZ3+ZQ/Vd723ZH5l7Fyxn2K
TvemUwRrjuP2zmCfB3qrwNfTojuO9tbs0HPVIRI0jK0tidw96DZ9bRExy66Q4LSlP95admei7R/T
vWSGfkMiKOGlxL0yME/nfVIx5keRtGd3hbmwK5Af4If8LJBMvtXLdh6TT5C6J3+2XhCHfzN1evJX
9dUt+vfUcpxjpUT1qKELj71Rg9IZlbwtJ0Rocdlk1/wvEy1Es23BpTLaLpZY+B2rUqDMkaXFOcl3
IeXcbngWfVHECCDtPnRaa7wUdaac8KrY+4ZbgY9qdLbGB5246rEMludkqewjGR71BzTu1oTdbNhH
WkvzzymHZd0qqQ/r0qD2bFt5REym0Aiy7X3C6Uw0X80kVI6XoFGwiekUQG/R0DWPvsrn42SY6qNu
BjPszNHfIQ/HLUEFN3ZdtI9eQcMFuwFwmqnP2hNBGfMb2mg2Hd+fbB1mym0jr9moWQ3mBvAxXvaL
76l3JaLBNtar8NhYvS51UBr14qaYfRinXPX3EoFxunNote46K6huJ4cQoTDzMKIo81Qe8sAYWHKd
xkbyZcHl94H/LBZJwSBpGr5CfjcfFOzGmRZFc0A7FPBwj8FBKAG1mGyP6EeiKahqeNJs2y/2YHzj
GbZ2qz0nx2L0twcxGeNukYSCh8vYNSe79sWdkdq4/xsLXH0JVnpPala9g/FBWo9ty2FM/CzO8Ow6
V8p/hU68saq++Y6+MTvAkabPziSa580Fch1bRikZ3BxFXeA9BoFlfE3dMngaC8u6s6SRhPxI9eO6
FH6tVJM+j3OlXf6yMM9d7lohk+rglWnR8CILDNTjcch+sLCUl3Sal1divrI8zmTR7E0UF1/hHzTv
IS2OqcJhvhwydTE3BRrX4Xrf5K19aqFqLpl5zX0QlvqStWNy3+IFwANE72WGjz1XHNi+VPhWbPgD
BOWBM0/b7vREmqVfLcFRTxLVM12G7J7O4PRWOHQGF7FWN00w9YSdNigzjD6VtFO2bj3WnNfOXjl4
P2dTW1e9DtYo5Ay3j6CBa52GYraskwspwqGPavJYdDRlwzrDrFznfn1M6zn/0vdV96FzxzB3tsHg
gNwK1Kkxh/P8dTSxALX81dw5+C+hHKgqChtfVcatTqf0Ijyj3pnAzccp6aZQ2CYipTXtHtgm8z0o
Km4YbMQqSld/fRNmXb+KTOCyVPpYGLZbQnFYD5dCLo8ygasJiaUZjy1vQQDttPUv/tfxotkpOVoW
q48/YSA0s45F+e6TSFUWY/HAKSSxCqS9wICv5mDSMDUMznf8s/5Rtsmym7bJujenChml4MBzSTox
fQPDyz8QF9XdLjHd4YoIO3P2ZKfpQPSdzWH3T5axgUANO7U+8UZpobfdIiiqKvvApr4eFulVx8IW
hv1WJUn/a7LyktKazmF9YzmVB3Y+ru58Dla45XBLTLnG5Vp089WRW4j7P6FIc0X8u1tc932slgrX
D99+Kjc7OGYi02tYTc3gh5zw84annRDZHXXmfD/oWbMUbNhlhEmRBem+qgFqBiJa2LQ3v90h9Vyt
23/ilJnLoMpv8i10iWw4LZpksQId92s2uWA9AuXXrCV1mvCXX1sbbICMljPfbKKpvrvohfZ9i9gy
WtlhAbLmyb6tZLV9sWqn/wVp4N0Zmys+eev6Y0xmjP1x7hpu2ApZBv4V1ITnXy994/lEaYB1XFV4
xi3dMMV6PlW49k92mcUaBcJ9NgXGBewz//onyyln7X/PkebQXWfh/qJNH+m9b8/nfEh9/J5mUevw
iqh/oCJr4rJ1kndGSjxXU5lR6GXNcz0l/m3SuarYC9/+Xlo0oK5AqDM4DE/oZx6uVGhRIPbcNlpg
Yb0J9ZStsnwhgm7Y20arzoh7zXtkZYLGRzd2Mhynut+v9Tac1kpbu1Zk3bCrrKb7YufedMzZvt4Q
miYDK3xKfDkKuv6m23JCejku7ea5GY48quqs/dF8APsWHiLmATORBdhRRMMyJHW0LGvSI43Da81Z
pu0uN00KA6rh75ar/RPdVXW2puVnb04/u168GpQAYZljL2FDs8Z+QyqGM7OENm5NKmir1A3S9+AW
qVn2E1IEaBLd0IrNR8DOUHGwxm/UwrRGO+aVcs36aEMp8hOWPwG/lPav3nLn/sf1V5AL5s1D8LSk
Toq3rjUhydymjNLeY5y5IrZbnbA14fzwxfDCZk0owbc3t+uwyyk2hBiirTHO8UF7lkQ+TGC2dwNr
sMvbSuJsgKQKg8Iez9Ogt1M3OxBvev0w+CleiCbMiSlMsOgf1gXrBeUvcbduX/2RPpw6BJXzITt/
vje0tN8hmHjnbMMh/cXhxIyr2dFdst/YnSJHpPqaDby6F2Euc8RZJg/nsvDjK8ab1pU+I0xCCjzo
9nMtF9pt1YhkpaXWFQtGGLaehyRK6lVGDeQEl9B0Tz1HWhW2bFZzOCxsyUNhLQev28ShMfoyrjoP
Yxo1Wu2lt0S9N5wO2yRpKSNkpTOfWxjhH7Qy8iCec38xIpEvJ2LfnggmSB8AK8MqEH1JDTjad0ky
RkPOfbh6K3Y4vo8BEJ/4AJNtOQxd/Zk7Ng3OzRS8z8KWb+nmeTfF2rVR4W8mrdlqiV323psx9+w7
fxq9qy2+fp9MLz9XblVFHA7anbVMc0QIdxM6QTDfLbNfEElqiHUX2CnTupr66lGC+O2daZ7OnQyy
H6rDUrrFUjqyXcZoRabq1wovjBelxu1JCCXfmNdjeCSRACAAHrW9I7imwSEhN+3YqQf/zRdZSQ+2
tCC1ENJba5Yghx/ak7kBtrboDyIcD/MIEHOqIweONgycpcoOM2fJA9t0bkBLGnNE2kmSxgSpKo5b
K/LMLIAYxUogx+ENcfcWJls2nJhC+1u09rqt9n0mxycsFYxjyfG+YTX19UzZZWUKZnkWj1m55heN
0OjG19VwSJuujEmS9G4Xp9bHuTDR5mgUCxBa1EA9jhddkrfYbjQPQNr2q7kkYd1ZX7PG+xaUgRu6
eA+hr/EmvfNSEjzjuvOiYS3vvDFxEZanxlPbII/Ute3fVOtc3mV98VKnAVrFckp/aUz3nmXnOC9j
0SSnjCPITujpObGwQkbCMj/N1WwcxxJXpoWdFPKi3vUqH58Ssalnb6uqA5yJt7cqusw0dO27uXZG
sjLbYT/2TR0yDPkY/c44G6pE5JlUoLSdPIwOtxHa518D1crnuuF/0YolulKl0eIiXES6HhZZW50M
qyl3uiMEQ6YA4yXEa8MdbqvdZm/pC0D4fmMea4NYYz6CoRLCrh9OX21nhYD03kdG5CJ2dRAjClbS
mv7TwUmMcd+ghtdhO1j+znLvNZKKEMPvdoo6t8eiCVVaiqA4r1o48PKMQQ7GDWIX5PVlysT4UQXu
5+gLdRjFYp7WeuCr/dJ7HI0uQjh6a23DUbTUd82gnDPg7j2934bZwdV2K39shGt8T9ttZmmiHLbm
aqGdP61nGmCviLpoKxgyYvAQWWTghmoa25PdZWdVIzsZuqX8xBkri4CCv26bujVNqoprFCCWbqal
cNEgUJ7tQKDucCmBNjc7SWslXKcJQPTCoWaSxdFDnl1BzHyHkjX0ylWGje2ilCaVmyYl5YSLMPxr
7QfeuZoKJ7Ybj6J9XPaKNTc2pCqmGIek701VO8+eVvhcq9RKsa0Slrd31nw4luvaOvRamvTGFVnh
HezKdD+6yRTqW8Jf8Hh2rUfdG5gvaNRwCZsnum3E7e0Knts2opbebb6/YloWtLQyumx9TISTPCNn
Qf47Bk1wkL51whQrVr62brRrZQwwp3lej5Pcsm+JxKiMypdbqsvMJn8R2ZYzcjTtNPimsoSF2HRt
Sc58KpKzl1GfRAqPufkjCPLiMVDStU+Ms/MyWkfmIwxo81vscLdoK5YF7hlmfcUNBxcA9kPPYITA
ehp4OkQD/5TPU0HSnsNqy7pBRCkpxFs4I1+HA8k8+UHs8fhtbdCL/iGP6JxgrELUbWh7qOsidGBk
CG0DsTV6NYdj7rLdlwYfNcXgRLWYECf1iHvZO43ibpdbMz5GyyBvpOfSwxcyhNR3Wa3Ki2egdIND
uLdz69RX7bfUwL2BOde9y/6umvreFurc54N4dkwkqKGjavXociC5445LPxKdaypiHc69Mm7lan52
uEPECm/KYznpjOnSqsMqDw5TFXyd1PTk6uXdSfplCHlweeI3W5+ICwiVr4aDU3fNJcDSOPI6bvQq
o9kIk36FbMzxib27Zocs6JLlmIHsKAOoVAfhAB2X21T93CaY6c6x++hq6UbUGwYAMqFmIlcOysRj
KtUG/fwc4BvyqsaWQIHMpklduvqSAzAYZXHX2yLZ4QOHA4Kf0qTomyR5p16ojB1Umo4lSuLTRLb7
18zMEUKixlnOsISGiia3yDn4ZoyFNUG2ohoVS16KFB2lYK6C42qYY2xQ6mDaW1TNxShr91nPgclB
i/5pZgiGI27+0SthHkiXpGG8su5njdvF2Pdt76ukaqsiRll0NhClZ/deV73Ps2k/qs1M1L4f7PVr
a2TFceR0fOcEg4c74GbS/GKsx5Foc6MmXwPjbimFoUMpuQzwYCI/VL1K7m1aQz+oTalCtjy5ZJOq
aVRw/biSIpXmLnHN8pUSLov7rjsU6LznyjTOTiCYF/RT8VoN+tiN7bx3q/lt6CvkDo16ZYB8aE1f
HktmSbtxwz+MfOwujd3OpcedC9SzjBRZV7LXoZElxEhLZULAJu0rz+h+1Vt2abUsQmSzeAJ0cT2X
BG3iuoWc0imizc/owBM0kFo2jnWQNmgRrRa95FoRR95Aw+AW5WbfrdFyW6DGdj6iKune8dmlt+o5
+uTmlv6s8QyCg7K4QeasS7IQ0eP0XLqmtUTaHIpjkWBh8oe8SKZ+9UrmHCYFI826IMI6YeN1SXQ4
taceU11cBjlyspja7IbJCSMHqyqPSxdgd9gZI0kcDqkWT9uSkeEizfmqDfatI4Yz2DFANjNOwNrh
PWdV/LERax3VwDXPXpuQYjwsbXZ2N4clzJXTAyZVQThZ+B+zbohzmVlonnzdOKfOmpwazdJcXGbO
MTcTOkMcRnB4YpqWIpsI/1RADYYFwD5wySNhjW9Fv+Hq42/+LvOm7jD7Zs6xDq9D2bINzql7QMyK
bgOlnnVHBdeEacdUcYq13h7r9hPrMfETeaOIEDSJ2+J64p03K3uC12sudjCNUYPK8iHfNu/Io2Q/
BLSD3pzUkjs/ILcAF7yaes8dQmvrrcgtkDk7ORJXZnnFLZyTw7Fs4uyc6PnMirtEE2e5/cgqffDs
grl/010nYzoxv2Bz1N4kTIHitghSNPa29zRuQXaHTaD7wwykTEK6emweRb7Y8ei4yDZngb1iOs4x
PSQ7NlIcjdpCDO9dlrrPGFgyjmlNbiWFhmXGdOPJBdUKG+ZQVzvGPs5ZZGlQTdgVaKOgm1KseI0X
bvWcVW1xGHFi/KIT1rrGsBnozzVkW7giacegUVw9EUoSg8NWSbz5ZZP+wIfL+kBflt2vVq9jxoki
sgAVwwb3yMjHnzCysGjkSpUNwZD2ek6Fz5ajmolPZ260/03M4gNDiJ9qkvadG9gP3FB06+km4cc9
5A+pMKsxHvPuWjk4abVcgo3R9QFRcT8esDJmNUu7fjpyW2uOjzYt07nyU3xiMvUqtXE1zzSyyYib
AKedSHBlQQa24LaezOToyqr7Yak5tOm5J9Ie7tE6rafawI8Ia6qpi4Y5B59Jhyx5VDSLnrm7si8F
/rjvmCeVsScxicFjQO1xpNnuPRIdIi1H6stknRg7l6bxDnU5vBabRWPKrzTt8M30T2ln6QhsTP0M
1ObHLXLoHTq89VkHur2tq7ras1uUO092/Q0qmZZ6FN044xfzjyp5jBa71meRU31Zqixv3FWZJ3xb
gMjZQ/BwKvHR7J1pu9BoGU5bWohvhVLem91z0MYKCNxepD19WJkelizP9mDru9Jaxk+BLIasu6vi
T1oz+RGYldwm27w8cEeWHKmd7gN3xfyHHVwtOVO1PUtpTXO4Uu8gimJ8DMEQ0zUO4Rv5b0GX5GUl
+niMGG74S2RMQ/9sLlV/cYpGuxfDr6ebYTVr2CUx47FPrXXUWcoEHQuXh9VOMYwTXmUeAzMtd603
wKiYaPNkkMsXvPmtS9qiaLVMSdOmtGaeZx69VvUMMQmRe027CoREgFBtfXMnGvEqa/HTBu18wYVI
P2ESmuxFs2TXUy2SeyfL3gx0fffrqOSLvRTTk1gnJN/5I24x5d5y8vG9aLz+wTXt5V0k6bDLAVHO
doP1xyiT8Z1l5d0rSvtuFdfzwVwVF7twrHNd9sahVGn1gIyyiBJ3Kj6nKen3GqfJqKumjFLFYHUA
sDpSG2bYirTWkEbgHy5OLr0+TJ2/fVRKd2s4rJv1o7KvJhZ9a2AHyjn5nGdYeNZ40R012rC49yQC
9HbEAgXLvwO1tM/ShJataj36Pt5w6Gw53rRzgqDTM813N0BPTENzSqpQZ5X5SLM1O0/bYO/p2eb8
VLnsm9YoTgpFw0Mrdb+rgsCMRVr7Z5xEgWLrXzP9Gm9hzyiRwx04Rgfd1SwNY5c8NaKkz+uj9uga
IyH68NP0E0rpp0+3NVJMsbPE3C8SRE33Xn5odfMTN9smDDxxqHEzDiscJNtideK0mm5Vp25n2bwt
I8vOshEhVDIYEuZqMDfGSwTLzdF04imT5qmc2ue1N48QQ5E0pvS45nUZuXMGgcBUCHnpwiDLH2n3
VD0Or5Y4boa+KW3nOObrraPpfq+mx0SIH3ns/SXfOwNZWUzcSWxnup9/lUg19kKq/M6XWfFsMf96
cWsqxmbLaIVXjXn4X1tjcG5kdL+TxaC+iTR17iiBjf2GB9Gh7rP+9Q+e8Z+ajL/oDP6PzuP/by2I
5dkm/N3/WwnyMH6OP9KfXbf+q4Tkn9/2pxTEt/5hBcSEGo4BzWc7V/L8TymIdP8BQ22AmHkmB/o/
/uWfUhDT+4d0LPK9LWQgEL7O/5WCmMY/4KgZLSAssai5CEX+H0hBfodgPc+WvuMZEg6WLdf/Dah0
22A1xnZkpum7H8kyRr0/1yGtJokimDsc3JI6N5C3bf13IVn/Bjr+9quveOy/ysFySJjC6PUuwNEo
VAR9hWmOnL9Ivs80rsN/+Vz+gzbEur6Tf8V9pcVxEujIdg3Pgfn9DS3Okyn3BgeKeMoL5wZp8xCx
sgMK+FZBWnL7bqg8P/BJ612JSegukBM7dGu48eSN71ND49zZ1FteFZhKyjtikJldlPQpjeSL1sCT
hab4zZr8bNq4j/z3V2/+h5fP6gb9CvnqQmH/nkNlIb+XdLjw+i2G5iixvubcNYguZEKGL/JAkTO3
UCxbYS8cKzHBdRL33lq0EU+W3zM40+8FzDzjYONDOFA2tnMAG/yu5OTifZmd4NewMJ75WvpYOSZa
29VB0T94cIikL636pLRlvIia1muYlN2xQfEJfBvK7XFtDDCBDMQ4fXLc/KjW+TsaAeb06W4aqxgP
nCFSWfEo0+KpLddnR3/iTzqGYgm/LtmyHSSt2HiwK3nXdEGTo/4uTujqxhM6+/rQ44Ibuz5vBmoI
ZM20ASMt9eIVxmMtyiykD5g+2Xoqb/83e2ey3DiTZtknQpi7A3AAWxKkKGqi5mEDUwzCPDrmp6/D
qMisP7Mtu7qsuxfdVqsMswz9UlCA+zfce66K5+UToZ93UQfZfDEnfXfF1omWv60EHAEZdKEjByrK
joWZU0wtfUge710PKasLOOHoWFN0jSh2ZWqbmdOEO+XAWLE69qb2P6hIPVjOaX1HPBWnccBuc1Np
/TFz/ezcKVHfG3cdfzVDT+MhrybMHLdQ2GIkBD7T18w+z+yJ3j5WA99C6HXrjJXcW0Ts/WSm8jON
a30JWo65rWon+jR5b5mGDf+SHKO8eE/xq7RO8ByPrMw8fjVYMbqDNHxBkwGonMooCwFLtzcYH3fz
UD95JET+J2k5igPoH14n3xWOw+nh8EgqDGv/pJ4P4lpS9LH7HIqiisPUBe+7xdyR5NvKj5sLtM32
U5qq+XpNBusjoYlmzugDbYvStr7GofM8K1ZIY1RdTQgGfs0U6Y+wwYoL40YGVqcRD4ld56+mHYYb
b47E1/+V6+om/dHhM/jq/9m7+OOvdsf/hwyODEG5OM7xW//6Xgt/FUn61yvtP77oj8HR+8ZI6mxS
9IGXnP/377ea/gZhmqsL9bvCbuVzgf7N4Oh/g7NkwwA/OxiFPj80fzM4+t/ObsgA0T1XLv9F9V+6
1c5P318Pe+HjOwwcR/KAYq3w/8l6mFYu8pNAnVXvCDY2bIJ7JNTx9JaMiJkxOzwNFmLiyu7Pt06R
NFcLUrmN28g4h7mRFe9l3o2fYCPSyygPhh1gGJd9ZzBsYCahZmbeez9rMT/wn0/Qwk7NKYZi9wvI
yveJNjec1sDatRloL1079QmxbvTUKgCwwG7Mq1075WfNhi20oOYhlcq5VWr3Ia+L8aqQNgexracX
dqNiJ7IVIQ0UyjDg6H+s6+ANfpizlVOM/S5v5522rOlCVAQlzEoxpTqfFsPSPrKGT85JJFhYGjaP
zWzl4TD07aNToqpgg1Hu4skAD+xwuIHpbi96EUyY9maY4ioqvsADVtfU8cl3XzPVApnWfx8q3zxl
gyovyC8A/+xggw0ZlnkpMqfZQhytI/mRZzD+tOOiOWz94HpiUQjzbwVXxNKpnz/sMkvJuA/Q2rI8
HcV7Ldmti6jh5vHJ/0RTMLo36A4YfuAdOK+0CnOVtJjktra/NiOZsfXwJ6Hn/3QF+//fkaBpW/9n
58HVZ1fhtM4//+FM+Pev+nMg+N9cV7GqDvTfX/s/Za7zDV67C3pNCoGPJqDQ+1uZy1vP8kQIsEES
D6PN//XnQJDyGxeLDCh+pcMfiKv+3ylzMQ5xR2kbK4+GU3Yug/9Sa2rjWo3H5GKHFw9E2nIHYfNL
+gzbeEGtqL8f6/yrdRAl/uVTOv37ifNXR7L/28L715NIEw9BEc++Exkd/5bzPfqX7xwnrr3qtRh2
mub0F4EwYjM4DhXU5I4yvlRiheKberxFGy+11ofZNHNBC5ms6KVM8+W4AUOl/ByUw8vu+2+1v9RX
KE8UkPcUulAYxy46BMZQ/skpWgjYAz3n3nYj5P8dEutVj97RinuoDnDO1021MDsqGCZuZt3dTTEL
Vm3bPzKBHIs97h6qvNwy+UZC3lYPS1kSuRMLDhmcpeDf2YfMXfZgz5KXfwYtQLqHJUH7yfzWM9BI
2PVmTEf87CkOfL5ftMzmguOsvF/cepc32XVG8XqTN3wUc7DKdRvNghifNE/54mlhYoEWbPxha8t5
7j2Di9QMMr5LvaC7divIhTJdoo2Ce8uoUKEiwDKVwUrP4pcUse2Ddsd5hyWgCYH3XEg0jdSnrRNG
wOLeACna8TbvHIvMhRzOpj1a/t0E3+grmlVAmlANN2EbZ33ws284HXekaqCb7QLxPGNW4o8knegw
auzkwcAXZmrtLKj0KEczgJ0YusFV+smVsgUzWgRU1wos6Na2XH07p6VzB74QBaLKF/fUWjlUcseI
69TQew3NXJ3meIoHCHJJz2yrZdiEmwiceIOf46J2hvl6zPx+z46u2p5nlvss7derah6b57byPTCY
jbHikFu4flEzdCsClX0gs/nUWBfoMoP6FCvQ35sE0B68wmXoo3Cs2nLrmCboNyNzqoMWIm22yLTX
FyDV6KMh5eL6YzQvgfEiel3u+HtTy8a2kr9cy3PFLkbiQ/3fB6dET+yoBax4dzsgY9y6WIgu4Yvh
O/CrOsP7PwrSrAwFAZ4tD1FWHTfui7uwqNyt2aKjUI8VwtG59zH4dQaBSc3I4zKiCTpT1N3mZhiS
/qOtFA9S3oo3BBDJr6j3mh98MumDyavgjohu8iXapUAXmjpD8sakKsWHPaQxyMnKdgCkyfGErJjv
sqpEooMH0bVdCs/5QN1sjnrN9LyNnBE/ZDpmuDcSWy47PDpqz1h0eVT1aj9U0s/bcJKqX7kCz6BC
WGjzD5xJOt5k8dTcj5EMPoxfJ69dyqe3c/yuRrlc5BiIAgamY4/HwRsGOe8GO50/y7o3z2COC7VR
iBk+2zRrq00DLiCUsqMS0Uj+BMuZVv6yTCofk74pX9CpRfd6tr03UI8Kr4ZdkLCjJhu5OgRwlkNy
zMF4Vozja00raZYBk2uMRQ9LPuh7Exp7KO19mvi0gror8Njp2VNUH+DJd4nA3y2TEXUCA1kJxgGR
B9CvcbxI8qR7YGfdEhgQi+JqzfNZnjVMnCI5uqlpw2rOuluahfUhkU35S7ZY8F+EQGoC4M+rfwgB
JDCEp1Ee1vYMRcO24QGvH5V3OUBbGjeatBfe+MzPThYxKifVey4o28DFW7hWcrpPkTa/8CtFytro
kl2h3+hd5OjuEb53EjqgfDE+ueV9IVHNr43RetPouX2zDdUlh5lY3ifh6A8Oc36jSCwtajvA8e6W
ubqFK20knw3iXQNWzUKVumJtnHob9Rk/qYWab4j1guTNzwISHsaKY2EkZaYOc2sdbwEhTy8FSRas
zNFsGgzUATtjoQL1nvZmdLfx4LooLaRF7B6b5+yGBMXhBDasefYpyqidotHzdxHykrcJZcLPNl5R
z5TJeR2QQrNgcUkaBl6SIlld9svdEl/KCInaholBfsvMXySnWuBj2DG7tY817OvkwhR2HxwXyJEx
FHTJ29XVZcrusM2szynq5mjLaJ3k3kpV0d5U7HtZfnuolmwy/EKg21SiZGVYzpYHp2MfxhIMMXRt
lYTqTOhlUStCdCPWyvBXpMvSf+5QzqPML/kSfz0G2Uh+k/KjG56k7sPDOXFj5Z33wmKmPI7oLq5W
hpxkkjEJOOhk4QbNq2F5JTCQQ488m+kW57sPdjjnpIbhS5gFERRtuwFk4P2s6dAf5xyNQkpjgrKA
0TIeh8HrvpZhTO47bTfJNsWruBupgW/9cpJovxHC2NiCXqs6PptB/DrdZh7XTqyLON/oar0qVcXa
2wNwjrsIcww/+Sd2ltthSqLN4Al32axSq+/woIpbBxD6tIMmCaIV+ThJB6pxPXGI4kVMIBj96FPE
C8vUQff5cl3rpQA1rMfkFZud4Bd9jjVg/jz7GJck/7Y5SpY3IiD1E8dvc5pZxF3EcOHea+7na80s
BFE/+V3vILMDGKYGFw/JFHplc595ACrVAGYLPwLxYFsNK/FjGtz+hO9mvI3mSJ2EZ7CbLCRg+FG6
Pru8SD+YkEfIb1CL7ue6uFCsp5utX6PE2XT4On6urNCbrdsazwVtyebq/EtT96nTDnQvcrgchMqL
65Yd3LsLm/hrzSNiuGXSsruUCAn54LKEECgWvrNyLtfZwYVSx5H/tiCd/uR2Se9ZIiQzxxZ93oxj
kMyWsO4bjHWb1uTeHaFSdctgZXVmFhpkEmwtu3NY4A9uONuF4SVgvD8bK/tsIcXd1mP9igKaPWnH
GCjJJHkYpYHMS2HQrqgPLG+8WhJHs5uyk2nbLi4hOWXkZPsmmfEblXwSsoyWbjcAdkRtqPwfrert
qyrRvrtBXBF326gOzAFds74eHAn9M2qf89l2vvu5Cgrs5Txmu0AZ/FRSUSQg7vP6L19byLXbwRuH
nZO6/oOwdRzth9FezkE+MYrXZB4y3k57IOxpmrCjsFkpB5xNfpazZUHoX18No0PASt/yRJVIzSmE
CodLnx3voSsEkyz23lyXXPDyq8tR7nFOF/Fb2lVIfKzBme+ImTMqFAsRR0kK2IVgCCau1/lcLse0
Ta3vUdpBaE3p6XJEP77YNgwrP5jKGeitQ2p9xJau9dY2S/ZJMBGnQKBKosUk8vvHym/wusQjKQFc
VOv0PEH25jLGjmUul4hpxIZHADlLnmVLfENalP0giEvz98UEoHmTrkXbYabEi9Br5f3Ez46KzkFZ
FeRF2LVNsLV7qfd4yJLXaVZnr8pKxdZFidzkeCk2oyA/Cc0JwDNoDyubQWn9WGTcvAt3W/WkTMFe
PKcuAaaOe7/cOylWJOz0uHPXhm/WxOqOhB8kaOTKhCU+MfzyS1imc3UA3TxnSGJ85z5rLGs3lZW/
h+pY7Lwgcrhyx+gEX5uttYcmYO935Y9gVfKVJ9H+gkea7TooxLxhtRecvKHrrrNknnAIZ4X3sMol
rXeiD5JHa5HljRomPj9eihfiFDiuIE6v1YVvsuU1cmjfDTwq3KqrOy8hUTZGboiGGb7YXw8/nAQl
B5RMk5Tb2o4EDBe6my/bx6u2XdkiYfdiVLGpjXIQQYADxiaDCTdWPIWoFacqCeWwTF+phdapWdvy
cVo5VDZNFTVDyPIbeVtUxejjor6f1WFw7Bk2cD4vR4cHkaK3IOxzWrhpRZ5g6nUdtrNcY1Vb3JZU
82WYw/IXl25XdLtY6vSxyVvroV4IHV09ZLU4k1YfIRuciEn505ZBMMgetx0mAT9eYwcqIoJq5gVG
HA+xDp7qaFxtgAkLlSAXZdECNRgLEnslMG5SxXSCJ6ghtiK0nIWP1nNqvBQlia0A6OEjsSe4wiGf
jDti/AKDgMsUr8vgBwY72JD8yr0Y6SSxs1RFlVVSIkoNaJv5uqpfxGAXT5MR/k+FG+dAWNncXII2
qN4qOmNSRewu+8yQzok9bax7Ny05KFfbqsgzQ/8sr4J4pDwMwMFhqqtYgYTjFDkcDg4SHq7hur1H
2g1Tvy95DJH/oRfXDMDirXE6cVJe2sqrgikQOXSdI568qrMRLxa/qhVK2IaMFMgPnfQivRlLK4sP
ro6hyHfA7et+pIRMeubVx5S0gmPUIY/lWHbzyz5zu5NhC4yCKSd/wnXIS9iMc5NdpLDRLic/xsZl
1dlPNA6iQyGRwgcPOvce69OV9FcS3Nr6slTkVM5JjvVKl2FP87UDxM8C0yku0hoNlpKx2kxK3xle
gLsUaha67r7B/YZbtPYoP7qaZFHmSH0ORYlpGqLlLAQEQNrsOAm86l16UbWyukc0X57KpYPRIKka
8RQuXcS3WZziuq5kurMQJ228hVHbMmf6jhGp2aPIOGA+luReTrvY5NOp0p14EVWpDAcsupKyM68V
zo9tnyr9MGqf9VKTLXu3mu+8xJqnULmDxms3B5foNJ2I+kTFIydUIMIgatMrKfMJnU3qrzvREYqJ
myM4riMq/20dBTiFOLx/+ca7aHGCfOF2zE/xyOa7H6vgHfS4f/RQib2pVsc/fS7QrccHNHQFWNze
GVDFNSRgY/Idu9w6rWzuPNQfhKhxJZvmqex6cVDko0ITBiP8ZJcJequoGjYjWNuDp5PxmRV9/hEN
Yp2Q5CzW1zh4lfmwc9ogCoAUuHQV+WK96DLMeJykag77s/kYOGZT/LRk310vmKlTgM4BF1g2S0E1
0Cz5tCcfhdTTzA/uGSv72Z68vmE/uNNIjyMa1EQDgtaINpNKIczPdyb2qNRl6omxGjE/EcohNZI5
Nr+PnZ4f7b3XDsItCCIRO6XZ4qEYhVrdg1vSJoCzsvEjqtogs2u8AYmtXUn90WNL+dW4qYpCRwX5
EvpsXS6DMZiDA7gEE2+xwVFET3ahf/kEXoYpk5wrM5npFlzairpWJBSmg8wwK5QOtBWHdBnMek59
6AfbfnB6MTKV9QVHYuSjCI7xrIAOaQw6q7T0FvciRbDREOhZjWpDNI+4HroG5Wk/Uj31PrjRPYzZ
/geyDb+/+D3O+u/56H/ChJRkybCEPzNo//XO5Jh8dnnyWf38xxnp37/yjxzA+xa4HLyBx2iTXtL/
uxzAt1mpsFSDtcdy32Ol8be1iftN+QB7ggCJAFjJ867lb2sT+S3wWAfT47ownrT+L3EhPfk/7OTR
LOFC9xEl+M55XPqP00pRiiyOrGW9KKWzdttiEAhOWOawRzCDO6D3dCP9amhXCmppnfa7xuTUS/HS
AcExlAQVZ387Pk6CpBMcs7277wurvPHnod/LKekfauyiUAPraZu5JQCaZinSQwLy44ofqAx5E6bD
FDCYuFlcf5qvdS06srPqKgUbMsQQa7SdAIcvMi/BMeMxoSM+s3jA+HLutcplWZBCrzarT3Ksgova
S7ja64zCBGm6SyCpn2X+QQSwLg75GGUP4+C2ByzDHtOVuXpz4SlypERy+Mk/TuL4MQz5dGwPTx5e
aY43K2IehAY4upjcxqO1oABFbYhBCtiIHmO8na1X70EOOjW63Ci9TXt5bvCS9jyv9ZoV924e2fkm
mmYyQDI/j7xDRjEtDg4+1WoXdU5KloyeGD9h87c+6iEKKICBglyTPUTTUg7ptVGITqgIiai5mvH1
rqFfLJCmS9vrNACLziAIws73Fk/18F6ofGLkNfT1L7Va9ldCl2dtLdwFKO/SBXcSvtoN/F9D/4no
nkCWZibn3VLTyVqt8T6zKUrPR39GDZ7ExW5pJ+vNtM5ihfgTEMI5SKlOlnIjsowcYhQ2qxlpNUmY
KZ5quxhxufWi77bOqsF3nTFBX7oRQUEujSzeV6+36Wuslhol8laqhLRLiWCHRwRyz8tX6A1kbl0R
2dnsZVONoepMe2oWqzklY9cd7L5uH5LMF7ftnCJnzQD+TGHBXH6HBLX5FKafb8WY2cN2aZFx142X
H62uVzsIpeA55oYJWOqPDRz1arnonbbe165c9kmcQ+VZQAIxJA8OBmv+y9zU6SsCASZV9kqRydDX
fytBxj/Kep5PVaxx2ffzuM1lMN1lzAh3RQ5cxKGMvIHCH+yJS8S0UeAhiSSWCGN6HxkuQ7DY8CNN
a8fsGZPGjTUwXqmjLjpKifZDlQmhxjaqCFck5UsnHUa1vv3MKrRETkDFx5gfWcgVkzOe/KBMl003
TflDMOLgSBP+pdMg/DD1U3PVRp0Ioz5dnpuYvFk9DPPR7sHbJMz1tq3QtG566YKtLLkvN7mK4hPb
jvXeVuM50COb73jWbfKsz1qaBN/kl08Rdc9ASoXZ4MrHNZ7WFwv73oGIOPwrU9Z659DYpnopkkq9
OhjEX3LE6l9D0mUvHl5ASIPDwUGWfJcJMpi3Ju/1aVFl+95ier+vSkd+TgFztS0IyeBRpQNWh6Rg
nJGVxEgSirAUNPesGXaTvaxhbGv1SUQipIDGMs4zuor4jqFuHjKyLL/PceaRfm7rjyyxzC4p3Yho
AW3GB9v3osPS4A9N6e9/eibCaVK3QuEdorO7yzwq5E0gsuZLUUO/nB+EJ3v11q/Em6Ym9CdRPK+t
8O6Xcj55NZilDYKUstt6rpz4d2IzQyDvy3ebJSvzeWeu3JDBcHQLkJVIBc6Ih4jARjLWcta4epyX
V9iwRb8xHM0HW+d0/Jkd2V95V9OxGnBejCxzBTEsIE5iOwwp08bCjR+6Mq4+defw9uO+xgLlN8VJ
IHRXGEQq+mDpz9euinsCXdczuICVccis7Gw/wCSufCp0Nlnj5iyR2seOEj24A6c7rsJFkksvpmVY
yWHF7OS77a4infbkS7ugbs15SRrNXIBhnzIPsSrYzNczvR0GXPOYZbhm0Jq0lxTL+srWRfQQF47z
TjORH0HERR/WZB5FU87XWTxM2ObFkt1DtMrLQz3hpBnNqug67Hi4zBmCAY+wFnUJg8W+1rnf3xCX
nADf0PQHuTsHt4FyBZ38ag18EIWz3k/axNNBpX3/GIm0eEogRH2ozJpQiscezQjRuyQvTceULJNr
puslCTdDSVb2gAGDaXdwR6oUVqt6do951lkdL9lY0XqLKbXoCntt7X2mJMi0dNDe8CqoZ52YmnTB
DLk1bdRxCaLyc8aY/WkV9nDRBrB8KCXt7qfse49ZW6qeRrIOd6sDMthvEx9Zatf8gF8yfdJPkDMS
227vb3ML2R7m4qk7kElDvk7aFwwVZfUVGRL4Nudq40D6or0fW9taaD6Me9lHc32dTbm9r9vzJ7qQ
pIUN2633PX7TyyQZ83vLcyy97YRfNvt0zrlv/SZob4OE4wVdg1tKLATj9GmxeQDfggvlIemX4cse
sQDfyRzPCM+dk9Pekyx9ExEfta8GrGxduWTc7J3p7qvaK4OtYVK2wYBHMF1uuOoqbPNcXuSK3BpD
JJiXlPUxocvGNoOP6yehORGBGgw+0P3adnoVuMsU7JUaxbP2ivSFOzsnWDZtejzAQT1+wDZwr4rC
J/NUu8FzkGAalV43VIwyUZRvczWcPSXRSocymuqJwRLclLY32RX7CeFcJUCjX5Eo6zmc3e4yZZuA
L8VU9XE0U3uFpUc9zAhVjk6Q5PvICFYCPkr/FW7Jaa0MHwjaMUTEXt+/ukELvhX/x6uYOg2osa0u
zeoXmMVIxaQFdK69zlaA+7TRrwz5k2HTTzblkBuTGnaZdY2+SZMkvS2iNn+t6ZJvKNha5yJqq4Hx
IZmD1wETifdgTWf0+/pNOEVzseh8DqHZ8jjHzhoGXeM84SvNLxNdopkL7MacUyyM94x6cqh2DfiU
iwS7xXsVi+mFnacH1ALE3lVAROmOWBMhCMFW80HhlTsCFBguF5Lhd6oH6kQQ3z5lFdNurCyDApZO
48cCj4sNeA7JorC9/N2HlNdjHrT9QxcJ/9ZehkSFrRTjr8g1wY7t8rajMNqJhsGbtM1nlTb+YZp4
/Ic+d69k7z85S4R/BxeT9MbmtWMBezE6XY9WcYTqxPTIFRcsR5k91kVcPLJdEq/tLFhCMwg6pBOp
gzvYx+mDOq/yjoPFin1bY4qJmbIq5y0w/fK9wXCZYrlJSRecioBTPSsjMxxWQrTOWb4UOvh9PbPl
14ztDoclfCSa3fe01RMfYkD/uiiuz4soU3KLTi4/QSbhTSXwLgpr8n5Ouk6fChF7qIuc6CkVmQec
wK7ty4HBXiizGjN0I2qLrrQUT32eEc9ZLFy9LCxIcYB/U6Sj/TQ5lxEf+X5ltIDo3L0xpRDXpZgc
BpEMe+aAkZRXJeUlzrZqy4AjPhm/b0LiAm+9MpW3mlKZsDox3UeIoq7ztZD7HFxJsu0ldyxWTgX8
wmsnLxyjWu2HMshu5Tx316RhTPnOMolbHso87m+6lWJx09HOvLi4F+F+AMq2Q7VUlr7CRdi/DHGn
yS6fnfgFewHWAszND403EYhk097be9lWBUpCC9fUxiW/7Tnr1uCWyVlywjsEPsGNl8XmEJvXo9+N
7ZvRUj/jTF6udeGxLHOqUb+cc6PvOewkIYmtSN55gcWeZUdFCW0x++GdqR69dY5vmtztOFH7WoXB
2vhHxT/8K9BjiQMQ2jm0OOrNSwIEcZAW63kC6Hj4Iw9N2as9dhiTQGQieI5Tc5FWOCBxZKxYqLbd
rqLkt9THMeCHwXjpDpG2qzAjO9bnOdn0sWIEwIqRmj1sWODdrV4xvNfeOVCsHZfqBtwarguSlrdQ
MShxCOoWdz5rsneTz3RoCQ6y8s5UiWBO3eKJDN0EtTqsmIhVhxxnZuqCsYV9mBtJAhusvfIQjSp4
jTxS3jejF8HSzz0e1S0p96bG1+ewiW6qc7atXuWrMUT+XvRa+IBcpgkgpIrTZ7CP5XJf1t0y7J0M
WL3pnLjGaFEyoohEfx4LeThgiWDj4bjrbYeWoyiIed/4iVy59Ipg4q5aHnhnmB7apZnBEOPH7jj9
kaKMmC7L6mr2beeVY8l90MDEobxGwVU1Lv3jvOQmp5paXydSvy1gdinqmLXO+m2H5xfsa6vxkfz3
iOR/JTbDQUzMtOBfj0duPpmPfBpOvX8Qkf35uj/DEfEtYN0thGZGIvjtox39IyJT37QrEZBBYkbD
Rd35H+MR9Q2bpmCSAseYqEbNF/0Zj0j3G9YKN2AkoM6mDP+/NB6RGDb+SVeqHd9x6MNtG9krurR/
mo+oYQG/oqx5t/SNGg/6HF8/j7gaN2tCGkPe4z/rSy+wwzkY1zMM6jyZl7+H9JZnpfi3M5/FNd7R
txLJaXA7Mnzlb1QGmGir5XkrY196M5C3DZlxrAuK36sDTu+iuXe7NH21sPTGj2Jxpvq+VXi9CONO
exbtTjVRnVc6In6wmLoOtEQTkGW5avIG9ciiimYQbf+frduC2gUCi1vFp6qP5ReXiUMavVboHPIh
uGzPSxWVJ5a6Rag+lqFMJsdFZyDb/G7qmula/N7UuOeljay66dj36P/CzmXmcBv93vMAlRP5A+vN
N6BBi7wAo8SSqPXUOSktItRxThNy4iH7Otk1IlJpUI+fN08KAUEXMrZ3sm0bZyydfKvU++734mpR
YAS305il2Z2xyZeMEeQ869bY15CmlngPh3QsDnBup/zYzc0AYyDmsIfIcyZgLJzrWBjPqzjVy5zp
qjg7EVAlhP15e0fIpYITB3tedn5yP583gIZVoNsRpLoxc14PYR6UQHyCyfQb0pj8TeAU6Sv/NUR2
Y9ydItfy60u3aFhMrr+XlKx7nAeQsGt8w4HOkauLwQk2FCGsNytw1vN+AlcMcQJA+Hrj9F5nHWOP
ffdWQH61DiT8Za+48qbhYiBdCrBzNy/B1v29lPUn5Z6qeZbgZvzIVNe+6FFYjQHEb0ZAjTwgzGLd
a1DXBZfCyVE8s7dlT+trkip2APYqKja/70Oyp0E+xaviz/3vHbNh3hbtlzwfyVaEPLPQImNc2iVe
oxUD7GZ+MgnxX4fsvMsGAdo+l6T0bjXdyc/aRHI+8tRxrIvf+/GxY+0HU6MOsE+L4TIuDIVZS9dM
vWSxuEZaE+ljlgn7exPIYT5gQ/bLXTLHBmlJgHJuy7ixPpL6iw44bbr8mpQfNBypd/IQfjwbM5Bo
2EdgvOJBJkd/mtAaGlk2r36VyQd6NvMBlVXTJeS0bNSmGzgovnqMUB0n3IBpr57SjuiVjRTYR7eD
aJbHtLLXn2VSrjeUj93EdLRO5F2HfRMhRp0TUKgA7o6Y+eLyJsgCvOGzUyMkEtlYvvfW2t4FmSfa
kCRhLu9IBDkQF9d2ntolaRwIkyAloSH5dk9HWbnXhB4kbtjEEEoAx1mxvBpIOWS+E5cOISByQCWU
1Auon6xMP/qgJnuFwEmedhlbBLQ2xJeGNTwP0AIierHWIrpYPXBS5VxXPwkmBX5FVvY+jpz5NRh5
7VqT+d6FbLvyfSli3hvsz/0dgjtmdk5ZX1WiGJ8MXOQE5WDBWQAnkpbYsU/IsFiKOYGdHYaxLgGp
ywJCGobi8tCK1nmWZW6uzDKdwZYqCXbQBYvongoFF45ns/6+IPB62iNhSL7PGGYJMAEMgM5byIHH
o2ifUpwIl/PqIRl3iqrGrq4ZBTiRp4uf0GC7o00RaKMmxVOPYLT60Y71GOzHwp7jCwhsPioNFrHs
Badx5+AGuE3a2rqMMOJlmzGui+mxmWAJbxP2lNg+2bAY5GVly64TysBx1E0xXMyLTdqHWYnGCXPS
a9CeRTyrW1fALxwh5tyxmKlxIaN3kHHkVc9+ZiwRTjMvCjQKNnpkILtu6HEN+j9Kizq14NC/cLuJ
xzN5JYNSfO+HQu58VWdIPvJuHwwJDHODFIQjHKBojYBNbKGStQfko/ThDH4Cjn3K62MLNLx6qufB
xiMAY383Om30UC4WMsAlP+vo1OSNpF7IdNoVFIf3Yog8QmaFYoPke65jXTmryj41hfx4iFMx5DeO
Ha1bP+bIIe7ZLneNSoXerEM3nEDfx09sa6siHONZMpqyU9hy0m15EgMXJBchRsH0HCwrSho3lWm0
MXzyKQo8R98Xc2upLRpNuKspg6kmJNGBH0S5CZn1rWLazNmAYIrdoIbczEoU6zjbGgZviNR22NFy
xpNeOl/lfSoOPMyrhWIQcfU8100KooR83YOCOBft+9YNDiQqpz/1HLSv1QCP1Bp7nLlzm64/cofE
a1bGrkKxkw1+HfIt+nI7DhmR45WT58x+C5SUKUH2yxaWrHIARpw/hEoNG4Jfy+xk8nWhQOhs+xOO
1VmvVVXN04Ki4qYWzeSEtNw5s+Gcchf+A7qW0YvL25lWj4FjMr5MC7vdfIkDey8sJOFZKXxkmj4K
2ps8WJencRV+B+YMGcQmzpG2HAD4+r+8yVkOhADJ2whWxRm1SboOjuB8ajcVKaP1v7F3Jj1yI9mW
/iuN3rPAyYzkojdO+hDuHh6jYtoQIUWI82icf31/zJddLSnrKbuA7sUDGiigEqlUOIN0ml2795zv
wJeAHm4kUxzegCWa5oMNFMS7nZGYwaccnfgalZT3KsUs7si4OTVWSrPA6Yp7jnPJyUiXLg5C5uB7
i0UuCKNBO6QJCgkkRl/TOifctmbNNHWVWW+iRa6GLGRxnzsO/d9VzQkytqfqHTWkEftovLMrfaJz
xBqzjoij9GHG9I7xtCeSmfiF1B/Aht1rTekQyeXo5n6w0KYUkYzX+Q9iB3LmEx+8SowCB7nsxgY3
zCFU0P11QrKrmyVsN3rE0N1mCpW9xUYXneWQjT6uxuUwFTqR0TVE2E1cj8jeAcbga4mq0d0g6+/2
XRyNJ40jnu3r0Pu2BDzNzhbyg3MZiCj4hkYk+rBHwmBjNT9qBhsrQRERjU5ngHOVTLWNOlPqC6WH
UyOiYC1aLeqLOVwxsJJfGy2u9b1R5qZ2HNL0yrCZ8Jpt6N7ZJoRJweH0MUeb+Aa7XsEQSZvhu3Sd
cqQ2yMziRnYxAtA4HTWUTeaSIdF2wQTpxlgZ6Amy6WtkRt7HaJfJ8FQhHE3wcxrVRyMsvb3j0E6w
lIkTF9djgSDlnHgGtzGKvH7e2ENYf1gRTCPKGzMerkIkY5LdOaPBmhtV4R3L0hoeGt1llJ5kGkof
T9GbIB6gWO6ttrkfIHZUR9FyUN1Y3jjfzeDTwZwt8TVCs+SQiFnpfjy1AAJitqwu7wqEG3Y8VT56
A14TCvHuNlna+KpwI6gSqZYcQm+0bpikxsiKu7ECAo94Hh5mvvX0PGIvpwb5gIk0fRGlE297GgeB
UyESYeF1nzStDGf0RbrbXbn4usp3uGVevWeh9R5pl9ofPW3RGnZxW970TMOe+gmtX0pjwDha2Zwz
dwPX4+dNZDwzgTOeIGhoF9UJMIr5EKEaYtpR7AV4UxJzzYn2ylzXjW9ltf2NDTIP2LLczEeXbz13
oXo324aG0TTknEkjM6u/o2dqno1EAHo1yH7UfBH2FBxaMpdPTdRHjwTar3hQSYqaTr34MDb5RLYH
zVjzhalj43vNko/fOhtssa0xhTTCZAt3bn6HTCIhzMUPaWZC8zAtVv5uEpZ3bLDNyIO+GMNyzpBh
zrsiL/v0klTALwJv1KDfajb69INZK7ns+KfCYc1zhtjXDUyfu6Tp651yGms69YgPHhV0YOEnZmQ+
JGlmJAwF2cpjsrTv21lFIGrrBXwOMjeSRtjmg3Lp+1vmUrZPInp90nNl7UyNqiDJ7U/cqOhp6lWb
FLduCjIyRaD5THB0jGDPpOe2IVZjdYZZunFdW01/a48TgrO0BrPcJ9tGxtNRLzyApsy1/EHBM+xH
Ugd6hQLVj3MHioYVC8H40OvuR6LY9hGGupeaewtaa4VfMnbLKriznsaAtYDhsdUJDASKOWjaa9yh
qjpCWMOv0VuF82W0BqkHwOoMWiftgMg9dx1otGy0l8heD2eVo2BOKA/cdjJPYb6rEi/lEYrllf77
+GZyFTJIx1iHtc79JkSeluzettrpDTthB6fRyOybJEbkT4HLCptiqd1BEMQsbFXTZxE2805CZ70i
sGdJDhhA7GsODW54bNLa/JpWtRXkBseZgCIDhUqMyRGhH0y3t8lcrUIAbG2Tpxhui5wEXt/jiXUY
Sqws3fIyY+ul9Tp85fWVZ5XlSONjQ2d3B8EUHcI4zutgiPPdqDMn3CBxLG5MnWJoGzZ6YhyVF4dy
x4lYB1yXaCmnKo430ueQu+whA5hvomMD85eu5/yKXsheNeo5Y6lQenL+0oYKSAazDC/dkbQTfwxN
KwCv98ZrgaWYWAvRHrKaZX4xkXltxB8wEoyUW9rMWVAIcOQY3jmm+zMqWuD2plRvtgaBO8IZv5dG
Gz+hu8pdCG/12shPc3m3tF2ljk1loh5SXrhCztegSywBWLH6EZLAZjAj6hoRI/FyaxJc/ahLvI8E
AcaDRRZA7HkwRkQqmeqX2BqKenF2KOD0PSgs9wg/ZES/xxSgBhN/6wxY3+tWynbL3pwzemdudt+G
IzrAtgeanJSJ+gbkV3Y7z/S69uB0JcQtI+4+6m4ZbrBsVQh/YSRk8DKB9GzMadbf7W7UA+hFxncU
ess9rjMIjsQsnbHLSISqEZ3ROByvqwGSpEN64SYHUTT7TYF2wpbfVE/Bk8nIQQRaYneKOSWZjb5X
aU7FO0jreVliIiCoIswCRVYvk498SIorRXIg0ESX+51SIWMmu9iFVh8LobigoapvXbbhXdK10Rs1
BeBwFj/5YGfvukliGgYwQaFfkg5BxsuWtqW4ykq9fgCprO9bF6kqC2dQVcraG0npfPR4WQ6h3tpX
Vp0dltJlbir7LA1qBtG7lB74Q8u4kOwOV//qtXZ5YjA6viOtQuoVZig9vW7Wp0MOkSfaskiO35Ze
YkAtM6PBliHcI7EVFF2Nye/uD0x230Um3XkLl1oQYmfBS5io6TO0dfs0BcVWI1Hna1Jnt6NrzRfG
o9DqBFEi5xFXnYdurVs+51SRRZ9RQfrCLtzHGQ3QeTbr1JeEqXAmztHS1ZkemFTyn7k2tfu2IxyJ
zQSCH745+p2iv1aSRbQjIj71a0uIcF9UHmGdxrxvchcYDL4+Rik1zY9M1t0Xyt2GBgVUDH/648yB
tDlokD18d6FFIrytlnsEussrGHl5X1a4Ezd6TExHY9rA1Ury6wkKZbmkc7MXVX41mlG9j3ND3vSZ
bfALTS4gL1GVFDtaYe+sHv0enXtxHnLOp71jNy8jvFTHmNGk68IR97lndwd6x9NdrqNtndA+MOks
s5cmt/SXUC/qALZoe0HtZ2zhfJgwP9f2mRrpVJNUQUUjbolbklvhJMmxZv7bMFs6WJNzQd86+nbj
2KdZmAaFlLcwFLUYYmMt5Iw8JFhVIm07sBkTYKNT3smoOLNQpVteGfe51BqUi1FLP5/5ULJBkvqI
jcwbSFgbpkcpSeMaVYXer/F6ceNGjosPI5Xz9ZgzY2bFRVdgESw3d1FzhGVam6fJSOtuSzcN9Xus
XjV0LY9CNqQTTM2iviyDR7UXZRaDq1TfO0Wm81QXZg6S59+WUbd1FJ7IYzONlCFjPAaQ5eAAkqHn
fJ3K/B2/R+JPlUG/oFuKz2F2wj3rQ3XfLONIORRql9xqcKuF43OXsrH2uK/xVMLB2otJDGgQ8b9X
uXOpCVQjfI7jADxVlAqrsEkkJ4yD5ZWjt+6n3lm3WkjZrZBaUpCF8620ydScGFj4hiJTbm2cpPgU
9vGUdldyWuhNzdUin6RZiFdI4j5sf3aSqE9OTtMxueS8gRyXwhanipi/LklufWEQr38f217jPOCJ
235J9qkUS3epNYSk1/EAx4+fxTRmyb81EA7VVrPUdKD0nhm/psVtpoR5wJrSbFu9IEdBz1bG8oxT
2O0ItCD9EszJtIjIpBwmuBQpFDovTDZjf6dbBXJ4URpsev9/rPB/lMZN9uIa5f6fjxVu+zJ9//qj
5PLPv/KnLV3+Y434tLCSYsSWf8wN/pwoWMAoqGtdVwKtl1jU/zlRsMx/MGtwHM/5jxjuHzAVHsgm
09D5i8KRUpL5/u+40v/gUPzoDkdnKUE/mZ5pC/5n/wIliiIIuwmuun3fD+rQopBgmo2MIHKt8NYi
o+80NjqRCJTwzLSo9kVRRlft5KYnTy8NH78gaIRyFh9ey9y2QdK3cwzdxvWZTictK2PEIoxDW9Z8
TngguMmJfpe9fYsgklkqBzk5FSeNiV6AhB+bYEXUYesljN1V6w9L8kSQwEdo9/ikRXHMVN3sAXoa
q/Mxm3ZNDSiKLmNCuIpjfMlForkbtDb50UKkwth0Xm5Kwym+QdamIexCx5gTMz7weeMN7CkNzJ3G
ia2WjHpNHQsk2RO1b899Qpc0zN7QjeQBSSDNnhwdLEdZktcfg25xfG6q6Nku1HillWsktTRoDpfF
XU1k5juxpN0xNebiamzd6abXXBfgtOAoplSFYQywZn8b59N00DJZnqpo7HG6KzHhRTVpBnSp+QUj
DSv6RGEOZ/uiYhwMBFdUe61wbtG5Dl86T48+mzxpXxI52ndM1JET6K7HCaYhqK4FAE9SUvIwpAVg
ZnN+SinjbmM6YA/I4sUVe15/6oowOQ+xWz6N2ODZLpjSToroDr4aPvtJ+j6ytVzi2OW02ySGQb3I
kesB5WFxgc4NUiB0fVZL0F29bF4kpZGPSaX+JpfwO0lt7hI43vQc4zTNYnHsezPbJrVh3JEgpG8T
HGK3qTN6L7ac6jM2IPtkUQ2BdF/yDzvTgZMgLWMWnsbiMpeWdqHH7cKTsj3xrUZhsqdqoJ6bYlKZ
YoZAhW6HlzEH5Y7/okAd4Bq0zjTzupmdz7A9GeaLlfLJOuyHB6Uh48mFUsESlo6gd9LXWwTvRDtT
DZbLhocAxVBWGSKjRe09Qke+mGgPbsBFt35kV5yT1TJfcsRTQaSTlDGbaOrQHGC5dwZApgYPCOWX
6V0XOKJAtla1OuhxCPK0xCCRa/J7P9rupUNYsG3MxtvJrpn8mGb6VYct+EIW8hc6Og34FQH5JXHc
HcAl59GD3rmr84KNNNaajVTYs3yBN5K0kcjYpi0ihwbp1G4p0dlOc0+zf6b7L/tK39pLAvOMLuJ1
AVgfb0Xv7PNUR3+x0ECmiiuIqtk47lJfh25oByJ1fdHJ1XpS7xesIQTHbNoUYy4SAH8kOV3E895g
CnWKxEQnoNezu3rCooniEWgxlBebg+KO44zcm2FSnlxTd18z9AgDhtByuCN+b7yXZf1qy+IrSWNb
saizKp1vKX6w2yXM3EOttfbKbg9ZfNafWLSu5Y/GmPs19aCy713IDDi9yVGEiDY/RF7SbTBfoAlP
6O5CP/gAS3DBfwSzpiNsy+glvi1Z988xYQIb3cjwh2RSv3HWIX01l8YJQXp3pIy3t31XO58dUukd
JkLruu0tXiaYb9sQMsSDBf9ta0+cVO3Zm+APr5ZRUdGmWPKV5Y6qg6NxPT1HReheAZ+NkeOC4+JE
VB0nRrO+kw1qP0CKvsoqgeHEUEqiwYqWfdiHy60bLWIXOWjAkBk6HGTnNfmWpz1nIvYFog9Eh3G3
z7yGuiR0KpTtPYi1nkn3BrzH1zrF4cp/Xc2MqzjOF3pHO4LEgWeEL4sPgaQ+d944HPVmKo9lProH
5mzl11GUHScryJ04GfV7XnKKmCQG3wu7TFLB4fD/gtDKMf2Omcw2K6cebYwduxdqVqxGceJau3RI
cbyF2H8mr/hijU2zredkr+UGvbxMHXK7cgI2DPEylCTdr4YVDuBhmPrxkJR+O8z4eBdXpi9tVCy0
AtzUJway21VVilWlzVHGpuvRzGpjZE5ez/vfzcKHTpDsu1Lot8rJt5neg7qNPJ8e3ICT0jn3KR5+
JGEwOSz7lC7YXOA5PZTLMJ0EhCSbesruHmJNJkHRjx+Za2WHsVojd5mBxmWCLJ2QtyxlgLqs575E
6fauq8ZlbyFC3luCFVzQufankIK+L0CzeVF3Fw+rpA2N6wY9OMq/rJ5f6pRlYxOFRSoOg8TjrNBL
+UjWA0UeB3AktTCOCuc3xl7iXpewmvjpfu4O6GWi1y5j1c+TR6S7F5x820ojvbTIo2KrOk3fCGgM
tDpVfCZyMz0yMbSvnJSRRshv/iwKz3pVVjoGSeMivxMJKQ1h/UBgREugHkkWAAWGMeI8XtYvTMGI
wpFzd+MUc32q0BB+Fp6tbfjmrtvgjAwpK8qdgi5JtoLy7pVMOP9PcGj0/qU3sXenxakf0+ViFBHM
PTR2EW8KbdSyQyHQJBVzqpRFFR8WffRmNTWps8X8p5iYIZlxZ2zs1NpXBKZyctYR06Q0TbWswEVB
zE+75lBNbg39hFMl/9WnoWZP7OifcRdzZbYPVjQ255q5xWThFkVeT98tc1GSCfMkutYt98OYdJJT
/Ni9L2xDnymDD07sen5rMMFGPQe8ge0NbcEjdtruMdM9Swu8OStgtBNLeTcPehfMtWivocrHgUB6
TdibOetPLD2EthJ/tVdNqbAPwm3RzdIIEF0iw1/TUbCjyQctiydaz/NS7GXEQSywYvVI1gCbdOPe
uJpAQVy42hMzWrALFSVKpNefeT1Nj3VBl1gD27gj6Jnd27IK7861gcgCL69KJIbg+i9d0u6Y3qAo
t/oXXHBf2qWg7V1m1h0Q0GpXejAr2fa86xKXfLLFeuO8pChfNxVlRSSyb2ls760qQneYnLrEOYwd
0sCRlj+56HYRFbxZDGQjeoM5NuIqRdJr6M2BvsAtQ8H7TI+/saE9je3woYS957woLkQfIfI2bFIJ
0prv7rwY7LtUYWGMWEA6QQpJ+hpx6IrZLcjEmO3mEpIemiOejxl2OmqNjekvNOyWjVM3dKo0ldZB
KnTrkeXXPc8Lwl4Mipq9pYQvUWtTddrxBTRMctKw5gfJMFoHzrr6HVXc/FCl+bKzh1HcGiSCiyL9
sCMK2GKye9zteMWbvL+W6SpQi5kOK0EIpVAmER017e0QcTfiBmM6kDar+1WrvUOaqQ9zk+fn0Z3Z
oteQjc6pYGoqRL3VEouzGkPYRprdHF1nMA91NXKgDsn40SYiXdLJecJB5AbmQAeWuA6NWXbXufdt
49Y3XmigeEmrdzdHCC7Q1m5Hdh9GU/KqoZ21ktBeGtm+M6cWQWJ29oZwLAKashQ0s6E9i6RwX8pi
1LYJQ/wvpd0GhVxxk4L2n4/jT/uctLDYUlHKO8SPkT+lpS6Yi0L0lk2WH7qmOXC0kAe0EpKbWkTn
MMIu47hsUky8A7we/XMdd81ZJC7M7aQygkw05Gq1stHWJE+yV8ZM7YywafnuECQUz0XoM9HVdtJh
8rrQt9rXQx9+QfHf3DFsIwiKAEPmP7V1kQkQaGqw8b4y8/K5jUhBsBCDrHKb+Z7ej44FoMs/qsLA
u0q++3cP0tF+Ar9D0gcVNP4q+wwiDJ/FopXFe2Im8ZnUkZS4ktE1T3AckocoosqD3t0kT4oZFUst
Th6zD8khzHV9j49XvxgOdFQYgORtxUpdhSQbA/4so7fShmXDIMwMRm0sPuym9y6aW4un2TDoI3Qj
IBmrV69MgqL7DODJQwU+4Di67qpRMJKBWw//vuYkgBsdvZJS6+ZaxncqtXdLK2IKNqWe+jikUa2m
8eJYMPzl2JQXW3XqVNDf2i5h+DmWI87XpY4lIbwzpduEHwpoq/tqTK1F6k1h3Y+LVNupM5pTpFJJ
/SkBmnVCvHFkbbYLBu/PukMB5nEAvAJ1Xd3IKEkugxEnB4G72YeB2xwry9PZNWxvN5WNa/hmcptp
Y7ntIypzlyHgMdEMgAcmIl5zaW/AxpjrmEgxq+6Ko7swat/UpnfVORAgxNhm3/lFm23o1c4pc2K7
3eQdxGq6md9J5/7WwcXa4CCJ/BrXd2C0dOb4FBr6oEKoGMvwRI78ZSCftGkM79rE9xvAzRjw/ojk
mbnADFExf61QyPsMip3rmnTiQiz4B/Ri9itTjaf1kI8Ftvxsxnov3IL8rs6b8dLFXlAjMn+KY1PD
lIigK4h55+gzI9yjWwb3rG8N9GdVRgfTLL+QREevp9KHp0gXTDwb/QHmRLiD4O6O4d7ImuwYFsNd
OsrAiUYWl5mSXNd3aHTmyxwuzQ4k/7SxZixMtvrK13PC0Ux0eE8nPRBzq4KmaxzO3NLetwvEYARI
a4/X4ouaw0TvWtzlPWkzS6xfcAwCJdaJu6c2SPBnwI8Yas3ccs4LD3St8iCzk/ZuqAkG1GPVHAbl
kWEl0uLATpEejaEucYQV7k2/zPYeCgx9SkEotGORxEw1Gh2TqWfikIN6DeIsNU1yYkMVbhbPfMZ/
70+2S4M0p1+do5j3q1rLfArfQ1ydgdKR7xUN4xnwrIuiTJuGByXS8hUEBy+PFRvhtzYkJnATxg7Z
c8SVks+GD++uaA3tfrJF0RVXrT0wdIdLgZaSB3+piqy8pF1qvLEDtjTw6HQvccuFp1kDrysxpsg3
NO+FnN7wyUQMtW0Gzi2bLpk5n5L1SMpCmxl7WXjdnuG7vG/LKTvODOmuSH0XIOxse98PZvtNAlKD
PRX3yWtVed23qSgWYPc1L+PA4smt8U5hY1RXHRd58Mxx3gxYBv2kUl3AD7BfOEuPT0OfFA9dM9pk
dpp0Mo2yYvCvtzcWz/TOLEwuhrnoU2SOn3WemltOQskx1gfjZjb4p34KPR978EDfQDQkKJeaccNu
a2wLe6AdGsbwCGbtrKVkB2ZID3YOhcXGMxqo/MzwGGQhSKVMT3lt9dpzHnAXktZVmMyOGTJd4+/d
mu3KxogEK9YQJRiEhuzotRYJSF31OMnsHWXn9TIn2CfH5CPL7PTKadrrYmgtH0xfQ5T99Kw4/DC0
QbhlzNe9N79VTakdkzSO7/6fyKn/K+F3HQ+W5W86muf3TMXvH+PnZ/1jWxMNxvr3/mxr2v8wTKbU
niNRNVt/MDX/KZTWdYOhP2BmtEPIlf/Z1gSp6eiInTCXYyRnZeHH/SmUdv9hAkwy+ROPjW5dKP+d
vqaF4ppOyIwJ++rjf/x3wGEr/ddxdIORPIN771eqfDWGcWsBMZNjcfQK+jajm5+jon3rFKlktqMH
mVwP5G2/D11wh8LRn5gD6+dKDS/WmL72dXuR7UKCLLw5ypjuFk8WpEeJiqDqNfJPqT0JqctfOpdS
GCnlC1a1wBvmo+WhSi17ic21Zsg0pjc/PI1/wfRcNd6//HKuZRnUqa7lGK79yy+X6jkup7myA9Zz
VG79Lgu/l219q0vH//c+yeZJCtrWHl09w7Y9EK0/sUM1mCtDQXWtjDXmDOBjqZ3nDjUH47jff5T1
lyAAG/GzQeiTtAT/Z65E5R84pbNMxkIbGy0o5fDNCRvHBzv5THwkzlDPuKLxScoGyqlAb2QdOENP
mpW0YYRGTbzHv9wdln7V0Div/FePZVlca+iRAiHal0gbT5V03k0QfKKWgZDV1xZoFKPIGF9U2Zxn
O2o3pUhIS7f0Y0G1dYVlRvndkE1bW0/GIA5n9IjLa9Mkbzim8FVmQJl+fw+M9cn97yfLEAAcgweo
1pQwFhj+rF/rH+5BSIIatkfNCyraxXGKLL+YGp/qeFdXyFOrl7qQ7yiUfZP5zgSGg/Kl+Mi1+PP3
F/LHB/18IY5h4GZAAmpDY1gzKH68kDmepqiIBC2qjiMSoLfZHzTnxY1Uy3k8/5b32clOIS/l+ant
l8dKzDAmU2dvsU0SdGreWX37kE6YE0SztyPnfUmjt2I2dliB7//mYleW9o8XyxzEXa0VptQdZyVX
/HyxZeq6WtZN8VbXF1ifXXV09PERE9JDo8nrukseVV9dYew9LJPcJ43+pCH4goKLjmeKA0J+g4F5
gtMhkllydJ5SPo51a//HBA0Ke/RZ/YvX9i9Pl+tE42vSMuJVEqx0P1+niBoHgpmjEdKSP9Ru2uzG
giZFQ8jqKPqTQkiCGGFcm3WcxLJ2eRua5WEuILrBRfj9TVvvyS/37Mdr+WMu9MM3TZe1kedOHiKm
BIXIATvzDOjXqJldc6/+9uP+WJN+/TygrWjieFJ0Qn/5QjlYPcgocjzOe6gKewKIKLXaoC9GvhX2
g4EVbefORRUMFY4+kD3JLYzFK+hwb85sWZs0DRWs8ALYrVe+4GT0I+XtilQ9MnbNTmQ05BAzvGkX
iuTOQ1WJk8Ij8Xw5u52yD+QWTZvaIKugHUw8jxWJzlF/ckmWpDARxda2m3PeaGRczQhwEZ2rA3DR
eVsJooYFebQbsJbWtrOW298/iJ8XcwcHDyohU2eSB+MF98cvXwoocvg8EKIHy2IzKot2aX3BGYK2
6/r3H2T+9TVxYNuzKQJ/Yf8Vv2wbYpGYdeiQbK3UOSVD9okAG2+9W5MZ7VnA3VX8nE7jg014c9fP
99ZsvoYurSCMO28IQinY1UfkwG/WM4h95mPXtdcrf/H312n/9av583VSP/y49uih50QmjAoIyihN
jHEHTjH19bR4Afeubxx9GAJ6b8kmJttrk0/ldTuhCHLr5iVaoLPTedUuiNK17TQ11gEF8XCNr7sI
yOTMSFl2w33USPu4yDZ7YvJScXLuLkOFd8muezgB3TBh5MYPUXp8sNSHOQCyn2/wQJuIlOeO81hS
bHFt9PvSrp6nLn0P49rkPRrnt1n0TyZ96mClsX0v6iGnr4MXNuyb6FRKBgJMJ59+f8/++iWi2hE2
VQ/bNMiv9dH/8Dbj+qLcsEoviER4wXfDIogSGp0PEIzd7z/qL4QeR/5Rczh4QC3bIHjh589C6tH0
yqo8jh2LxTRvwS9QW6ca0utTPOJkzcGCynK+VtH3yAGeUVkKDZ/HBjt2VRvgwqIblEJmM7z5by5u
/eyfVxkHdhFvLQx43qZfy748HQz0dFkIBTk/YsNyhIZX/svf3IFfKxXuAJR5FjFGuo5BBNLPd6A1
M1in8Fe3zFM27uRMh1kkWRCKbg8zswpm1d+PUV2/kz75JUVzLJS1TfXK9h2baN5mIfm3aZMSecx0
69KeOecaEJ4WD8TfFBT/6kolxCaxfi1M5pk/X2kHmANZbhIGrqxYVZKC7CEagTHzm0jXYQqhJtL1
kFFc9zf7y6ob+OlJoFww13E6+gI0Br8uNoNbdEtFZFhQ1M5TODosMa2P8jWwSvN+mHvgps3ffKTx
rz5TEi0ibYI3WOB+eS5eMes2yG0v8Br0ZSZJEGZST8fadvB2J5T2BVFa2fClie33NJHvJshtP9S+
4t2KsHVU1cWdyu+pY10ZFaHP6ePvvzf2XxZglwAA16PAdZBX8xb9/DQmjQO8bnZaoNwey2S7D0WI
mpPXZRljJBJY2kFQdXuae99TER/7Rb6By5jQzYWvbbPAOZD2vTkO3znm7opJx+pXQTLIkttRZvs6
HtmqqpU+U30jXsDdOmThDpHmXVX88VLb4zHNrIZ+tQqQmja7TKjPGdd+P9uvhooCtaqM2mxn4w/c
Dhagjt/fAefnYxmbnWtKji0ORS7vDha9n+9AmTBNcY3YCdTgPCKrultcoqTKQdvUhA74ObrRrRLx
dT1FuW+E/BvcoZt2ztW2i9R91473dpuyGWim60NsYPTYssHjrXML/cWBLRgUZA2jJMT1r/7I1mbx
bkaAWKOkWVBkZyeymXCF4buL+A9XpvuA1PHVMJNrI7KCLDev2pTdAAxCMOqQ8pZ++YhhQwe92Vxa
VCEDF2roxU2eT+cpTc8ZUCUEceJ9wK+ogdEhF3Dcd528rrRs33AG2U5e5mBQRbJuI87bTvRJK003
kK6TFt4RwT4bSFlim870hMGKPzqaov42ttFNlb84i7dNus+/eRS/vp94lSWHdIejnW7h8/35SfSy
RO7QEJxikZi4HISDC/HQgLMgH+aPT/q/jez7L9RA4c5J1pb/XBL2+F4k+X+7vH/0P/ZP/vxr/zSa
U4HxJpiU4TRJfgjlk/9A32V6UlqovDjN8FH/K63E+oft6bjTdVoIjskK+0P/hFXW5G/hDl8z+bCn
/zu6sF+/HR4MPto0QIgws+m/vqctToxeTmi9GZ7cGjSaN5nWvBU2wRUt0nt2q6OtpuXQK+xGP9yp
f3FKon30y4e7+O4B3pjcE4yM/KI/fzVJ8NHT0UFbaeTacgg7IuO0jjCfdlLTZhXJkJ2cmgRWDDFG
ZD05d5WhfytnD3R1PcX4dDubNYC46OkyCDqxcHHFqWyXCRVaYh2b1is3Sau8aytRTGRaQk8PIb7o
GX02rti2du4GTxfZdV24mLs4DVoxjE+qUn6gs1TQ2abRuLErZjtBL9U1wUsAi5IMxYjolt1qlyLk
Fe/IxcEK+MisE4hZXVjLHUWSeSYNT3t0AIOjR6u8GyA6HD6Jprlm9lHuE02bv6QJ6QjQevONAbWT
gCjZ7xkai5NH5vV+lbNfLeseiMhL01D7wnDNDrbTmGdHwDYJWi3p0aWhB7cgrKEN3rMJUvcmRB4g
GcEzWjGaeUPYk1qAhmrznphHmOmKVjUTDI27Blj5MA+pOneITA5j1sTFHQq4AUPHrL+WtlL4qUkX
mX19KfmrNKXHlzGKICxp7lg8lJZ67htNbAfALDj+u5Nb2icPIfkhSlt1GFoXbWyjvcle96713p4k
+umJRJBe9YQZZilCW5laE42dYpoufc2kvW+z7DS4U7HPY/Y0E0dW76eNW51L2opXCOqKgzXE42NE
wsjeC0eC4ehP7JRyte3S87iVkenvMJjJkylrFWKTLaZ9pkHPwvx79jKiOTJMPNcWi3dF7VeiiEdZ
5mjKPRiwl8Cjs7sFU9cb5zkZ49ovROH4bTqGNVInBsR5Wyz4ZWv7CpE1cS6aiQUYM10Av0g9Ay52
n9fcyes6rflOR+LkGiy8av2ed1FCtjJK0WsL5N3jgCMTiFXfBUi31dbS2biRadQEKzTo5XmC6tFB
jAaDCa37A90Z8mmHtbNU+bMH0yTAOm70SA6T8S11e8vY1RLZFbdYL0HGKIwQ29gYBVv+spBXYY2m
PeyKJFkubulYX0s77KC9lyuIK+0IhV0j8kYrdD6XCP2EMyrvS9cp839yd2Y7kiNnk32V/wXYoNO5
AoP/IiIYe66Va90QmVlV3Hd3bk8/h6XWoKXBCBIwmIu5U0OVGZERJN39M7NjuIoSOvaytW0v1aX9
JPFQid1UT613ayewCkIKYtj8R4MTjXthGKjMgcNKPpK6jDdT3sZoG3k8fjbzhDFtQAC6Zh316999
v58JjTvzNgADvtbAu9lnP3XF/VhmqHXU8z71qeUcq7o99VXqHLFC/1oUHe149UeSPVL+imlv+QF8
JTvOsZPegJdITktH/EZEzULdaCsHbHYwCUwnbbipJ6Ge3dEKvrJIRiejdped4RTGturHkSBNXzrH
3GyzdkdFUn+zENEJZ1l1r+y3Ecr0KDARLM5HtAzVXo91+mudfofIq9VjBQsZATcQHyVY73t4dYyg
k4iPcPL7Z3qD60MxUMijmMC9JZnTvsACls/sqexT0o+kRZuZxhwnX0OkWufjoel7SJd5Bchxy0xQ
dF800VfxJZFdjA6VFb79bCGs0z3CT751SwTvaU5+RZF0vaM9m3oJBXnd5UjYayGNl2YMPtyagUyC
nTxwltIHpdihmcWwQmipm2YXmoFBkeWUDekHV9pE1TpVEDyQqLU2d0bK05i0EnprgsEs23scjaud
pN0F833rBVfVzOV5kbOgFNqm8BvVzvJPEVrwdwfY1T3s+OEEuDB67SVx1F1mEGnZsbUCZofxittm
ALT9kdBQ4cFxD8ZLPDvji84q5Z0g73PoacknPwj08n4ryPeHEZSOD4CRza3CImadyW8E4WDM7/No
VBad3nwwlIYb3yotm5/4Bwfcd3USjh7AwtDUFM9tcDsqHJRzWb1x8WNSxM6FDAgRPZCHPFIMioC5
zpRAED7CfEVSgP5x5AMmLWMj3qdmAI5OSaXYl4lZrTjUVr0bFebF0COe+Qr92XxrU1LFZrtYX6lW
1lbaC4catXR70qX93Ti5wY9eLvUtRr0gw2GmTEbF2G2XbbFE9WGOJ4zM/LMUmlW71BRje/IJv6Cb
bEabm35T26qlFbrjDZT5kq+mrmVELRcZ6bk4z0pjA7qowQqr4SxuGH+kxaHOyamSM3M0eBRXLtPe
/13qhIHUNzaQvfsdSlH9wtIDvxJOOb0o9TQ0z/naEJUjce75yjCLZvRH2Tn7Z+xPLHgx4PgN4Tx1
BpdAD0SRSENRwVVW9y04M3JH3A7ovR4mOSI0PWnrBE3Rk3cZ4ugtnlOMuMy2rnDTR56mS3IpgxbA
Wa5x3hJ0yUDqcWgkr792ZhloHdQj/q7Swsxjrjc6bqpFgTuNzcD/kTFyjbd6ToMJcmTQ/+qI6t4t
v8u6sEwa+/53hVewtnmhi9o736zVg5HXB6nc6Z4hSPBI5j1+EYpasHotCANyCpS+SSyyHGuBWLJW
ifVJnNz1DAF6Pk7Dfi7W0rFhrR9LfjeRWVSxkIpa09vAXaW5kQS0bvwlQa6oQkJBLMi6JYtp1rSc
eVbyNKzFZwNVEB459za/tX4Xo5FLubUJuAE9xGb6OEHJgdGlzAuaBoYN6tUG8MV6LVwz6gUvRuDu
07WMjQ3sF7lSZzfS0wYPwNyUax7Tzhpejx9097Sne2e8jpS85a61LZsm2duNHHsYx5V/DxwETdjt
ATbs8t+NcXht60uNYv/GKoc2X3NRsQ9iI/SrXCvnSHzRPuevRXSuldFJR8gXcMs48IZo4i3xdVi5
Tei0191PUPoQxm0/VV/6N3e8/M0gHzpw5JilTM5moDA2rV+svPJyZZcXg4PZLsBCPJ7WoMOKhljY
reWlrr7Z9txe+lktekuuvvfZ8jmsh41O9avCyPVKFoK6jNhnhL1uVdwNUr4D89b37TTMWtP9Wprc
e7DJRb7QEA95uB3S/EyYolkBauy+wq436+c2BiUWCvqtFR9pENy3fbPc5mYHUazy7KeMFmBqmazs
Tsau/zZhPTS3k9AFRU4+NvkTSFYbBR7+A18eD/Bmu3Z10WTpYFIMcixKe1LNJY0SYzZ/I0sCVIYd
u2VvqzkznaM51d1VG0HSh4iq9TXJyuYXQDReJs7ENKzfi81ztSfcvyXVwkMML5zTX7t2LMY7ALhu
seliA1glXRnDEtqxMRNYhRpf7bJ4dQI00DbcTZYHKeYQNsTO3pkT69vQRXCF4H3Q6JcNljWcA7cd
/D39Amw6QL+d9eAVPtsec2IH7IKpE7Odnxu8oIAMORU9NctovXqJ6b5yU2fDWdh4k0raeK4LD52c
R3ruPc9NNIBmc0FeQ3YYW+DXE6LMDm9Rx5aV1OUFYIjx4TPLnQCiLF7FaJltVDhaVNOTDaRvZK9M
F5c/30nQnZM5il6LYsheGEgQyFtIW/snR43xqag7vccaYvw0RRad80jAejJZVU7zNPIorv0kQ1VG
zeCUYKhXvu3mho4ZgppLKdWJikaOIH1hXVAAMEI4kbqiORTY+SPMp/iU+Z54E3o7ufZ02wAtTHZe
QvMO6O5+1jty986TMq0WxMO/Po+Jf55accoM0CYYrHJSRQTmOPrX2TJYEVAwqa3CSJjFqVbxZ5VW
31rRvMmg/GY5FQurh8GJTeb3HiPsw79+/XXa/9dB4vryCEc+ihmxIQSkf3z5POqtMh8NcogRWHBj
aaorH35x+dev8r8JnuvLBNZ64jR5Heefle65XwYLypUOB4p1cOmRrNx6hjT8o53g6t7mQ1NaTLHJ
d1csTxb5JthjGzEU45uYZuc0G5W+uk2pHnPSADfrR0axomndGiPGbsvioJCSU662mnVR3WOtqKO/
Tb//b09a/r8rj10NI4hZ/+d5zONH9tErmhH+Oo7586f+tLPgP2Gsz9z4f3Uf/M3N4gZ/2Lgs1rGl
QJ7/q5tFmn+sjhV60F3of4ghXJp/ulks+QdKJ04XVkjT53py/pNpjO8y1/mHmwAnQIAo5tPA4DEz
cv9J36l5XBmVofq9WULFPRjR1Ec3VuGgzfcBZe2wL3jg9BMgwEOQZTwxWvrdq12JG/627wKDDZ4V
+xdrgK48ygkodctRd4t1n+e7B0sPwikxj3ab6dLS16Cc9trLJHOf1hvVAZYQ0bJhgOVE2avBuQMY
7I3uRhh/aVm5pySg8jnUuiwpXqc46R3GL6UyQuIjCGn+wdKc1yU0K7OK4isFV+6nbFsdEukfD9MQ
+PdLLpabFiJJCIggJyyd12HT6vxxQAv8YjE3oKRMRflsFpH7WeaqerN0zMNytjSaBsh0ZuKx3ceE
87zstUCAADoMUcrZNKOX+weMLNO33jT1gcR+Z11Nr9XvM8vErgGX9E7xxTRSoWA2tynJQ3NXViID
VVUpkBQ59y9UAIWevHOzGGfcUEJz2gydaKgDrWRzh5OwxSEndPDe1ELGH2YFxnmTAtFlSQGHHW9a
m3S4i6b27iuBuUONCeceO8C41vcSpPpQDpqDJqltefGHuQfJX1Hrc6qBG25hselXrRUpGms9c19N
DHjNxpy6ct9mVfYplc6vS2Y39wTO7B+JENMzWW94gxpDaLUZp7Y6NyCb1jbukYLaYmxeyr4qDgNj
eLrkHA0RtZpbmE0mhVkviY7VS9s2OdH7JUgDwmR2/SjcOGtD3sH0MoyquK+aNnnIRZ8hcc4qOCap
6g+MKuK3LJ6gzMPRIrEGH0JPrL4eeiE5qqE7u2IUxpayUUPs2XvO1tGwh+zD6Qd2ykGdx/IiPGAr
G4dgKd+ZQCUg4QhlpB2yLqSbZm42uJ3bgdRDr6KNmj3W6oChyItGl6Izrxind6jR/jVLgyDH79tF
POBVVDZcsLMV4e11OVALtDh5GAHFEi8YCZGEqi2pYYdqPBxsekuvBAysNZLkP+dZj72dTcWAb6Av
y20wlMt9lClZPE5xW2/g9cgjfGV5LwjmX6bBTLpD0eMx2Aj6nt9ZT/OL5xkUo4q6c7/ARXg7UZHg
2BMoU+c0ml1YT9PatAYUMQyq2n0P2JT5tOZBvtxiPoubHX73YNzKxir2yPrdyWdOlu1J0ei9WZta
bRHBJbbkUcWPsNQghrVJFrzBgm9fMZD5n+7g2xdvHMAzmga/HJ0SiEztv+oB1giiLRb5WQn7w3NS
8nAx5FyX0NVYxJtgKvRdWy3jTNeRts/dYHd4PgsMQHs89/rNqZP+M8liQhIFpvfi0PEcyPZWvmh5
zGdrZoDlmrxyZA40GzGOpEmFrcvITin1YFowbhUDe52ASszJ0WwV01z2JfFTrKEzJUtix8yyU9vA
F1B36sjnNse4O4M2xYmHgYML9qO2jRTUV2NERytIih+EmATl0rG8VtzhnJgI9H91LtIoaCznMGEf
eqHl3mWeGkn7qwMtcufPnmvTrOam3W2Md/q7sdBNkTH+RASqg6svsviZKwqfQBlwVTJmrvcsJvN7
rufitqVIaYRXTy6aVHJsHRyhqgAAxPCVdfZ08OK+3c4EGsIqmQCh60xo/PhKDO6VXuzlGw8bp3zK
A4o5/czwby0Oy7wAhthzT6/ZWwpEVWOl8T1ISEVpvLbwTW8ZEpuESgmscg5r9AI1vmVMwv19NU2r
/qFkG5AWaVML2ovg6fhiT0amIPCV0tjroZ+9g1113GYAVyngU9UirZvOm9XRi2rnyY9EIXZihNFV
4tjfMQxWVdhndXKRTvo9VoIxLEOojbIa/VFMuvmmx8HeWj2TEWdyDI5aqiq3o916w3bMF6Aw6wEm
5EQ3fDjBJN1jOsnqnoir1W0gtw5EeJVz8op2eaNLgJAuBT5+KBpZV2DalZ1+M+1ycvi3UfpCfIbu
Np34xT5AYqGSwSphftgLhmprNMUPgnneXa0L+d2AtH5PrXS9l+2kX4p48tP7MiEVzZuPHWaizlh9
z4pyOoLqmuRWjw3wPu3iE0u72g+hahL3HNgIek8ciIZfk5daJXPasoVAZ3vdRvV9h9BMccTWJm6s
tukUOYRe6RkIYZtBsXSG2W/Ju0b3uhsWM/RSyHY7hE2eWrYh3NfedW0W7jwCj4XL3yqprLEZb3/L
A2+6WIZlHWNaZJ+QuEFmCn8Im8h3zlGu9Hs/kyHaxCXGqg0MTXIs631obHxqSQmydPIODPWjLihL
lG77WscDN2a80i0zBR8qdaJLKqklIHBm/5iSzDzFSeBzQGoo+x2aeWfP6fcchDMGGe+nM6WfKrYN
qDecVlUUl6QryWBmENEn+1XlJAjCuuFJvKE9gY4F4v2jPNmuQ3iRDFfWnEY7IqzmIMjbW2m4Dmnq
YpYteJaCUT69vR39AYn/g1rBGtqdUOIlaXxjgUOvGP+OeeFPtwuXz4+I1uh6Ow5sdeykgJVONqGG
akrz3RKY2TGPMyO0hjblWiFLqSf2/jChiY4VMs047BRmmLBff8wdUeydIYKcBvXkC13I+uWnkXov
fNnvpmXuP42WLneyMnbKbCmrKbumqerWIyqMj4iWcmKxBbhESqZzbE1ZbRjPdpIWLaSSIa23fq7b
ame16bDctj5102HJBYOe3WTJHMaRkiIcung6Nakhb1sYaem2mOgGDim0pVfPIzRxChbZ//TbiGS0
W8A1xNxVnMoSNueWJ8IA32n6PckqGOsuVRfcjEsTXE1lUVmlhE4+y6aX0PI6A4DKkKjPxlIuGxXq
AL6blqeyHXOjte7O8JEBNVx470A6oCRFZ2r2obQS09w1O2Ddcz7lG9H5FiOcXHor7sk952UXbRur
Jq9Rw1J7YRO1pKv10Prq27l704zUzgUWHmpwrbXbgEVpuo27gPx/AWDC2NLOEwm0KZHdaQ/MyUa6
jto1rpEsO5Grzr2SKShPDmUyTGJ52O3HsVtXPxInBcuqyetZBQRdp+A23U7QOUBwAdQag6V+kat1
Y+v4aX3yDY+U49jq7AhOpX0YYFHBr0T2mEPGimwKCDzP6R1Qs/hmyvoOQAXkpQ/yru2DhU/3Meo7
qikiy1VEemn3RI/QFtcJOFD+ZokGsx/6bNcR6FknwtjSDTamD07sjBcdrag5imEXJrbJ4rwwaF3b
VVDtGhANVd6GfkIl+GvsZPTpdCWUylzNPC5iqNQdhWRMGIiNq+KDjUL0ONPbE199WvwopGxp5uO2
CcgF52XK3INoElkhHtCzInKbqJc8sgUJbtboO00TxKXSA4hmUXQ/S+2IxzEfkh4PeFA8JMtkPAPc
Cl6sYYKlNATBT03v7DOVG8xiHcd4n00EyG3UZsvDWGf6necv2wW7VUyjSr/PDmW1gvdHIKMns4rn
1zqd4RDSf1Yw4DEbBVXWBiUWF2aGJkfAlCFqQIXyNpaqKdgpmwSZTYLk/qZPq6hDAPLLs+sNkOHq
IaFyqrfcYt+aJLnI2LC6bewkaedDROo7PS/KzS+OZvZHp4XoOwD+OEF3OiiCXwMh2a++I2m3QkEr
K+w5S73gfE6SrZuMUycOZkL/xparN7HPqWQqyzMra7K9A8NowFBR1YHxUXe9x7zdKlaiKxbo7JRU
sEynLVjzZllbjmr/jdyr8B8dCkP7Q8CVhgMxn4QDejnSHzR1bvoZ8PF+XKUtNRVeGFs0nB+mynZP
kvuJC3Oh8uAKg43iTC3tQd4uTcyGVdZgV3EbPEFPbhfmUzPg44A9wX2hBeotK0KAMA1c04gOCZiK
IgR2qUOLqbMrt5IRHyeVonI6ct0VnebtTbLUbI+oIIMBbYmmtG9xm1XR2RHo8nf+6GmXvuYoGo9Z
T+4VQaJ6UB5E9yuxkawBTkXb5SFoZ0fusRIk6YmMfJq94TjoyqPTRXArmtyf++/lAicugN/oMlPU
TvR9HaNEpOhi4bFJorIt5nsfkXxwqvZsM7upTbfCmikUBZlnmd+lO/RULmAf0rBa6QWLUmcOrizf
7XjMfaHP9lyKLrScHmYp3eAHFSv2ElbkTt+Siprd05y6mcmIr5H+pgIimd3Utrfa2kpRq1DlFjIW
A3Rjp+LRPcylDCJo0EBe9k3ms3bR5+xF56rVc2ttgHubcG9qt6SWxHCL/n1am/GadprLm4ImAW9r
tAmy28Ydld9QQIW74RjB8Js3CrU5eWGRcvuTPamKbY45jtdhlL5pgwXuh/IZUczOPgX3MO1OWs1E
KpqVMNtGKUe73h3uszYI3jM2dzbuKtVgyOLPgRvapfNyFDFR40tiEHkNfTIJNsFXT+09q2Ogu/id
ccHv8B4wpGZHThLknkY31kQ7ar4bciIBWZjLfQZeMwMaqHddmuMnp0pjLVqRQ3bIJ7dJ8GDpltop
qlm4oozoFwQZg8YsL+NkxIhh7RItkvlrjjspTz1OKTas5gDzsB30Ny1aIKJUIq6YZiA7g2wNG20L
GSMmt7GjACW/xBN3LLuWCHRK5AOuo+UvHj57z9erhcuHH127HQjRmaNwcUz7DuxjP+Bj7WMZ8334
a8i3SGPSca4srBuIR0O846dNghfVYBpIjDVmkrpMJrElxTgdJkJCP1CtOhhdrdU/w4bkxJRnTfdR
Gm51MkCNEWPxoisOF7QtVS7C3RSxA0R3KR155xSxfAR+YB/SJitPGa6P5VMKPg4XFebCdan+Jg/Y
QWzy87Unaqr6+lNjVtNHjDT1Ms+pep3bWGUHkQnrPEjhwaMOZnBNvije43zwmm0OHdncenhnyh0z
alTvqs2M4jbQGvrMIomv7g3+MHiveXDxSdvDqM7XaTQO6rEl0Eo9W99FbrtTTprglEuBre9G7Uc8
sdvADX+P7P6fTTfXF/oCDYmZM1H9f/+PP19496E+/uE/wt9lIw/6Zzc//ux1of7uo1r/5b/7f/7X
z3+nsgTHPzY8ZoT/anj59LP4qOKP6uOvw8u//OSffjLxx++GEdyl/D6ey7iq/szjeX9YkpsUp5lY
01xrsOrvfrLgD6ROhook5En5mD6+8j8nmBSXoNVipLZ9ak3IGP9nfrJgVQn+OsZ3sQALsngexAZf
0k38j2P8NKfrEbZIjHaqHl2e9MeS6vVtjZi8D4xy/Jn5tLIabhAcdU0yi5huvx8SVx6RuOQ+qOEK
hAPbgQzw8+g89DwZ9wJm00mtcKikYJ/oRbF7I0EbnpDPaI3j2fWjs6KazNGUESejUPCzp265v8mA
JtNbupaQYZZJXlRT9Tdt3eFQ0ZYCD99p07940+Kf0nFUHDdiJ6BeAu/7BpNKh+/CpkmR+cxXBBoa
bca/oIUPb7AChy2AUgs8mXDTBXHOs4+dS2i6Rbug+KCzuxNunuy5Kj16M6vWxbVrFVPQwTb2jWpb
sS+7y0kG19R5UzK6Azjv3OjITytGFJ7zXHXm8B6AvIZB6aXq1ARZ9MTJh2CzZebE3Jk+Jbdz3lEJ
q43JxWKayPROIV29dGTc8jDvUtrisW1thnG+FYzWjvhYxq/aLEse4QVCS1/0/Z3KJwOUBk1X27kQ
zktkjvKqpDSektwz34y6wv7Hlnk4ze0wEgCLq7CTMQXfM+W429id1jdeSBZy3rtO8FLVPhhSbdVX
k4oLXEVTUX26uoGlnJhou8i8Fm/SD5hmSJwwuZmJO067uAbof5p3NM9SYOcbUm05m6cHC+GY/avo
TnYS+Tt6784AjckYa7D97IWTRz0RJB6zeBArtRKPAKH0CM7/Mn7ESZudx9kbb7igdBZtXL8xSGsP
dkhrGjH0jpDD1KO5mqDdgqVzj55Rpi8NgR3SHUZ7EQbCuWF4JRvZqb3z2LUd6rKeMSyO8i6BlhSC
KYqPri7NC99odLKMvt2XS25+b5dlOSdYre/hbmY3c8aF2kFW+1Twk/amnHowUJDq4Mo8te24HYOu
Zoigk3sYk3QAQ/N4ZvoR7WPt2x+p0PMlBS/Lphjuu4s8K72ufzXN5h1oy7wRHqouX9NLHwzMoiut
oLcC1E2/ldN47KbsvrFYHwC0uQ2UqQW9FALURk8M8aBqa4Izqmm2iNJ4mRv4cE/cB94NyGf3Mcgd
tzqaasrOBUv5W08G6YnzX53vaimkf+AfpeAaJlnGOC+L+RsnhvaYc03dmnx8WDQVA1yMdekJChHQ
8bJ27ReCffatU/ryKLp1fEU8DLSZN6a/zKFosHSXyOcwq/tPJl8oAVr7wZNXCbR+ehj4+km+U1vg
uPN9YlPPgiMCWkIG2WRDQCe+b6Y2xvaD6e5x8v2ZuO6MexTr7fDepMSw0hTH/GxWzi3DaJwkwLQX
flPRwm3Q4jGwWu/oL5ioaZx2hic/oANIl954dMdp/gyKtHyalVV3R8vN7E+u7/RX4g6E2YA+tmwj
Zyv5wORuY/lDEWHokngetIa2ArFTUgAhs1Ji0q+z9jDGLePSVeQ4NDqv7jjsy6cBTeccdY71LS9p
HuoMBsEcoyr3Pkkhpe4stxWh2TGNOWhTx3fLmIkHZgjugWC9uqqkKb8yLmG+1UhaL1gM1RUSl0Tp
XdqjL7EPCcxjt2RpOYYWHQ0Z5O0j8+JG9PngsIkvjhiyK83CcPI560Hy6gwhngzHHfuQVhQj5P71
br1clQ9+F5uPtjVZDQMqVyZnZHy4dkVpMlNj2f4a6aXcAgjotx7VJiT1HBDA2j9nnBG45zPOrYye
B4asRp0f0nJs+zBP/eRMhC6hsbu6NbMOOK0wHIrq5JRtkkCJ4+SL8sHN1Lh1uHHD3izTA2RVUq3j
Un3rB0YhZMIZ56bBHYVO8Q21RP5XLoP0ZoyjfC+sesEzrIZL7JYWTDHH/MyXNr8ZBmiNWRUpTkyO
R3xz5ju0YvcaBW2OlZUiCZ5F1YVWVuBfwI7G0CvLT2CzdVgIg7Zou3JfjaTdu75+zVzKMLn1k5PI
3TBpySobWT78sOv0Z9Y3Xuj2xgwiXtAnUmP5BYwLIsVuD4527BONGHeWYXs7Zk7GgzAqTptLXJ1i
IzqbcccYs3YnM1SFMb/NzernjETcPVgReiigR6MJO9vaYYh4Wkpv2pcOjow6ad4KkxbbolFi53bp
5+rBK86WbXkU4KLQ7UbCFFi3NFYwFdnDoxjs7GYajAZnWKNuO8u6eL7zXU/NEdtTs6ng3CNTsu8t
50lg97CuwlYLU8bEXysqOti9mxFA/K72dHaxZOVzpkefI6PqRMUhTUz+p67t8tDK7Nzlkc62kUMV
yg5MCdRR4Su2qVgdG/zFxUc5FwwCME+/S4A8AQOVOb0BGjccqkS0dDZLo31sFeWcSwsgYNPZVBl6
w6QvJY3bJXPWbk3FLJIYiCF/lgCG05Al3slDu1EJmxmDoEoz6hQ5qOlZB1KrrycCpn1FqrLI3K+q
pmfVc9V4l+bEFZsKuJc3sogF8KApHLVu6tq/488CKB87c/YkexN4ZxTQK0EEZpxeIF79CLjc3xfH
hWegbpzEJ/PfQ+bkgdg+pi6DsppzofxtkeePIhQEtdB6wJu5vEM3pZ8MDsc5k10wohKA1jZHsMcy
6EZ6gHPns6cM/jtnh3YTCzWFfiApOSkNb9/JpnuuvaE6MtoLC8xqZ05M+r7Jovgld1B7S3TjX9L0
ijfmR82exm8s0ytvKj0WOMePYxU4DZDxroEJyZlp49h2dc8aMB50kQ+3TAOWs8WG7CVFBThD3ZrO
Lb7uHfqweWpKR7Egec4VJ21tbZkJ+qeE2uWNgx/yy2od80iDY7+TDM/3fdlyPiuFcwA0elhU/ky7
LC2LjH08B4R/I7ud1a/FR9SfkfVqUU5KHeqx+yntkf1czaXI6ZS5B3I6D+JdqcZyx1Rkx3TlwZCt
PHMAsk+w+pxjWkb1h8PzbEtHXLR1+pJDn1+ZexLnNSsMmbqMydGDuxjiGkfwz5muRjcVJssNjFTw
4EUFT5q6J1IJ1m086Itlzb+EAPCMAToyJ5yPrgM5vofW6czUJrPVug3y2t5X8Vrwu8TJwVhwGvUj
q0rQieFJRZ16nm0OuFM6DftRTLdmzOHMI9HM9BvkXDRM1aYfCTPnEWDe2W6CPWjdKdlKOb3zQ8M1
Lb3lk6Y3NOLMzPZ2EldXswH0zecNJ852dZVvmyb19vQR2KETm8axSu3k7EWe99CgsG4ikhkXBg75
neV4xUokih5MBFAqX6sc3KyRWzTe5M49dyg2S3yDBLmkWT5UseX8XJCPEbyj6k5Olrh1tOWedVc4
P+lqCG5cTW8F1vv0m4RPe3HAQGCRaqv03RCluuGxWZxaDJi7vvW+kEUCImZ0nsR2pm+VLfx3xCea
dLKqwjXLQs++SGbNDYQmRJ8OiOqpLuO+R59oZp4eCBvxMlV7ctr6GHSw0wzHmx/p3OqXXd7pM5pl
tKuMoDrLKZ9fwBRWd1OZvIGciO7NqMkZefrtUXpNuptzeaAFIsd2R/7fS1e0DiGA3ZwIuKRexkrX
RHHYsG+iWIqHsw7cFNBU7ryaHGX4mP3yrtU88Ng/1m/gJ53v1LHnZ+rGuIC73kaSZKCzWWKtG+Zi
cfIQW8wcSu0yz2uW6YuEe751U9a9iBKCHUDxYd97rOOTB9Ox9tpnVw3xq29E7DJL6kM0G6Kui09L
nB/IhzQnAXIWO/9wz4o6YUtly7szHaLTdNjtTJNqOY5Zimru8StNR4182ZTnrFuhRTh2T/A/xNmb
GDJaPcUBU4msNSb+NjAxU0Axg/dT/BgHM/gR+408ZTW/ii2siaOu6L5mvAIXwFlY222i/3trZAYa
lSPYsHqlFS4jH5892neG4xMcSPLunsltBdWhbj5NLhjKJMXAYAXKZGplFEeInu1EGxhHhcB5U9J6
vp3idP4WRWnPfiErPnIRLPwpZJLKakm+OIxZpwGNYcewyt4MTFKf6ckaH/NhYeTfVlK8V15tfKeI
U+/b1GyOWOZ/OxCKBmDdVHLoUb6473CpbKOhJxGKPQaNJsj3fjNjGA7oYlw4yQ3ptun5vhykwDcM
MCNXFgPGGsc4hntNTIVBdMuSUjvWBlWy3iLf/wrY8A8quE5VwO9vFG0MFd3aCB5sT81z7nZmWHol
nLLpCEjvycc+u4Vfnd7jhMD6XVTzsfe9eD/bXctwrVYnJGX13pr18LEMjEoDL3JfAKwE13quoy/A
fiyfs65wznZOcODrAapYDt6NXIrmCs+ifPf8SLM3cpxTbbKlRYIEFRLM8KEE1lXzGCxrgV8lDHzh
VcUjnpB9cLDow6HTvUajm6fa30dd5n+ZVCfauFMdyoaLyPseuIbrkZv085eGLVLYBHNwq+C1MVMf
0sOcRHCmLDl9uDRMs3bklWDyPWONsavlIUYDPufOMj0YfY912UHf2OLEskL6SZfTwqTiMUDd/wC/
mR7cbmzeGtY3HvE9TamzXYZuPnY3PlNdhCbVuKFW9Kha9FQ/KJjJMPzqoftpQk1+Mip39Db9YPc3
roOjAgld1nAbLf+dvFh78HrrV5pXtGElCXNtRnny3o+FCU1Upi88OJhjm71Odg3gz5vJW6xzF1nW
3pjn8k07OTtX6pnvK253IOJFfbsWSt4WXbfiC+FU7+qEkuiNXVr9fe6p5o7NNfVE6IjzsctoRd20
LKKPcU1KDsavU5wat/QPmLO6b1nDHpbiwZwabSuwd2C//KsVC1zORdU/u+b/ZO9MliM5zi77KrLe
h8zDPcZFb3IekJiBQtUmDChUxTy5x/z0/8kSrY2k1GT/ve3WgiaKKgKZGenD/e4916Ly7TpAm01+
HZKQ74p0hGAeLkN2HCtPrlwzLqeS4xky7jK+MRUbnkNOoQ+9HNlNlky9lnJKT+FgZx+x37MXReNy
6y5ug/zbiPiGnlb7UhkqwaCbUbOdFe5RNAO5Mcr9qD2sM48orkOzEzYdJd5LD1ge4sEyfXHQPdFa
MNMiPHSOaLdxWPdnazH2VtWkhlZE5ZbdTA7jwj7efE2mqHkdaHO7FgVyMQAlsprpRLzDLBa8AJ/0
T8T3sej3Ax55S5a3RD84YmWdyVsSU+nwZvvwY12RJXdUXMq9NvbiY0HIva+LDY3XxZC26pqgAJXv
cuoEYk/RTO+0Wx/IJyK6F/PRBu/NiAKSZNZ+QbTaiZk7OK8Dqz6K/CDV2osCVld8sjn9tVftgbLL
8mB35MG0hWlOFQLmYm5oWq2Yd31Y1Kkxts44LoW5h+OFIokSVLbdRAK8YbXmVXO8tZh/pPQNXVLH
5ZeVlJq6k4M16f95aVc5mEX/StZ96bp3/Y97/f75wyS/l3Z/+5O/ybrOP8GXSYE0CyeGwDy66f+S
dWEJSxvyGrZlGdh4Rn+TdTGmYiJEbOXyxqzIvaK2fpN1MaZiYRX8SZTda4n1f6s+4s+kFhL8oLow
pnoM/yW8qD+Kuh2tdZ7u3WHfZF34BNx+vqv4/jXcLFL9YYVLfh5F2DZ/Q7UgX/BnOdnGqetxXHQZ
dKHxXYPQvzel98bLGTcPw95z+miXauU270AGOSOkg+0AGGrgM69TBn5vBTlLIvhOjfoa+IWiqC8f
hbcXRWPLtdGq+BoxGENJshmxOvYcd+tAM7IThka3dV4SQTqM8mrBxD9GvwyoMb4BTR3MH1DMV6qb
dcU2pfyvJQ6k97mW4WsJrgYelRyGhxkzVbPJO9SUFJk65VgU0Z402LJ/qxw/3YFYwetTlmcnrVOU
nt080pBnluqDdOw66dSwWWhM3Jiopu5R2zdGj9kD12//SwjTZ6+o5r7RJXSjdcKFAch/7EUv1lCk
GU0GFu09gZzWVA7+4JCQ77F47SLylcdOThmU5uQ+SHp/N0wQJzm00ApoV69pio49NuzH9khmAzME
7klJQwUtZSy519RHTeVSqJy7qhkhMWLVkYpGTnos+IO6dXdVA5LJuibTvAaWtZ7kO/FYspahQ8qS
I09S0POo9L6idA4H8sDqizkDOW1Py5hZG3cp+D/VHEIjM96Num9vCLp0Rxo19SpieAZkvS+ZWdIN
wmUeZ31smMKNqb+F0a42ZkKa6dy4P0ph7J2TKheeFE4Ua5Dt1tZ9D+TY0CQK2n69ELOmzKSShxyN
dRc1cUk+MMdODTUdRBik+mXUUE8ZuTNuhldFH5/lfDb2EB96h3Ovb3nWLSsqHGkOK4/zUph8Uzn0
msRgpjNAMVHCjZBSaRhlQVLGG8QGJ7wGesgmjsox73gNKWRuFoaZ65QqvK9x7wQXXCb2Bzmm8pPz
KbI60oqr4J+PPdt0fiPoLCo2oxbpbSbD9tiRYYJ5bZ1K1TSnZCnrLyXpN97rTKOsCgrWlq12x3RZ
U33HDVCI2vNY9L36viwGhrQicq++5DrHj4QOCSM4X67xI1XcFKa095NN6QSZ6SR4Kl1LtxurdMSm
9apFbl3LJl22wD+5CK2wcZl2Hh4kLUtQRZI5PsVxw1EE+df/arqAS22ELfS29RUFuy222Md5DMTx
Os6oONjScQXpUB5zm3g1Ds8gPpDjc55rrblkUj8JxNoNrgZw+N8jbguvKe5UWQ+vIcZJ6Dyhj0fO
myTwYsvR4zZwkVJP89jZP+q2IYWsSvs1V0nb77vSdn5yPIvCHTCdWa+Uaan1WS2zaz0GKDg7rD3k
GA2NJUydpVZMbzBhr1RBPXwvcThzYLfOuhHkrPmPWrtx6j/2KCKw12l32RWLxTlg/vTi/MOUyQ3q
6b4RlrPrZ3xS5SCLw5CE6s5zKMdpHTxGXQ7PFhXjJuzSfLXYKH+Sa9KmXKzukDXtLVQRc99m4pNI
KQyZWpfrqCvig8j85lL5PhekmFfkzyWy/hWrlkRWt5+Is1OROcltN071x+LpYTczoL4Vc0b1CzG/
8SYy+fSzLCMm4bgr0nNIG3bCAxxgnF4qoAlYB1z7w0dMPhWyL84h8vVEnJ4xj7E7tbHtyng/2nq+
srH9egaoXVkl30vrraOdoMIXucY95r7kyezvTDX0D6EClrCi7T24DpWHE/SVH41qWT8wKDhX/0W0
CQlUXga6pV0nR5kLJyvejmXMrb1LynvgKVG7dlUPLBYK6CMdMDlSubXobsW5iYtMTMqys8r+1ozw
K7YJLkJYit18F2iKRKFbSnsFdsDnySKqxmoRfwRwEDZw4oKDCnCx48kR6wIFAqSylC9Bge+VATpj
i4l0ODluLJJjfjtEuITRkA99Ict1XbonHA3+pZEebB/P/cnulN5iD2r2hW4pgfR4UswxU/m0biLc
wlu9LPhEUhPb1caaW/2ZWhgHr43L4sb3KujIEue52SbayiYE+AEnWjI8pnOc03hMlK3wFdVnid3v
uUdAkgTwmu5d4nbDoWkYSmyHYQhuCSeXrz6fE23Htj5wo6o+AVw592Zqo48ZsK/zZNqSZbZbqqTb
1B32fuY4QIs3DacDTqyIyVuwCQsojEURIhEfDYHynVuaZV9Iezj7abiZdPVm4QUuryUUEougwRiI
98BTNnJ+z9TRaWBRkiROu+eRvOhVpc6cW9/4xBVmT8tVMYwtbdHVQ6SYXoJL1hvTlNZ90dH5M4EP
5V/KdC9wdgILBr76q1O8jTFQxkcA79l2DBx9zrACWq4eVgrcAy8huYSD+Gz96fvM+s541ueoIOR8
TBdqMy2MHAcLaAYEVLwpUhZ0RhQT0Wjt7oOBw3IUS/h9CUUHdTLRIeLGr7EiAN92Iw9ANLI8Y1UD
f+aYYV1aS/JYTg0R+yzdWWO0Tbmj7Lq5lzfJlFYbYGA2nnw//ZxiyfW9H7pLYQK1Si163+tpAnxt
cBHFhkqQxkdt4RMat5wF1drYlWBmubxEBQNPWf5qgOKNLdoqusAur/eRaV5GN7Gew7rShy6k/ISj
Bh4zT3f7GjrTnhUooMOnIbiTa28r6GvauHjMDsA4HEzB4T2TCL6+pXTuJj53VBncVVIPk7OnzCrd
5pMf73XAJFopTfLXcHs4c1wwX6+t6fiQ0AB2eILNvZc2IRS1zmAJrqLxKyGo4tHvFnEWYZH/NJOL
2MaWc7SHcPxC357HfH6q0TVdUROJweCziX0R/RTJ0h88dw4Y/RWSkodMRHtrCFyU8dRO7oFgsXPm
8SBOKBPYdGSm3kPGijeDkNMdqlaO/ZLa3JT3G7ExDktSxwO0tFMse/j+oe2eRTDYz3glox+FgeyA
nB2Ue8Zaac7CZEfHrBPuKeatFkg8WbiNlZUynJpMuiLJPTAaRqDYl0Lar8oJQgzCznDN/07hOpFF
/MlgTwyYg0K/5kOoqAIEbPpMbi07pImZz9mULftKzMMblDC6U9q5oraQ4wO1WBVFQqZHguyEyAkY
JGp5zrN5/tFnHpTghhHdoyZY9BhSP8V9OKXBnKNtD4BD+ruMouvXYK7FbZRU1Skh6rmf8UWjGTAe
x7+kvfgtdVq6xEtR0DljTc/DWDqHgVbvByskwtpJj8I4UwcXfJj2uasC/83Cg7xuScW8KSc60nvm
rrwuvtVB5gHBiSlibC13oLU2p/sbtYHRHyuevSK7lt44QsHm9bVG7MJDQytLOq39lpvFqkd1LPCB
eDxMOc2PtyAjk31I5ddKDtVVtZwxmXTWcgQ7ka+roLJflDcM+arWHSCEaKRCdbGoHb9ni2B/62N/
mFnA4AKUBuZPgfuBgX9FFZeqgLl4dIvQG5qt/SIEHdfYW0va0NcpvtvLgRYEUlLJJ4cWipc85P81
TTb0u/bTXO1Ld9THph3MV760y6MVGk6b7lTtc80PCSwhtxlDmC2Q0ZgQiYrv60nL29GIYXqvlZza
B5AobfFkeWPsbzpEkoibCBe8NTO8bKRvQE/R2pEDrjS/h92Dj2Gw9m5TZ4+lM8bPU2OnPxcU9z2y
GYZx+rnjfY+M9NDM0v7a16Hz3E+jRMDTEpw9RfbLNktJ+callXxOo5edLM9R760ju3jlt2nKx9F4
06PggPpDKwak8Vgj9JTp1D7OGsCjtwBk4MBmbFY1t2tjWl1ylmxtVI+rtxTvObjDFxdGmX4OiJN3
t1HdOmq7ZOSvt7YBzRGXOJmZz2Y0T7sxKeewjIlTMNue02Nj8xBuegacGed2o7ddOXu0reZ8e505
C+xNzX54ru0s9HBbtw02cj/BzWIxcmutxqcOpvFpb6mHJj62da++FmD49pUdNq9NKPt3DM0lhYZN
+6hd5yG1iCFgSto0JgjO3QwsLuY5xNfoiffMT8ZvcRVmRy9101casK03u6ndYOuFsPWoxJtOQzfO
O5KO9Z1clPcQY7yi4iueooOTFdt2bvIjJ+rkZpLOeGhND12Lt/B98OMBwpXl3TtJo3cM5fY2pr+7
1M/mU+dJe0NYOXusKFm/hJ3qf03GKPeisw9/UNCicfoFFu5aL5oVx48ucRJ86+Pkk+DL9MCYJiLZ
0eqS1VpSqWa8IfxJGxA93H2Z7oAux5thlMmrDsL+y5jxzSmsqvuSFXG8iSZPXSqimqeUqr0HJlM/
YycRa0mt1WPLcfYeOkDL6SptfjhQTNhBR3moiN09L+jJpyUWYktZ0/ia2ypbGbqObqkyzu7rRavt
rKlv35Z2091MEdQ+TfDtSO1t8jAgAGxUk4LiArzU3PfcST/aWToPCZ6Q3UyD+MoEtb4b0HKPjDS+
9GJK680USMoJ01L126kmw8JIQu7yvlvgyBR4ZKZerPNCcQaif/FtoIKPKT8qBm3f4VuKJPctYv6y
x6Jvjh45xEfgCZRxcRa7rbp42S4m6i49dKenjlMeo2yagncLCbQT6WGK9AyP/GBY7/2m7r+lqa6A
3Hbp+wyVySXlz5XarhDNkd4zzFAz366UXWVDAxqFEyF7SjBea29n7lgQlXc0tWSXijKX1yJwzckF
kvBq1TxXJvFKboJDtWGcQMl4oux7H9TbKfKpJLQGmEnT3MhLYpXVT0rqgSSQKpAEu4AfipI9bzVX
kfoM4pwbVq9LfRaxgeqwEGM6WDxoSKbFYNG52+XEUtu8ize15TRfuqlpqY4OJ/spd+fm2dfSvGdW
grbi/4q4TGFbvUEsit7HThB/CWPWlzOcSzr+WP1el18BmexXWIa0s6N3WU76Le5G7lckntXH4FXe
ay3LBVnXr99xzTeI7cL/UnuING7Z1TcxJzXSI6wd/EIZ8JGKKFg6+M5jaLF6254mJ+QOhviGGS60
x3fvfdkPZ/uaBTIyiLamTosDrdkkha6ZIaYh9qqO0+ZN+yLdYQ6wHl3Ij2BFRIS5at2xxNdr4rrV
Z42pb7olKJC4B8vDSeXivZ1X/Rjbr0CqyCw1+ZT+HIQT7Ai1zNs5mydvFTG5IsuIXeRLzh1yE+NS
Pxg/JbbFi485E/zKRcnEOCUS8KBvZjEkX2WY2s9+VvEApfbC72CZ+nGuAzMhBMXVq1O2P82v1FXr
z9X7grP+Z80ZlIY3i2UIxXuTlG29cQcL8xvprTxG2LLrnLjgTHbPnTcdW/N67Dq6Fq/xLw5jr4zf
69OszZOIRrmP+9Q6xxlxsTAmOEZ0wt1YHs0sfRNxSg8eu9Q4d6C0yhsRO9B21K8c2hTlR7erqvOI
E+ZIEySPA1lU97SUuqcdJ1HXbarEAgVzKfQL5iih4ZtmLeepn4NLGs8JVOdQ7+0wEh8Jj89HA6Vi
wbtW0+6eFO3ZS4R7GbhB7bxCdY/Z7N/PS2Lv2ZuZ10UWM+DOpnykt9xxX1ghmQtEqTtXirurJvRV
UMNHcqcZbeigVpXdcbLDxSZYry4JUX3ULoilhGKx8sF24OKJqXFx0N+WbqOmpHilLq3wVuGovQeO
BoWzzpM8upNZivI/+nDGncSjyVpRh3udBgTRzPeyiEL872Bqdh0+BniFfa3PjkZLXDu9jL608SB3
RjfmawZC/ELeDAuWl1gs4M7gPqi0by8tP21dU4R5n8AAvYjGIk2NM9Y/90y3Dqqm5ksSdj+TQW7O
qZMGOHMx1lWjh5InK76nzIa7O8Q1021dZTjSBDBUt+1gzeNqcZpsGzvz95DJy4awJPT8WIpPiznx
cWDg/+SxMq08vyfo0zYL88klyHdxBpVWu2K5w5KQ7hPpY1exszK4THnXPCzWRLdM3wr+kaWqgwfO
m2Fz4Z8at8leqKVhFZxqYrNSgWdtEK/sFV9qsFiukK9A4x2G0WLgzIXzVhk2s64mbElvKdc9IkJa
Wi9BN0BOmTHI0tALf040ybTNpmJ68COJHW8OrGNXeM3JqgUoPatqv4mUA4gV1+nGlFnKYmwOXNcZ
jJXt3SDqbqdzIpw2s915xd+6NPUQxSkmf9ypgu10UyUZlPIZd/zWUQnf8XpAbvCCOdr3eattNh5K
Ee0iNK+kFu3XYKQ+jyFllqxQrkAJDV6Wbv2C7BcosbR5zomfi13qmgn3E/P7amcVaHnngZYpJNmm
xmlXIn4QtMxj60uVOeYUCOKMzJkRB9YJWNtHrFU6ZejvpU+JvwB5KEIMmSusRu64ydq0h4dcLvul
H71vuVy8x2AKa3vng85pt1mGz3TnUv2HEtImIZ1bhSfJe2IBfzRg6HNcqylljXkQNl96R2UfgyXm
hdj2KJzjdE0PnBak/ufUWaq3VkXj3sqq9m6C+kRTtNuaB+IYeMYkA9L7ZkSIU4ODASLvvrp2Cqwz
MDm5+jD8ZtUq2TXzBGFH+epkAlm+ZuaKM6uw5u56L5HYtO0CIaU78i4sTPabiXo44iAYf8L6qeuG
aUO55vKMfOmeglb692om+L3JRmokY8JVhpJJFXyiGngUEFSSkb7QjA6sabIcwA2jPqAht8tax/X0
lgYeGwQS6nzpSsff9slD2vh9v4krL3zOsbfcxEAknNzT+UaSv71Ekp3ggLm2wcQGX+gDbpCpKbyb
MFdMADSGFaqz+4AtQmGaGeci3NBbSbyuUyi1lCcEVb5RsC93bCPyvnDC7gGO//IF4Xx8sDDuwPOz
MdIRYN93plEvCjfxHXgmZ5sG1ih2NeWUtI262R3ZiJl7+Rh437omT7AGecW5s+zhXlsyb5Eg7cQ5
t8HE1MW2C/6aBBh655RT1rrzreFtZtSI/M/hepe4U0ZULp3ucLpj9PadPMTTzRvxUGd6sUDUyfgz
gg0NGtyx7ac4ugLb0lKUT1nKKJ6eQS7Qobe4bKfGXUNr5CI1lcq91bVtHgFIikc5quputtwqI9OT
tl8Xwty33pK13OXbwLsIYxH6SSuTVYe0a+0XLwnlGe8H7M0Sn0ayMj36J2ZTsGbZbEXf07xc3puQ
L88WwxF3z0G017zmQmebNyuucYseii88bcOwroqUnQDVc7ozQkXfR6u7LnB8ifDJFl98X8mjsrvl
Qs+nf2LATzNgW5ozazsbkAnFp3F6nWzCmp2P7iDrxbPS5gEQr3+a8AvdOGM3HBeV9D9N72BF4LFt
V2MQttAFumn64WVRudFFv+EOUWTrzuuqA+2C/sll3d4Mfl08OSTxTpYEYrDkc/9ZZa1q1guBsX1T
iOqQOf5UbUBPtu92Ax9hG/d+/cgVCfWbkMRLPqjgAbZbAenM958WqfmLZh0y8dC+EfzHAowTlnFH
6hvr1OVi3Pa8h08QDrvv7EBlsLq2fT9bi62idVVqmW5rk9xjnDaPUMdcpgesLdXK6R1wsaLr7kvl
F+fG5g/ZEUDUePH8e2+qUBPEXPbfFmS164Y8yEvQU6gc+dxKgLKMxSOcjpz+4DCTDW6eenkgwMQn
wuEGDkLqPTDcqo6FsJNHQ5x9LfPJJcnfctVwar3VGr7/kozRXTnM3ok/FlOG1lofNODoNX/7lkRD
vrXTmuBVuAS3vb8s9/NUfra2uynzHmNEUpOUz8L54mFMfUpHNe517RPtSMKnmVzqNveKq3MH6fLY
GQEvUI0TLDkciM9q5HWFns+XZ76mYAu+1xiszbgbuL4yoelROCxsiMeOY/s3P6m9+0gIWuMdNelH
hwM9N4HCJakSgMpZDdPUnNLBVZS4hbEhBzbpG6ar32udy5zeC+PeJbH0L6NXOw8Tcsa3yg8cd5WT
ce647jK+SXqeplHEB1ZVkgtpFcAERVPAByd/NnQqU3sqWrBwdm2otEZ2xyWVu+Nc0kkh43Nv+dUX
FbNlUS3NkSVB4cxtORKoY9pCYMVuXpmndseS9xcbdFcfpkQHG+ELtQ3gMNZ7oVyH3TSeGFp1XfnN
UxHhnWjpt4U3Bz8hSJozRghs+mz3XwWgOI0zqQisNflB8HKRy0HWz5hbqaXnBiPtZDwb0BR7WbYg
apjmIPc27nvjOpWD5bqzjpEFl9JBI0nBV+TLhXQoi1zotw1IapM8uRUzH6Al43PqT85nPc7TR8qx
9RmmRK9XHnke1v/oiggLs6AmBzlN39qc+eWKVYHAIWseN7ySOx4eORbjoQ985jB5p9ho8i65jJYQ
H4WiVXI7NhFhAD2zcc1V6B0jEsNnXhQd3uzBNMc3ikSOi/sWXipcXW3cxtk0saTQPYuK+Usb5JK5
TRLupGzY86s2Ae/miTpa15G0ok3np8ulT6Nr9n+U+YlmOHOKJwNQ0M1n/zvshBQtTzDxwy9bs1vJ
tImw3oczzb1lmtDZ1Sm8SlnCLkYVondFKXm9am/CaeLH0OoXA7yj63BdQkR6KQbNHEVWOcAcf6pX
XWRZR0T2Eke7Ntf/YeRLh6s0lS/MbFVBWl2CXS4r1/3EJFfdNkxQH9i8OLsUbJeriHiQOXaitPMN
jOTpDb2ZvkNqup/j6+2qDCB193E4dWuH+eB2TEW+mdJCXIJwkJ+5g9u4Q+7bWVEOvcPB4xPtXFwE
6xBx+LyUQPpxEE+30BeJfNtXkbxMaiI2YESDwLP5Zg0UZGbjg2OhjILu5XZt3noO4ac5qoBcgvQi
OWybzTi3ww+7cbNLz3HilgJQ1q+FtljfF9WNNTQSkyD/jTgqmSkIMeJNgC2kXT3JL+S85LbuBAZK
zG6QC8HBviV9szzoYahuaroqGaPb1taRUXksbF98L5qB8HgT6Juyr3EmLW2m1006phuQSct30q/J
AYajfwRmQ367B1wy1n3s/n9e3f9R7FPhXMHQ8r/n1X35Ybp/rH6Q+iz+4Az615/7lzMoFP/E1xyA
RPTJVP6+QCAgukmRIq6Y0P5VIQCX7jdnkLxmQVkqQ+G79Cz66nfIOvufroPVKPCFH+Crcf5bziCC
o3+Me3LCDyU9jK6khhF86x/9Ob5D6qBgPL/XSZ/vWkEX1xB76Yb0YYBgPR9/9/bc/ytH+o+qL68b
Smf+5//4t2o1jwoF25aOTzMPpMhf1Su/K0ACXxEpmhPQRsma72OZZ1e9sX0Y7KrZTjOaVxktzMGQ
zYVhqDEwfskSt0dtomWEtURxsoEitfmb3+vPXQbX34sCysCh04+mB/9PPqXrDRdYBAZK1PVvXcXv
YY8I9IQkDrRtn0KgI/sawXFHMn/aJPPFJXl6+utfgs/0z5+Fo2wECyE9PFp/9kpxLaX8LOuDfYM6
v2fSE50CzizPf/1T/sMn7vBSOUiqkOKl8PrPf/cJ+LzJLPZZQBG8e3Dz8Qu1ROlhTKEbtaMZ/+aN
/Q+vyVVoLHzirnR4kP7407TUtqAlLdyHFe32U0D2NesBO/z1a/qzy4xPD/TMrzopPG6A8f/4U2SU
2+3oRv7eTQgvtTmiR1X0j7D/vv/1D/oPbx4NTbRJhbwerH5/+kGuRQHbr8c3SlGASiv7iT2HKR0E
LJXlt/8XP8z7xbkE3uWKP/2wqXdqcmmOv6+Vg40B5usqGdi+ygXD1pR5h7/+cfL6Wfwh+s27KAm6
K4cVgVKPP31WKc2Ni/Zj2tUtmMV6gJo2+pF4LCBbk7RI8k2DYLpLOGkcljqrdxAJog/UOpCFFfMk
5F+9V1U5bFTuAf8RLo5CTwUF3Z6ctztgO80mSCq8T9Df2f9K9vYVSEt41jXg33XTLUxJ3AwAtsi8
B12W+m8gtfZ/+J4DEvNkKBFt//15HOE1je6c+vu4SuQxc63gOA8ueIXBfbFoVSIvZY6Vjn/6KmnY
iXP5THYu+Ju3+j89ryErtxOyi7vMkP/4vOoMLjgxuXBfFD3yioO7hAbflU3u528smP/+k0JaWriv
Bipwea//9JMoEDMj4wiomlFarqeemB4x/G+EuOX2rx8fop///u24ltDY4opYhRT165//bmlpS1tZ
vjQg6TiZbfPBSq9W9emeO9L06Fk8CLLtnrnNlNsM2km+6QIBcIh+D0LMNelm4KR0V/iEMbjfu94T
cT333UURODB66Iq1AsvyFJrOuUEDqs95QkS00lD5Vo3dZ9OuoPGDkSvwRVH6/ZH0QXBoEsdDvWcA
bLWm3Wjdyq1yNZ7stheFDe2sdqP92Em4ZaUNLJUqhzsaFyesTInxtvEwSW7kQXoXiTJ7x1ZQHh1c
DltRhMthDl2LyWTrH/O2899StTh3o+SFLwZPkRUx/nZD7aHnyehiZzMu7k5ti6gpkfVTvcYzgRcf
r82zI3UDKbVq3oNYBCsy7zBRkrnl7l1fQ7rVMO+o1AR/IrrsyRJNexeIkp6Nidk58aaJseE0qvat
mYbogkMqek3CJd0PZRt8J+bL2TwS6mtuZV+qgpY/moJq75x1+o54obr1y2SDlntQjlUeqsGGgqWH
WD7i7a3NSiVecBaOMncLFHPGHK23N63O97ycZh0M3IYo1EByXWD10Q6QkjZilZpvQhRs3HY5Qxsc
IVHvo9+36b5ox+EHRybeE5SgmyThxlODOMLiFNGl4yrZM+p1zBcbt9mr69DBCv2rMQxftAhfObZR
7si0psPTVTrHvsePMba4MbXnOjft4NH62Aqo2ynJJKbwC1s/8wJk+lVWOHW/yYcgPcg41Lsq4POW
ZuDtGyxDFQgZERBWRCFWYrDTrdO47ldKI+czjdjOVxyIgmu6yJO7gcCmuwoG0Nfc2wUYehaPiZXT
mTWj7HIMXxk5dMWrUthpByGy761LUmDlRy5PfIhX7alAe8UkmIzNNuGIcyqNXmPj8n8uMTMxErsp
4rIAnZTtA9lkC5z2fr6RedlSi9l59SYtxpmvEMj/hCHvXi4ccFasB+UH9c1DCIkMK1R4TQdpmhjI
j+T9YSCyePEWCwEtc+JwXzNm0muRl+UmqKLbvJ/iA2IxKBvEG37fZMQ6gGiINXpdYoqjr9VKlxs5
ahCUdnvCJ3QF3lTlk6pGZIJ03k2YtZ6lCKctI+VuZ/jdDqNVx7uwBT0buKLk851ghXkTz0fBYC+E
DdJ7O79m+IZ25Z/V3P7AidJu016TBAdm9S2MQoYIQ6zao2VjLvasTML8Ha7VxwtjIQv/7KYtAFDl
OHhQmSocO9PMCK3SyFmOG+MVTct3oePsNqvskfC8jj5ztbgR7J8RNEZGs1TBR/wU+UocstQqtuNM
gZU1sQtzFNXfBwaXDzI08yEcrZKkSB9sW9I1O6ofcBZSIjQNHBCnxXbOkRyz7XQlpeo+I4DWnGI3
DRiiBi3FGctIhMDEAbSI6AXjESKttuM7i5TRGd9s+I4wrV7k4nZbhvjKpXlS91cbCZxU4daHpOyg
F7no2m5gxac0h37hNRyOkZiTc9wMb0GgmSXUAn3fZbI59n0PhHOpLl2BG3fdOOOyqUmEgmDQ8Ip9
CzHS6TMG8FSurMjq3pJ1SrZD5i9PUBTMBbhd+jGlrLgCWw5xFjvdt20+3ZuhHsnqAZVo0JlACS7h
i9c6GPr1TFX47GM5DLO3nj7QfW3K6QraAgyHEFaUj1ihwB8mpXcce4XTOM828UJooOih7dbKG39Q
yNMhYTQolHzXLPuN6bS6OIW5UCCPO6fJ4vU0inktndm+gTXmxLhrkmKnC58Lf1GPu9oJyVnaHRcK
3McrBK8B9B8Z+512fPppOzQSatN/Th5dPKPvPnNIWvZ9y8idscPr6OG1sm3P3Y5jbV+cqntoUn2j
MpR637bQZlnB91FUvds1lje829O1mJHWpBqgNGgaMtmbJKU8eJIjQkQ/qtt27KPHSkTlFiQOvrHA
uTg1XoDwCsmErToBRezbb1FIqa8P+nTtzcs9k7Vgl5HSGlcelp+3ymcmZhfxvMP3AJszEAyk105l
EZSu56p54Vw2PcgqVYcCCW6v0xGqFovNLaI9ZObWCp8SXu9XQueD3uRToXk3vNKbWM5b/Kp20df+
Bt9pJLburPPhv5g7sx3JkTNLv4qu5o4FbmYkMcAA4+70LRaPPSLzhoiMhftmxv3p56M0ra4qdUvo
m0ZfCCWpMmNxd5r9yznfCWXNKwLRfPHuClGBMIk5vF6HROlfIE5xJrVeoPpTzJLE38uKrN9OL98z
yutNnK5yC69/h29an/hy2L79Se8zFyQKJpoWG3/xwNm/Mzl8bnkI28OSoRW1nSD/AU+pPaOTZnjf
LwtLwVVIWsTJPk1RMVrS5zEe1RXJSdMFQfHLYJNxFAcGvqoRtwuX/J1Ed7HXyCNy9rsWgspIjnxy
c03Eg+e2j6QxPnqpbo91kxkbzOvmEZdYdp5m4qnLtu9PPehFTvm+QpVORsFhaG0263UBrgNTZBgp
2I0jwOfruSvtu74p0l1lJtWP2nd12LoCLsackXPHaTFBhf/mQmKQzBj8uEhzeMZEiEMkncT4pYoF
8FttVmQiK02UCzBUakYx7w2DQE70zOVpTPV3bdv1eRoj69GxgnaPVOEuVUN+nhcBqTlwGLNZljG8
DHkef4slV2HCe3NpmdOePNFGe6MK1MMC0gxrfvSpgra/tSpCtosUpaL0MyTtxLzlRyjZ0wFKPFIT
OJFIucx7WOP+VjuJvSd+YdovkXAZ/btxdc4EnwR/ss295fTdBinnsq+nlEB6EnuKTVf2hA6zS4ZS
T3rGhz3ZxVVU2Xm3rzpekUBmxSGqAuvkMpwnk0de5W7/NqupJs16up2KWn9CNuhJJ3KaXWwVE1ta
+7Z3iGALIq3fHS0FMs52OJViPuS18YK5Bp1+v6CZRWhbnWuA0GHS4OuOe1k+T3rqbnEiMLvmEjxO
TXyuyBh6dpsEDAyy+l0bDOqzrcaFm3tNkraxAm0ZuY27xuZszmsZ3wJDj++tASszm0sJucCG0gr7
pN4xyBjuGJO/NjNEnNrorxOb2OlyHkPAGtiHurwhlWzaqZqF2GaolwPqK6SmrGY1e5wbe2FpYKdp
ek9hL8CVZtFuXjDBbCrHByY7VS86M9J941XhkBO2KNNjP1rdif00uzw2cagJPATDSEO4+yb3CIgX
5bdRoQVB2l8Lbz9LzKwY/Q3/HNQ4j2wnRYNQPA0TngBA/wi1RwGDLm4OlPJ56McoqGWSAaRkX31w
+P4bVYqPrhXRm1fKbtMA/DDHWaIZXI7ob57nToMLGdDFGf2Ln9nDXTJgex7Uj6AjAsFJjA/Qri+2
k9+Q/fMIzANrQ2ld2NJ/xfmXGv3hgLixJzAmfuokKOWybdAdeNepsG4Mm1wg0NP6ulDGteIThEY1
yEHGO6xQJi/bx8j8uaUQnDbDwZFt+bo4n4ziir1vt9bWGrNyW7QNOhYxw18udfrU16BnOl09q8V/
kW3Gf9r3vIl+TrW4ToD1ubborjQyKHD2irVumTwndnAUZfk0+hk4+fbE8rbASVrdOjLnZ7dxZshm
YO/G7nwDhWnc2Eaf7VzB/CJpbYxLY7sfZfGQ8VSdWHf8YuxwkuDcDb8VG6StrLkJWW+zJDpKyx4u
MMnEZW48/QVFLGBoJk5IZ8pzkIo1A2oE+jtGv1Dz05jT7j91LcrctcnnkQUG9JEsVrMvNXCqqBR7
FZikc+cFOsFoTNZSSrZoIpC2JAXJyHqqsp1voSYIqurGdtlo6GqiVmmigOZ+RGUe0yLokcztXhjU
MPzCmY0pZ7J7TEHwRTDM8X7Tt9ab0fAefRlfXGdMt9JWPwfSGXVHnV9Jqs8yR+omIs78Jqagd4KH
ZHFunCx67ebqtkT8s6km3ncQOSaLy0KdkmRpuPSrZ7MjwVOBeMVH17xlwDZ3OAwa6DO/PMN9lYXZ
bRfFnT03mjeNsPnGdnqAF0P5MjEM3cxCFEeFKuwIoZ+0C+g0m6aFIZwOPVAhN8HHyEDk7FXrBsuD
SduW4EjQwP6sWEccXCn5TQlLJeNvuAirnUlNctD3whb+9sjuu7CZpLqDXbmfUYbsDbYdECjMm4qe
ZZ/R/5zHKqI4wjQobHUHIRVHdeO3bwn2chg5UX9gxPJIeEWNJQ5bzRDfYl3rLro1kFBydoRQyEk6
DmyMjdlE35wiqr9dbGx/Kp3yvYlMkupfvTo5kosexMfeTqEPALRGBTnK6cnGEr/xKtyZo0J/ABW9
/pj4pc6e8oqdnHhLbatvjnZi9AfuW/OWwAkMNtjTzmV7rOYlC2WFUtOc2yKMWeDf5PizX7RVyxd/
El/RZBHXY1fDISkc8xWLW3ck28N4bJpB/YJPE991CnEAFhnIYdDtDqB9hsNUgkQZkeOAH9Fl6DLG
IXIp8TZmm8IvHqnm4ahY2ns2V9MkWRnO3gQnAuCIGR9kH42mvU+a/qTLwtygWP8xt5SK6FfzjyhO
qjBtLYhOilKoW+VOAeIxZtUZtVJm4mZoK8H+Tspzo7r5R493n4ZJhgWP7x5ddX9aw1vDMUOoo8p4
ukvZHlMt5s3Z85Jhh/fqPmEQtR1K3vGFlLEjYSjWfmKWkhP30BNvqtMbd1LqRCJECKR82gc86PRS
yD0xpwyIwBV1JQvjm2DsKXCrItmK3BrRP0TJqVkGhY7Oloey6MhjLPMVjZ0nh0XYwxGXrX+GWRsx
c6nZtaZU8zRgj6O2HXDxiLrl1H1OgTO+WXnMpnkpbtopIWIrXT5px9VDMLYF2kdlIAkxer23cjVc
GaZ+tm3xyrfVZxDmp0T2bqgTymENRnqrIkZuNp4LzRulklvbNJgNVejOw7I3mQWVBoEqZQoM1q/4
+NR1sxdJHeGzz2z3tY/ZV/MRbF5X4DcA/RU+Av6a+Az4Y9s5k9U9s4rquTHGYKuCpHnP8sR5SCEX
3tlt64TJTGuI1C1Vd7kd/CIlKnhgHie3DdRCBFkNQPpoQZxB1A8Dpt67znWlrhGG5qEMJqRzExqe
po0k7oi6PBhoZ7eIzquN41npeU5Q1QB6qb2NTwQCALLl56hd8xgTYPyW1ApJepYpJhzyF5vUjOIg
mLcsCOKQ9W1zKZwITD0pg9esJ7OtHzjZiY/fPWBRwhFUFbfHif3fNSkA2IfrOr3CxAw22ECTulwR
5QCIz4XwfT/DbPocIKTbZwMpyWEYMZttHbl4bxipTQhZozeJUPVJ+o2jQXlbp5mz5jqJuxnKGGbB
bWEaKgp9Y+pcGN8KhJQUfYi2kE5v6ZYn0wZd1wwFt+Ocuzu2Jo+Z7DkzAwVvOIJQgM5/2vlryJBZ
Sb3NdSOeo7y6yjvIUiCdz4WHfqHOuTt4VovlplIljiOPyKeN6y0abRzL7w2L3vqFb6Sey6Kq3/L1
7LTq8rauunyfVY13LZLA2mOzAs1EemVFxk/jnDtR2uHiYm3cuXUbHWHTD89jOy+PeTS0T2nuuDcm
PJlwNFzoNZUBrsTImLLroimO8NMnwiG8tIflEy2ECc4WZ+LqDyKHEYQ5IkNc2LE3GmGKSNLduImR
bYsOx3vrxczS5zaPdjkwEzSnfQ8VXLa6YGE9Nu8I1m2xvif5k8f5c9uXPsTbShjlJqKZPPS81P41
93eS71NbPUSCcCkrf5B+UB6CIYE9xfxy0wRmDB2zv3NjJC1McoatjgYo0INxy8AdVziQIE0uQhiz
R9ijoWXzn+Or9SBLrBDFbU+aDZJC7JNTvoLAYOPdCLRMpI/oF69Ns2SX5ISO6LKR75JW6hgMSCsU
mR7hCGyIXVnXP9BSRjz/JbB4LMuglRt+qi55G2duP1v0U2hYuXlg9PG5aCx8pA0vm3oZX/o5ObZj
h+qmmtGJ+pF5p8n3C53AN4FgGjk+TnSiVVcV5LDk7dnxU6xDVR8izzxHLu7qLZ8W+HdMhUOmOv2N
pzP711ST0bErs7K0qMFn7wD9mQwaAsS7KzI/+oPnEWDB4WX6n4gfggMO3+aV8UdzX/m6e4hHv3vz
Az+78MrTFzO621uD8i7UcuNqfPb3JU/fzhzsry6BoxYs1nQRCxm1G7xx0S9msFT4zMubq8qJMUO7
nHnmZtCe5+1xkq2pU3ELaCCvg677JjPTmkK8sYsJQ25i7ViKCrmCdprgmbu0B7IDvB4p5NzTBpPZ
q5ZTF8wNLt/SZKXqd5jBSCy56USePedyiEIr8dtrHctxF5nrxiVKjZ8zjNAJGVxYJDVfvR/1gxgb
9wCewLwwFvH40hqyTKyZ6AkPqRYJLWUZoF1o7eICZCwsE9vcsOmBWaDIIG3c4RIVxY7sbY2iPwvp
gAiRUM13v6jnqpuCZ7BIFddujDse3Zcud561vJXV9LpoSIcudPY9DoqdsabV+00Xb+s5Tc9xzUyI
hc4pLlLjRY9GCiGJ2SVjd6xdyZKSOTlheEtcQAN0XS1ZC0ffDGhm4csweEmUc6KChfqYKpI492bH
rbiptQ/GStQAKbfK77INYfQAV30D6dSGrYpxWxOtXu9No2SOw0QjeUSwKq4o+uoTkad1iNy+eZQD
uFMwNdKCiVVqttQMPGQEiNDu7rSDsZUDzJFPZty0R5XHNJGKbqXeOZGrzpicTIgW5jztc1+rTRsz
1jRHT77xey2YTUtQCW1PWK+zDMih6FgKtGMxhhrYn87nbLcUvRhXgh3iRzgZTBabZ39eD0skgIyQ
cydyvl2ZIzEbsSkeMnYIXG/MS15RSHlv3Zx412yk6hv8v94Di0/vJG3HeTYFCICdFEaSUVW78Ja6
Qgc/SMCpV4tPWZ1QCHcmn20zZZwmGdr1AuTiJhswVuwMsPZf6LKcZ1TGJkjirPnOvQqmQBfo8oIj
H9mzwhBP6FHg5p84DE3iUpHVmmxGHlMYqvEuTwzNvVPLn7PneheE5cWvwluiNaQnvvRT7aLTcVDb
6j4u3zMRLOeGpF/Ut2PAGKIwaJjQnpL1EODyegxwejUYvF3rXSOzOo6qG0oMSIm8y82IaYTf6viO
aG1mu4mxt8FRvZg66L7ryq5fWCJFryX5PD8Mnv3Q0LzyGS9njsXIE8e5SpfXaK6TN9B4KxJqjZ2x
lSHfmQK7PwvifbYE8yEhWDXTrqaEh6rkhRUfkXNjuC5XSp2FpN9O32Bvxy2M/n5bkV+40Wi0y+0M
r+zFQLx0ciZzvlHjSDQAeqat6WnYgrOfniVjZkBDRkfEfa2i94UhCw9AXbQ//KqLzgu1NkX1Akgz
pwBEEldq0vgG8cTlVX0NVV/f4c0hbMqmCtoIoXCRpRRBVm78TBn3IMRHRsHsxkRbC1zjMBBCfYuO
A6Ebx34bOojM7liXdXR5pPyFIi0oSiq7bB5nPcKqyucC3xMR4AQjkcNyY3djcXLH2T+t3I1zinLr
Ex4mi8EaNgFBh5aHT8T20+JJB6Np7jDB1zccGH6zAxYs72yYtPWBNnmyt4Pd0kXj4M8I6gI6R50t
PfvDytR4z8B6vDPNqH0UCGy/RNsXNwQ25LALIvkduMK/iSAnX8euZxhb2xqcb4El4QvJ5ehCF6j7
HxXSk7dMKe2BdfWUJKR2lVDOo+tGSPwIw+KjGuwSFqRPWrTwI/1awEpxI20+GKpzX2KvLD+rWL1Y
AVPRSlORDDNOUbx/sYXxQbT5HRr++Z0soMQj0LaseuoprPseo/flqDvGeiIYdLmnDeBF7puBAsOQ
zWKes6R1y10C04x9wxSlt/PUCQxDbF05I+LK3zsg96+wEyhvlzOv2I9Ly0enJDyl2No+lw2gPxbR
hDSZN0PrQojgI2Hfmr3HwM7rYJEK6cXvPXiHfBcr/QaGp8l2pKcnp6FU9UPCG+XvXV+7z5oF4Rya
Zet9Uhq5wwY26vyRofdluFI0XnZsPOI3tmyMiRDh05zpA37mdTKIklBuvaCSPzESkYXeUPJfxZEz
Qjxcb7ZAjoeYrAu9MbCBnmNv/qUUAFE2x+O0obXmOaFG4jdgmWDZEnMNVy5z7Ik9DrSWYik+VTxG
jCw7Mr7ljFTEsq4FhNuBu8BV8uDAjUqAUM8TMSBCsfBw+BdPVjcMPfEmrlWFTbxisnvLI1iEhChG
Z9rKPiLtFifPTYW9LeLOtICYmimBfFH7gRIUePXkgrQfWN3MV3lukHU0dvKNCGauD4Kkgg3RS2V+
VEXufGZFZ17Nyq1ocJfZOsxDWR2cfJDbIgPUgiK5ZpnnV6cx7lmUeSzT7sjim2J2kD23iY70x5I1
FiWebahX3K9rhATVBMjgb2ewgithuME5Q211Ny4OmD9+bb3axdTNPPfGjl0tPf6c710JNcNg23eg
t6kTYrd08936A7keQZEBK/HFpWDve7DjNn5KytIhmRlE7DEj73nYs7dP9pV230Vtzg8GRIsPQzLa
gYJwjbW5/uyFkz07XlKYx2WsA4a/bvsG+QBVZVxbt0VTGw+xYf8rIcYqf/ij5CUwXVRQXNw2Ln53
lU/8TrGQ5KYH0bT1156e5Skd850nUVoWXZNyb1OqXgbLyJ7NYeAq/eeCCfc/kksgQWELCpQL4c2f
9D2LbUD5CCb/MMu4uwSyUcdBEQzLlbjCjiYTxEHC1QqFcfgcF64URXDrvhlyi9Al/ZE32Ct8wLjb
ojHxwlcsmCok9fuRMp59s23dgZ91GMuUEhA0N+pyVNKtz6OboYzW6FLxom9GwWzQQalVEJmXY6LH
a0tuUQGLFLOafSin3CCvxvJ3cuU+9ap3qVDE09TTHIhxtu7aVH5kFWQpwxu6Y2tw4Gc1iKoNzZh3
iCaQGP/8pbMJ3vjz+xYws4Wb5thMB70/idhKPkq8fC7VOhpK+gbzznWnucbXN58qC8nSSDzO7EAa
YEfUA9zX/bwPipAqYNUYjGuyUBwgS06Gyt/0pQyzAC22icFhW08GmQs9/W6RUwA7GcFiWe79C2HO
KiT9h19BsNBygcijZ/BX5dzvPnopd0kzBCo4mKrJaHGCYSm2oHyTq8XoHqxpkLuBy3kL9jU5W6bZ
f7Hx6k/KXNV6DNyEBdvX1iNGxArdxj9/gf9RtrdmjZBjDJYuQJ/6p9c3ZoYnLYIyV54kZyjxdaTP
kZn5L77NSsX7hxchcFE88ghwtFt/+j4NC2NXR01wYP1JrOlge8ZxhCC2m6ZC/rJp4Dkjc9I3rKja
AViRDylF6LRjMA6yrrODC9anHNkMD0sjqvKCsR4STx4tyKhT86npcv3yz18a68+vDee1aQlhIp0E
/sHB8cc3riXZkoEEn71B2xwKi12JrWcyHATOgYmNNuQlyC+1mdaAClYkQmmb22QokvPsznBRiG76
FFkwXf/15/pvi935ferO/zl81bfv5Zf+a/jOR00FtYbx/C1+5+//839INo9wAo6H/1ykfX4vy/4v
/+u9bP73X67eNZow9XuxNg/f+vf/Jtb25G8Ikx2Xt9XiNsAN8HeMo/Mbyk4m7XCS+IdclXT/hnEU
v1lOICwUtRQYdiD/HePo2GtcOWe7a7kksOGQ+K/kiwMN/8PzwkLHpc1hEfWnw4Is4tjqexhNJQNX
1DfRaMHsgNMAWWm4bXAm1qw8IzzxlkEMIeAVNw+xHrRXM2qwUx3H7Z4+T9zKakp2dJsepms2nDiV
ytBYwz+ZesZkq5IaOOyoVtnRR47etHU3n0qb26PQWGGnoNAHr0vMULdmcqxL1V4ssEOv2CPJMvTq
5FBazAvIpcuvsF8EJyjPzsZJqxIgc6LOZTq4G9sK0ncfVRywKRvzTJQ1wUCwmSN2fuY2hxwk6n6Y
h2JTNyNl0Rg72WPdVp2zgTLpXy/ARDCL1VP3FXurfR7jlP3UVUb90M0tZVWL0YSyybevG3sy9pFf
R6CF3U+uvYUVMasK6kYa/not7beRzdijTmT0UYicHSw6jqs2G5rdpCuo/PmAgmfpnKMV5eJMAPL8
1BPmal5puE7ONiigDsBeKk1yo2UpGFy6DCvtome/O0ZXArzbL/hnA71WY+yA6Vigj7AvBdpUX6Ql
5a8errHXOA36o+k29hsBoZO3NUVSnQFgQMYuAmKiGzhhH73Tk1bXk990wNKem5jZtTiNBr5mMLOp
8WQYpELcMOmM+Hs9uYiztSzHYlro/tPCUFcYxpt3o0lzQvNQMW6NEsJ6ahbmjlE3XyVtkgZ7vKO6
UKsJWvzi2CjTpLVbMG3tkvVPOjD2yUBIe/sBE3H53Y68CzubCIKXPHURwOFzbOJn7bCm3cLKaxEu
0CFbjJFR9GKj9ePLWpGcgrJN7oRd2luLnFkmMk09As4yFPqCtk/muyiO6F5RJrG9ahv7TvEjviP0
7C34heA2yEBnCe4ZRCEgd2H1BVLZ5ggu2f6xB9rjTYu+50byM+kSQGQ4WElgbJE21ElINpr94Ekd
vQdmj9tBRAj+BTuocClTwTweNjWFUWtV11BHgfJ7tbpHaVGQoBZA6tkjI8i2Ngikh5TsuG8BWmg7
RZC8ELpQ5wvS4CvSWFRHwzCCoGaqWaC/ymiuPiNhzO8L69ZnqKC+AMlhOd9mMPo80rFgDTMspR4R
8vnU3U4K4XTD2LsbbkoKFmdX5BDYSG+wmTziE3WPzOawPdkGNkBCZRYA9i4BMgTUZBP9U5v0CZM+
GMiPLPMhaDmNUZbkLWiSMjPo0CRSgVT5wt9Un/DC0qB05YItrSUlj7QvQJNnayYDmx4qYEsyTR+2
ObgnJEniAzJ3cTTNonsgfKu5ntac6cVq3TtelABNj99ML4RWx+9IzokNwkN9amaIn8ru2asUsgsu
HkPwR4I/Sn7Xhe55W44D79MUFR3JNjQEO4RCKfh/GRAoPSoYYsxn4sfAbrDQDk3wpewa/9jUGd1L
4KXJL2YW4684yoa9bKN5TdccQaavRtdZlHcZYLNuXVgxLKCDdX8aasan3bHoIbxnMetrXIjmboT0
9JMvUh6zxGQenVkuSdgBS7FVplE1krALEKs+fLkwHfziupsd8dN3Yy9jZM2Ekgk0HNYON1zYYDll
WNlALLdyC1bLYAtxIjOphv8JsH7ne+u71nl2dE2Q8XTE0O4DDESiFU6NH12DaiwYCBgmsK9WeboJ
eXXMd8auCO2cvgxNrYOHeinugYyN2xgP6WZw/WrPapHEtkmgMZYoQq/KBqFM7LrpB6lV7rkXC136
0Ju0vFNxGjInDQXTla2z1PnRTg2xK0QyhqLFbsujrkLG9c6mAm29azvwpTKe3B9FrOHypImrDmKk
qWfKk95iI1huSlNaECQMxYIrGnZmrZg0c87fQcYgjUHVPqHcgBUOckzcO3aE+ZOljeTL8qogYYiG
3KzHRoWRb8qOGKYQtFRIPSs3Ns5NALnFxRtcbwu0O2QdjmV2EwuyKkPLGZdf4OT0McvL9AFAFmjz
qbvHyRMgRM94Zjco4+0f3NsB1CUEYMy7Znm/gO1kPE9wx7YNzPLsd3quLm7UTS/ZVCffWZbHD33m
RE92M0EVNcwx+BWPOgPootxbK7bV+1iW8hWYrNpN5kJgAoLJo0uAjodUwjL2lfQYC6dsfe7LyfHQ
qSySlnoZrwdluLeyTTx7Az89gsIKR3Ix4/EUIPvZo7NzTp0xYBIWVkfUp5EVD4LFETJbQog3cIbg
1wsnZZ/qDcu7wUaEuS1YWGixeQ0FBz/rdZKiloSRbzB49t3rxS+HH7aOsz2K7J6JWclCKigBy8Sk
NqGTiKJ8a1ludW5zp7kFZEd2whK09pfDpPcWXfAU5nrGIkrWHdPc3tcf0YKkg8Raew8I0jgv/tJ/
lT5HMgiA4ZGEqZiFkQvl2PFi/8zMIH+3U2TK9EF2fInzxGTeWSjS+IRwtrGSDiJverwNm4n+yhst
izW2Oe4Cw+wPjZORHeDWnHQGf+eUWnF+zZ5vussY7R6Q8GVnLf2WV5MAiGgEPsQE3gYMMUdHbLH6
YRRq2Rt+5D3pLFjVSKNzXEqEq0xN0ysf3mqCKO+kB4M1O9tIHu1MetcB9+qv/94y/n9ieqZYK+L/
vED/v9Vnot7/8h8g1oGj8zf/Tlj3pAg8EWBV/IOPci3aqclxawboRfhDdJH/vzS3gt8sSRtrWpZH
fU45reu+SzAm2r+xxCA2ky8naUCD/0pdbq2Tmj+MkfgWlgzAl/hsY0Gu/LEllGTFDhhQYMugBNSP
CTYb2CQGqUHoZOXF9RIKJAPc9L4yp3rv4uAICV0Su9+9bHd/+4a/d1fSnP95MMKP4eGDYw/FpM7x
//qT/m6qYIpBwp4NMBpbWr8Qy9zvIhlEpyEuberWNLieJHsH/OKEIoGvJSnHhyQTWtkkjvxfgE6t
HKsjS9SfIkFKVRHoApaUWMBdGUfizuzm6LQAoNshVOlvkyxF/ZS1a9BWa9j3iVYMi+DhnZAfKdKR
jYVQk7iIQkPhq3AI5AmrmI1bYvboSWzXs/edFFWY+XNwJXtQZKz6hnyb8edXwfpknYDPAFg0Kpvx
jntbpo5x9GVGAM+iO+fdFGZxI5wiYkXfFqzuJrO9mmS3TSXefsfplk/0KIL0ChOnw+wMsC5Gfcdy
AEgDQl4ioGAi/uqoYU+9HNQlcTvrbNZokeSa3yUDt7uLEU7v3IrkbjNzzkXdHEmrJO2HZOPnGf5J
i7mA9Q5HtnyzeuRvtTTt52QMjH3PqvSUVYzhlsGxr9skNvb8EfMwkcyyq8dEHVGFBNex4YwnQKgE
QcwFVJiY5CC37a/mzkhv+9QlLGdsm9DrWzY+Pasg8i9GtMSdCzRXyO5JgBBkMVo7Oy9uk8eiGsWb
t0BIUzPURUeZ5rHRzsKv1t6hA5k3JTCLm7jMs6d+nIzXcWwHtGaruYBkAmxiAD9aRNAUAmr4bMsM
SGKZV/cuRUuKatrob8amVOc0dshzk1CupvHGTdoj8Ogrv03kPp4MVIemd/GcDMmciZhtuyCgskus
TYagavJIUDnkDpNgrSX7nGQujsCxdlW05FvNEkdLTQBMSvJyEpHU0euKqkxhUxqYzjcdErYmz7s3
LrTuUOmuhmxFLAC8VeOXt7QkpA3VfFuyMNkF45q4ysdqz2g8DxtkX+t/k58xTovDiNb3lZEiLEzA
OfMNeXnU7klt3ZuTY9315TBdzAZwQ0uEyW6kVNuUQXVJC7qBpOyXQxN33T3SbIk+213uycTKwnaB
rFE6iPYGZEZ3+ZySk2XZcejYqQgrVnWnpIW5JZI23qnKZH/ldc2xHpvmpagg4wep1+JkzRNEX+U3
/Ps4hK5SPkWuR28ws8XhazD1TFp5HKZguZ7AGp9q0fmHiiVk6BBHzrC/9KDmGEEQcu/624mwlJ0i
KPOoOsMPocih6fYYzBMLRYew7/ENAWdgmHFbsg3aGc1E/1+VlDBZXzgIm7xo0zuTvKTacB6Gadya
lb6dmoWY+KEWN37tzgeyBwZ6EGndxH5yofMJQmagFxrlbZGMFKBm1V9hM0s/5lol3+jienrpDh5J
sETXszWCdfMcSDWc+kenL+QZSgKg9NElWKAaxN7wPHnR/Njrejx6iNk0v9vNugPNOnHssLp8KLdo
HziZ/VNB7/bTbgkhRPkZQYaQZQJIoe9BoLuxzE/QU7DUCtWSW9r3M2pKJJw7VPJQwnTTEjSQ5ONe
6MBvbgnHGyvmeDEYiLGJdwlU7z3BtQ4zCR/8SIRokB5Ted3Obk2HqW4/oCijIGWkm0YwhY3o4pYp
KZq2CGobaXvB+wyAqxM/Ssvv7w27xlRhm1q9aIBsgFei+CI7RUaikMNNBJZsz5k2HzRJTmeYLckP
UiUAG/mx4rkm3h65PX4JuJPAydhlBpNzvaa4nT02lW6IluRrzmUen5qqasOx76qzX2jx5qZBd1wy
NuQb1Aa4qBm9U2oDyqN5DZrvtM5nGo9Fdd+e9vUmAp73VlqMLhpZX4iHf22nUR8r4O7gqyTuuCrF
sdMUrDvX7g2hrbnQLXjrllGiBXxzS1WcgmxeJRejd4pGOo+5RFyQoNgAAmZHE7rrNiruoL+wfiqj
0Z1OMpuH4LopIyv/kobQ/QNgOvcxJo6NhMvGaN41j8J7FNnVS03U7U0bkyi1iWou6NBSfLcyWMbn
BteJwSUVsZgdhre8DIyr2RdThNdxVlsp14AP0aEhMFNnJL1n/fzHjXIeqskvfVSfpEfihpLf1myL
B65C7Z9GLyuy+07r+tSxLHvsVUtJYPUTJFSrJaZhKIP2Oy61Y4YJSNJX4CTOB2kK84n1s4AAP8gr
CfngC8Menu/INrOj4VviOspcsGlGO+JSSYS8qSZe1TwvvAMuPFRn2mglqETZEnAi2weX0/qRJJD2
iK1p2Mc6tgUJz4kP5ND1JxK/IufoijQO6VPZBbuRt+noSV5wBxf+RVuRl52HHBLy4F+h2ybHzQV2
Tx8Rob8NzNZ8rQOV/hhF1tsb1aQLxil2nk6Y1r34KU0srJcMC9GqlKnYcevCJ2eZRFXIDnZg3Vsk
YHLcGvF9MorxrVAN4xBjdB7rzkKzbmmxt52pRlVkxM8QyJITVQ0zdjnwJai1xmznVGrYFVM6Htra
ZljgYUahSjPuxWzXB6vtSS4gr/bLSyd7D23ZwCEWI/5Tk4V4Pac9h3dTkUk+56Xdhcuy5jtgSC+h
+ZQ160tr7HcjUHoYONOvxDPGXa3m5BUHgb4BCFRujSSxwGO5zpaeEWL0wP1ZkoqLhpsEzHJaLj2E
wp36f9Sd2W7dyJqlX6VR180Eg2QESaCqgdrzKG2NlnxDyLLNeZ6CfPr+6DynOjNP9yk0UDeFvEo4
JaW8yYh/WOtbNebmNcGJBrWYt9c6QTJbMOkkWyENyk6fq4CcEgYiY094bavn8UT6eHSinCk37EiJ
rqBsUM8OoWJ6jQyoGNlauuKW1ugjcFfwKMwl2sqksZtHvmonE8JQGoDR0xoN2Qadu3sew3YiSWEK
c3TH7O+rgPS6IJHTURC0twOhE3Id2f6uqBdjM9qLPTiu8H6YJ7nrHJ5RJ2q8izLQF8VhE69wZlTO
D3TeS2iAMvuPQMKot9OT5b41tFFswYegR/RmtN+oL0l7F7JigQOG4gsBgfWNhi3Z2mmQEcXL2P2u
NLgs95PZE4HZpv7eMxY3YOpn+wRr0QHdj9pLM/bIDFBDfVeyuIA63YuV6HNGJYEpplurTQxRZTnL
q0KaeYvg6GPvJf/jHKd++jz0TBstIIx7ObTZMWkhGUNjtNttUpXTj8HKGbWE5Zh88Tp/iYyUxHz4
SesSmWDa5CaNYhmclzmBPVtdED0YrOTQcNUO0o2OzKTjNfRxQgWCIMdLq4kincumYhjVFJfC7c27
ZHRri/o2fWWmYFunIRwM+IXCDQ7LIJ8Me+BtF/Kk+kXpBanDRJ6kWEYfBhb333rYPzcmHy11dTuZ
T5w2xO/NUd9Xm0ijeCR2ZctIkLw8VncgL3e2m2Zbih5cO0ERXtj6tivCQIyPeQy6liDAzjh5SfJR
24Z/X7OKZzowW9mPvnDD+5RTkdufNJBVox26h34Kpg1axeLqZvhPW0bQryyh/RsXXH0uzREknG90
TBSsfudoaE/MToKfMiOdFoS0e49t1aKAdnvsUyOzYR1XxquhZs4QksLRFPpVYe5TFHWgNGX9OI8K
jY3uLPuuCUx/Hfuz/oAmHTwgQHGQHRjwOIgiWeUChShRrD8ahwALjNE1mbKi4uYMA4pOCBNSjKTt
URRAeTvbfELbhGHWdoCr9VJZrrNVXDSrrMLglseBe52iLHoVfXNXWworM7rIfYYkn1kEzc2lkWF6
VmnjcpAw9T+U9BgbP4QuYTpyenC0ROiUFeeszF6Ulf8wAu++G5iOpCICuq9T0KBE/cGH87iZknZd
uuhaFPTB+6yu889havr7kuoL/G0QXqI5jQ7KC7FdiG/pmMJ17pxdaqMCA9Z2sA0nopeaxw3683wn
uJDgyYHfTQgOCg8qJssYORoCkKOO5SmaFAap8JzOsbqGbijOhQc7kdBycPxzJfFCi4FBLKg8b6xD
gWlrfK54mXYOwDJ2Kcy5zTqNN7jX0gd0nUDOmtA5e13vPDgi906DWQ3bDrj7xjV+5QzGybmfYBeu
7LIRlKCFuTyGrFAnHg1DNxk8eH0IMqUA78cnL+3AUYLj8aK96Q4809N6LGS2oeqIT0EuSKyyEn1u
LGluyN8heR45bn8Ubo5zxkgAdDkSamOeNg67HX1w4vpQm9QQszN4uGlYMIU4DY8B8ZHkbQ181AFq
k3XE+GcBHhrnKKz9N5NB6x5govjCXgmldB1mpwrD0UaQqXLNDOls5egPh5nErq/AOOwvioHuIxUw
sv0gHl7TIiiPdlEZj2Lo5eOSTM5ZScAU0ZZNdGm6JLrCd563JkXbpyCT5+gJJlsrpyu/Qx3A7+XA
V69BcOeB3Exm8M3U3H32tCYyQK4hOz/XSW+crWlQLBwYfBpT5h7xWvmAAkf/aWGGb/ANJCjrKGAH
t7C3rY2uQ7rVBYMqxjfQ6wpMdmQ7dJFm/pgMOqVOKJoPoQpCJQxQkCgXjWNrWwf4esbJtGOkdiz9
7jq/awHQpY+ShCjpYRaynOautL7U0Ab61NzOtrezOvWeRuN9MZrikEb6yfOx4xk5iWUNThSxXEsq
RLRVDmtKwy9N6L+hOmbIH380DDbWWQPRFEdI9MgaKD/4HWxhrpni4qSjxXPclEffS88eJCBAeM58
Vk1kbF3pZYc89fbORHBXmkTZITCL+DiSwLS3h/7JtAtoolMxrK2MBg/ZPNpiSRl+hGKjDjMRY5+2
lSykbJeQ+Bj79SbpOSOxrRyiMrE3gB6ghPqAoMvUDc46k2xWoTcefEGnD7ovwZ2IMHTlsXydW284
IvEC8OoeRR+dBYn1s41+ksWSfKkqt7uYjmu/xCxEOXOHjqgQa+JiRNqfgzcIJuz7XtLLHUrI6hWP
CxsEmxZlVmh/wBNW56g0hyckdrcF1ZlM5Md4RHhEVnLq8vpHoWVzxQiEzyD0TBZF0LzNytvUjch3
jJiqY+Kli9FOg7xNm+k6o4jcKNcyP21+P7gSPdhAt9CLAtcjezbxvJtmNL8LwGZsChd/eJhV26HW
5k4NHTvFALU4LE5bGebjECTM2y3tTw+5CY4L2bVqdh2wxv0YF7gBR5O/+pR8Hzj4Pr4MEOmrqpGX
vHAcIAdqvLhT4F2IvCXKCNfWjNjYxszYgr30/Sd8LZs4sm9TDFigi78hkPsxLWNkENIlhbhVQ6KS
ChNNKxrW3n1lgEgA7YUixdyWRj6SIzIIumxYLtxch1TIg0BghZBxMwKXWNGHHzyv5IVy8y237Q81
WndET/n71p0P0hBn6eFtoNba1cPwTm5q2Ky1bafHmuvgqRHmdGcH0XtvW2CI8SbbsS/v80R3H4a0
qwN/vipSyhaXBuJo13RjlCjGE0asa2mz6kjQvOB/UpfaAk6cSOuNAxwzpVlLiCO52BgIGzfeJF5z
F1FqorwGm2O0TODXDS6+qex+QC2x4FjqcuW7eOXS3sPAmCuE2tZRRWzrUiiVY/5cq5jyUo7ruB7C
Vc0FvssDctNye08E8ZtReQ5vD1aGeFy8pJmTdU802QSpOfE1CYj29UV3G5uMUo/lxC1q7ZekxO/k
alITRWZSL0KZ2rkClyeIjp3G3rt2YhzhWgnnTgNlAPgJGiFtsDzDHNharblVzYJaQLJwctKL4Zvn
aoxjXsfiqU/wZA7FKfBb/4D6C7iwr8mg6nt/05cifybsRr/5RXdKZsjUGQ3HKq/0QdWZ3iP+I9ok
Q1B2ZPHb7whLEgBHIjIHW6jK9TywFkwFuUau/UHL/2yjnRsRIiMGrb+7zLmeceWXR0Hpe2SfToa5
Hi6GIrgWmyD+A+16B8eCtVGM/X1I+vKq78vq1WbXeSAMCBdCzOZmK6qKRWIHlKGupupiuUzMaBuC
3YAi+AngLSFI5qyv5exoZpmWqo9KJf2mMTTIARRGhss+0x8TzQeFN6SyAsDkljv5q7qy45dBavZV
5BpYMGUmFbSXJEBTUiYmU6/jnFgerkXdEgLhGEf0kwCAsdBgIpndz2oO2gMYpCc/SJ5yC+WHWybV
vvGr9BVWf7VhM3/rbQDP8POJmoJttzECzKgh9zx1MvzZJELabmXVI9SDgdXVsJ0gMEAIhip8nCtk
X/U4vsty0IwOmuio4tC5ZiYEtHAglx4Uf1qBWA/5zA6jtr2LG1YSobSroLjLhP8usBlCRUXEhKqW
311GXasWuMoNzKl+SNqwBnm7zMPBMI5MUvFgWFb4JZ1lSo5EWZxQdOtq28ZJEK+MoMW7EkzgsUeC
Ab6SZ0JqZWrLHcGWiDSjtN/kQJs38Ww24H9dJLecC1Mmrr7EZXUZ1HQuZGK8IjiB41PRemxbQ4hn
ltHQmC2Sn/AXlXlyQXgSnt2gEodhFOZZu2HB01nkM0CeSblAMcgoDUIYFXyJvTWtuLvQy1uvYBXk
UXSKIImoonQMnPYyNjRMhWGbIEAkcBlV2vsaM+uezBYKIKFqsUXLwc07VLm8mEO3aSj+bDJlm1XC
lOLiN9J66nMrPGWTZT1z8Bf3vbIjtP81sn+zqeu9leR2vdMm5BkyzCq9pvmvuPrceT05Nc4b5PZM
wsrJij48xXmBqHpMX1BOXXtfFgwzx+KW1KVaC+38CHzT/maSbRFtAJsF34Mszp8pQ95Z3GPFSZsH
q2+foboPm2EZePXzeOjmqdqRM9KetTZ5XCWDL08Vw0Ebc/FRSSAGXkUyFPZxczuUHU8R48FNOKXz
zewHVERIGEhWQlezm9Mlzw191dpS7Pry0gW3nlR3XkoqbVVrXGRR9zJMOM1Mq/kSi7peNzHabET1
6m7uQmJFjbb+6oS4iYjpdMe9LXunXvcOgulK0tiEwXMUIZDy/KXc6SEBeP1Zx0nCgaeT02S5P2PK
/5Wd5B2htLHJSaBBXw+9B147y7lMCPgmWKlDn6Lm4AbT+qZCMO2Ry0YdjDnm9876hFrBwyhj+6pz
auMmme1zCzH9g+T3cBuU/le/E95BVUD4qJKcNborijAfhQgroiw56sESB25dWmPrFFM1vSQZ9HhL
8PgVLtihXnvGgcZuBPWTPXSxAmvCYgoaTXcRFOqt1wFZmJlKEso6t0dctMbdsISp8Xk8R5Xix5Fw
tnGaNFmhOx0AhSWM8Bt++axaE/pxb8y1eREuViGP0KGT8NgeizT1mQyplAgz/SgsPFpBA87FHUdx
sgKo3bhVz6SkPZm8RCtTjrtmcImk6LLnMkvuJtbCSP8rZwGTIPaeUwCpa9nDe8EB0+0sKhzOQkaj
zrbzB85kPJrl2S/tLmIKAK2mnEYyBYXiQAaCUL1MvqG+Q9BgallCS6CwmPl4ZXsseQw3k1cRKDPN
KdYcjsVrF7XBjeDI+TR1ygNmDN8uJThDhupBsYXe9Y7/oRKBlTe8eEy7944EM45Q5cGnLiKjuF83
INfivHmd+uRNQgtZVS0apBrLsZE+BO0QbWYWLE+NtPO1hVX10UZ+ccby0W2gvEavEhvbAS4xJY1u
yw3uerhLAl1HVDlb16uMfQ4uKewfNLuma0ioDF6BefzIMZcEIDYqyu6uYfbSow5hnS4vqAHZi2FD
MbcY+E4hCpQNWZVH0DwlYG7MMHsP1xjdCtUCnIaJ6wRvRIHezTEZOSr8DTWeY5R+ufVq1ghKKIAq
eYQcWnwjnxSuctVb5YVvmpwKb3rpPEZUmWHtSs63qz9l5AcasEo+55TCjPtwfIjHeTiGVYHhyW86
8w3wnkG4XG5fZh7lV11kAxwaEZC010ftPecCBFoS07KvGCqGz8jt6OsYGvgDS6E0lfO5LQDkMr11
+leJkP5+MDSv8ZTyIbBjGqM7MoKSaTWTjkv+XWX7z4TgtcdIlzPHFQ7U9xGV50sfiajYY2hDNojq
i0hJ7Tgl1SAOy1DCnV7bGTEMqznMR9wtXuxUmKbc+AX8c3NkHUUZhz8HKRr2uINLDti8UmVl8d+S
c7D203F4S9ziE9qEsQal8UlbDmS+jrGbm7X1mVHwsXCbGVitjISRSNub3nmwupiTouSfTU+WwHXC
EkFJaco3hPCLNoxjoL0atmq/2ZkVu+vWCspd1Q8S55Zd7ubBUUcvCNWVLau+65syZzzGTrhRY7er
4kw+9MrhRIvckAeldvn0+kjZS3gnSDm2G2v84v4y6SKarrUHCMyyhwqEw8sVSXwwdfOotMMaMgtg
JQF2M2DvJdm1M5R+YrIW7eoyJ6Nw8CEQGXXewRRTC8mD3Odw4ypEsK4I5LcSVsCwdTKzPrVGlr9Y
nQ/ehqnswdWZfZ+Bp2/XbuCNrKKRpdm1oqp0xNq0Q/gSjY53bBT3BE0UJAl6H0VkhjuvDpIbD369
nQ2/P5ZWad2bQ/Thk0eMA5WadtWPw7tTYcpqnbDeps586xGIb6wq91e9OQNFj6xprdDgberpDVlY
2poEmFvlHRvBkq+vxQt2UqxjabP3Y29+LYbIJA2CMIQ+6Ufk8wKwVdac7ELSdbhzc6ALjHatTXBz
X0EwdHv1ldztaII8RR6OCXznmngMvzQjsEcnDVA2JYV0nlk2zTsiaIKHsRjjXUea33tAKjPMPrlO
/YBg8abJX4uYu6NM8Qa6vh8/9KNv7wepsnwNTQozPlsUNa8B2fgYaIOBriNNkueoN7tH12Lhs7Xy
OEQuapnxGRACJUGIqHoT2tzJEvdFMNv6SU+pOMSyB6mifRo0mA9sEI9If1idLl7K5aZ2aTy27mKv
qxAErCpRm68ANqFj9u3ENGUgxG82xCaJx2FbyuqZzowqpUO65gELuCYjqsEc/dpmSq2v7N+CM4VI
csmoJtEN0dBMca7OEuPQekjQpk7s/q7QeeQXl6TMPDTHXRLbE169zj2kVdWcqxm5aNq35mM0WsOe
JQNjzq4ayRmiaqn3XTEGT9Gg1R3jSn6VhKWgWxfOmdW0uPG36lAfOFN1FUEv12zXCGkrZ9dCRlF5
86WYtftzmoo827N9oQdk66ZPmC3jNUhfnh5mqc/h7PT3dl/djHDeFEzzgHh06uhkLsxvU8nyHBYh
w7jahCSDLm/odzjH0jV6ORS+SgD5VaxU3NLuv2dIB3adkQUHO4RMiJW6svbkeogzPvxDRqrnRzog
49n6gzFi9ZZF/Mrn+xW3crLXDBG4utirg1gRtG062KikfTOdJAKmEwOoGUWErtdhTMdwh/2duXEc
2+jxy/ZqO6aKlWJDVvE0YxP06qJ/R3g53ZKJ+7GqEV92EY0BzMqzWyym/UpJLht25tT/9RTFj11N
3iIwnta+J+ICw2GJujP1d/HI8wsr7EUgBf8+G3mM57Rxv7OB8y+yF6cY3V+1ot8mX8KzxobYhVhk
a5TS5ZvBQva+FHUDmLQQPBXC2JgI5r6OPma9lSaCxCJhUTEKpmb4ZAZK52HV9n0I1W6LMAiln4eF
hcW/PpZgkqEVasc8hzkMO51g/h4MTH6kqr0HjW6++kiZ1VqVg3lm+sxtMyQS+yHDStoEZ8TCOIrk
gGYH1mvZ118YDL3jlv82ouLnGlfNi21F2TGuAcKtuE7jN0H/+aWbiDbgFDIn7NHU6fQaLd0UINvU
o2eBpgdvhiyi4sGbSPYLCk/dd3nubq0qGw9zkQ7zmklftxNtWDo72L5oMkbMMRBPx85A1WevfzU4
KWOJ3ew2D2y8AJrEpWCKEbb64BmWzyrD8PZGra2H0jGHC2RKMB6cR4+IPIz1zKSfPE2tb5kMnYPV
deFb1BX2C4FTKVoHVCtse+D+GIYz7Nt+mY8DRhF3iTUydzKb3GPh1RH63KSbMobvtHJDboKYNKZ8
NRAmtBJjuOkIcr6YPRrfrrAQ+RSzIrO49Nxko2pVbD23/ZmIuNt0ZVDDLEY7+9mk2by1bPHsMttf
x6bw94rTdMt+N78YmXWTA0m1LQhFeBize0d4Zkm/r/W3IbNrnOze6D0QAQGgAzSbf2fGIn9kSes/
4ZXSNxbYizEqKs7GpNirkUR8ShqXrK4wzPq1DUfuyZnYMk5299Yyh15IheR92wvkCSVNs+cqRe9C
Stp9b+WPSPDSi6bmOiR+a2+c0XuFKhRtUC7HlJKeTl5q9Dq3cdBSr8zeSV51DTNnZXgz4qZ4qNaV
PV8bHoh1AU3FJifZPbZRuo/yMTrJHL5PHngeNEASR4I036D69sD5TMWRWcawnsnQ4o3Q40lUCGfm
pGG+2bhuvg7AE75hOkP1gQ/wi6HsR68JXnxdjbcIcfvGDejiSOcNN/koow0C4YeIPSGss+6AkYf3
x/enMywbJq+ZLu5IcmtgVaRHEGbjQ+HGzA1ooi7+lGNooHmyr5XrY6kV46fXgmQ2p3MYsjDyDHkq
6pyljemFKPgDbb5FTY3hF2jQXjpO/iJIE41XHTvpY5EUJ1Gq/sxMAE2II/UmFlb9iqN3vnokj65o
k2tA3CyqYSkrXJzolVAbqzHbIYVNDgCkkXWAFVznZl3tRtz1OdfXBG+jCtnLRo6ZPXBMY5FhJa+3
3Bzljp2kee6t4UcFRHZftaE8gDRgtIc/t7rj3JLQiezphJ4Ap6Yf6uehC/UdxF9gS703PyKxzLZz
HDCS8kXxWFNcPI7dZG1DqPrv4NBIuMM0NJx1TgA0nB3vp9J28Dq0qV5hZeCu95KgTnnzZ6LhYul/
wYM/gZcpmRpEpUG6p0V+ciGjYzLK8pgjc34QsYrv7KJlUD5HxDX5o93dmA1EnxnxhrCjK7J9bAaR
yB2EOk+qdeBQjZrzbG6ZGmp5BrnlQ29LdYZuK2afIB3/sw5850ShEn4yJKSGSJZRlF0nDzFNeE4j
0BMd170to6AvJiZxEpxKs3ufA2W9Mt2I39GnzffMNuxt6AfGdm785EdkOOKRDFA2B0GZPcPtjbas
BWjvF2aQ7VfukzRBgkZ9TaAcid+PQ8j6HNAuWOwuStKfpbCHp4LrlcXMFNzXPgJntBNZfsi7xCGG
JghOfW7bO5KF2SqAkzJvWTaN74xZ1JWVVbb1Sq8nBWB02ns2Bs5T3tOAG+WUPqWl8S1pG5irDfdn
nwUn0pfIbrJlcx/WWnzIYmCsmPLOrAqiaLgTYwNhUJMjsZmtI5xTcIfKIG5wZl28ssa+2eArrnZz
wyCjSnwg/b4lflqJF5xR6FQF3nyS0Ehx66ObojjYsYwDY43Gfj82NSYTTatP68y0gG2U9TiWbfCY
+H65BVRUPRdB/MTtSs0j6aW5fu1Dk7suu7QoPbdppl+wBWDl7aB4O0bWsbOmrN1QI6df/KSCm1gb
QfQ2gPJJFif6yNiB+faMroYjKjbSnYvd79xaav4oqljtvYjtXdvlOLdoOdd+Qggg253piWlYd5DS
XdR9y+y9Mvv2J+Kaae2VoXyaazEfCfolecGa2hVNl3+q0lEx02ATw6tarzonHxmftC5zhUkRWIUs
L+axZIOd67sh7h5I4utQxnXDrgfpu0NNRs0Zxsa+YHXz1A7EfoVDK/GBkWm4bj0xSppKsrJmQxHY
18zFSxrxd6Cc1t7FmSqP5TAGd03SNxgU2pToM/7/Q+KxmeW7xBYwffzBgWNch2AiGlRlhmesZJZx
Bv1PtGJJkljZBHNnlLizvAWKUQZw5ILsPSM5mxUKkuEXlbH/wAIy3IYiSL6mfjvcYTHAh4gK9ZTB
+c84kZLi96yG/2pD638nq6opFsm2+wdV9+aj+/gfv4cRLYbbf/uX60cRV/2fHar/8WV/SxRyfnNx
k5qI3amhkcLjBh1/tN2//Ytv/eaTM4ekXTr4UH8J3v+eKCR/U4yxkVU5wkIdLnG2/k0Lb9m/eTYC
er6jjeDeJrfhf/0rduDwR/k30TlO3z/9+59E6N5fTN0ezQI/xrWQ1nPYMTP8sxpeMliuDDP1Dwkz
0cMUQR/H3XjC/mKTXRdaKIy4fFK64b0zsPkPo1m/5G1nPBUiXja+9dWouY9gkOqzCyz7sR0cxGI5
LLKZpD8xOvHB0qW5kzkz/FXUBK+O5cEFSVlMN6ivnZ5hapa2j0bBWAfpSfSNDmBmCJEUa4i7+EJY
V3IxIn5etQuIAqU1VDQXVcmmQmL5TA40StkAXNc80nc1i/JuI+sJ3NHCy5pNgPxxlboHyMmOJLjC
109Zn0dvcVX9YC9euBtasZreO06+onT5NvqWeYgdB+w8MJc0wiA7eox2W9uB2uBMP00iFzcOUOk7
LUeFtiRg/R5m9dVPYQuR1Lwac9qxJpaaNd4o1iRgs1CN4reBLJgVAao0u79srW07EjYp7aPJjOw1
cX12W+aS5WvlYt3yiLC87PLq0RyT76NsyUOFNLdm6pK1a9Ax7dprza+50Dl/NwE0TpR0jNJ9J3wa
EO4iCzWeht7NHoZMGfuM3J1iUzmB+SDxgVbsY8YIlHYhBnON0pLvaY0m4vy0Se1VSi+3JHp200Ow
WHM7JoVLkAMivt4gkvaQVejjiTPLCJLUWZdg6YRYuoaZlgbnOQk4OiPP8M9D2fZfOhqx5tjWqo32
PrLJU91JRFUROccobfFywadwzSFYJ+SKoI+EVPWp2Gi/FoVG9+f5CLq4AusaN17OpHM7oTC4dcTC
qxUXKyN2stXkwDIa7jYUxyR+61rVXGckN9VWlCSQrkPBBCRiQSM23ciZ3yADoGZpOuYgBbBXMjPE
w5R2Xsld08JZZq2fudvREVhb/UaM4yPlexAdwD719YknzA45ikOa9BaF2J1hjMXPsorzs0vpH267
CaIaaq2aXAb0fe4JODk57qNo2M6i8nhoh/CINZjWUo6s6TFmdGbHcgeiK2BK2M+OfeeZzlvWujdE
iOYmixGet3FziDr257Ixr1k10zLa5SMzlW9B5Tz17Fsn4Ux3sW9DNE6v+djXlyQMSPopWRRfVT6A
PkD8samYpXQNUGzHghLdoVs6hnTBt3iyjR88znRPrCQHGJxdbCAD9B7MpcQtF24PR9TOz+mw+FV/
2vND3mEL9/gaIaq3nLyBB3K3jxWL6c0I74dbx3XWVptgo0iN7w7Dxie/MkiyNtqbx+4brhAWdhZg
PAxeeMgk8DGmi8+5TaBDmjIoGDM7PMBopPpXKL19qI8rkZfteppnc5vSan44DqG0tbvXBZ7h2cYx
OlTuEqtJd1kvZgsnYfYNPqTcMIssr2acqK/+FD5ZWc503rP6/RhkFa9MskudDN2i7TL/7gP3c3bm
dtuIaSs83V4sKqeVHSAaLTIMO9J94ui7hskSWlFP1ikFrNTlksFClu2cCZprTaB6Xnk9gGHze7bY
c7WaAGQH93Y0YjqYSb5xWo8I10H8GDsv/dbP4c8/3E7/N8/Rrwiv/2N+8mBgsIFXSjClcD2ghQtj
5w+Wo4K8GWOIGdcaIX6hKE+slT9nBbM7XZFTChF9iRftZbUFbtVeTRDwb7gaUYPoYVDDKqfC45zs
FG+dKgP/Rghs729DjeqE5zL2bIY9tG74JdPptWwKgSYu4H0WzTgGa7daxPNZPoPjmsq+YcZSNcge
BZ7nfRQqozk2QnJYFAzyoPgMw07+Ok2MXycLOhBOmXY5cBaQsHHsu8m1DryXbI4bAk4ZhTjGzovS
5LFLjAnyV226R/oCjqlRhZ8UwZjvu3AHoL5nSNjuRraXdMYxn2YyIOMhtVSaxRnwdYTcMEkIjSX/
AuYsLWse+muLbNDV0NuPcy46vFSqvagikPsaGxVQdAhVAvg47W1Am1FYAADc7gexPNBW6S62tQ01
CQNmzf6xTdGZ7wHw+f0aywkGgWDmbVFmwpoU0TenkFOJJH2Kp1aM5yXMCJQUVWYkidbUviIGpgbz
Dl64eI1qn5VioODPmfldXDbJeQqFc+txfGs2cWHxzqHQQkp35x0cxXLjljOzoxw8+v1Q9d73sAMT
GxfJQ4Ng8qTMuNiUYZ6Iqwla6S5nmA33nI3MAkvN5/iCnladI8DH94WXG7BJI+fTCwZjLyj9bwFm
gBX0+vAT0AVvqwa+9nWSi23GGyz4nL35gHYeAaEQ3xw2A+wJcMYCta/DlZU3t4zpIkMVa5/l5YQ4
HJvXCCXL7Y3h7IXEbyrd4IbAw8ZGYxM3wlvV3XSpOvkWhbNGm5V8yUKufydFYVuG/rQ1PPamViWe
cx/zUQpSg0RioItZtcdz8T00BXnMtfFZkxOC3tsR+wrInc0AKRKMlJmYoub7EoTE2YJQo5r/FguF
uIq5z0B3P/UovFAZfs8jLe7S2v5REthzTXtyYoVrNjtPG94BUN6H9Nr2RK433FcIqN8x542nQXnt
Q15a07Ft5SI5iL1VvqjghqH9pFhk7iDt74OzhKfmjVrX0CnRVcbx2UmMd7qicJ9Pprgrav9K9ve0
ttPegldoTBvbBRZiL10ZEnsocfhn16oiMr0gz8Dnw04dkm86GH1UCbuyarvrXImGsIJp2rtO1a5z
beEDDvQ1EyI+AoEA9SUm5rksAe9C7YqHlPzwG2v8re0PMVgCL1uHo8k+IGB0c1K+RMdqGZlDh5MN
aFgEgEm09WzomIY4ENk3eUsYkp1b/Gksww2ydGQPo8b9nPXW9K7RZdBM6cn64k49CNsBu/1bTKDO
K852aBgF+/ifQCAZDuSLqYeE1Q7wOtTqam8ATA63Zd3k52C5o5vltk5/XdzVr0sc+yEXOpHYYXzw
fl30bI649KFzUAAgQ6AY0L8KA4bbFAlqqRfoxbvVrxP6v7qPujKaLNvyZ/dX5s9/VzAQrdE/7bT+
nQSQ/I8koN+/4G89lvrNFLbFAA4fLR3V4kP+vcfy/N/wIPO9leOgXv/1J3/vsdzf6L4kRaHii0lS
xIj89x7L+U2QK+p7ZEfiWHfF/xcIyOIbVX+8c/3F0Ay1zvG5cX0l/4KOi8cwNbAhdUeniasdIofu
iQaI2z4RM3LYNnvwavQ4KU6893QqmQl0+m0w/WdALM9O1EJwAwqY6WUqonpjP+ubdktKObtmBmGa
IS9DMneMUA2SQe/bpqFEKgGvMgMCXb6S/u/0qv9n1/iPv5AFMweYFr8Zh7z8SxExI90E7d1Xxzlu
W+qtNEbiAU9wNLe9GnyP6Wzm2cd/Xrv84w+F7cBVI6AG8cGZy5//oXJpMOo5A+MMfmg4X2zXBpzd
MWgjSsud6o9//sP+jG7yHC59SBemzy/IdyKC9c8/LPRtq4AV3h3HOTa2srG+w9Xb5abu/pPfammv
//xsoM62UY5DZSbG86+sKIxJooJ3WRxjNFvdvSOqYIC2TA30n9DbKPH+4UcR1SsFUjDfdXji/+J7
LyN3NCH02ocgmimMYXBHYtuLwE72Zom5ktHZnN080BQRrizbK9ZYEbr/zd6ZLMetZGn6VfIFUAY4
HIBjG3OQIZLBS0mUNjBRFDHPM56+P4+srhIpNWm5713epCkwuR8/wz8wme4SuBlRp8Nv45hegw9I
Z+3IqReHeO30mMkbfRDD15aQvf2GAI4Axa/Z0qREiuv4SjpZj+8U+IW11MeDyzmR6ANDxoU4+5dD
BMA0A2WjOE3Cj4+tPmx6If9R+vhhH897Ux9JJcSxT3B7di2nVaKPLce1r9BpJbXkQKPW5mibQSII
fdwtjSp3HqAxhPA5DIF1zaiL+p8ChJ1uBgNTY7lE2H5wiM6CbD+BzgTpsfV3JWctzVNnPXL6wvxS
sFs4kDt9NPdTMB/hHnXnRR/caWxGz37t4vwzW7gncL57+qA39ZGf6MN/9Lmmit1fweBZN109PS86
VTCnmZFAYiAh4oHjXJ6YvR8NsouOLGOq7Wsm4idJ9tHN/VVONhJTj0fMmo2fslTjLiBnQZt1316S
GHc+9BmqimK0H0KfRAcQ3LJ1dPKT6zQIgduvGZnjtvO8RzcxT4lOmZS3GVH6Xcf9VG99nVYpnWBZ
OtUS5Fy5Tr7mWO5hhzNoJLFLmwrw8aKTNYlOwWGs5NM8GnA8Gtc8L+hN3c69A5MMaa3veSvI/Up3
0Kk3OtsRiOm7tMcNBBaC/Nk0hLOsr9UtuTUmglREL43fDatexnbNpHparmEVjacmSm9Nq4pfZEOt
BK3VXlkhZjR5W9IijbPuuUp7poYKwkbtX6WQn9ZWaFF1LkZj3zKgC2ivqru09PzN6C73KirPqWdi
ejN6d0hIjUdnyOLruMamEe57IO5gR9eb2JkRGsOsVBnZ99zuh0+t5x4NkS2owiK/e+95PcR42Eeo
UCrAOi7craQawRDbyxo/m/m6S71by5DOfRe2rXXyvCBBewUCR40ilhEDy5Zp3lMsMu9bG9kYQoDw
M7ohycDDbjKU2ttV4vZ084E35qhrLUEOJpHKlQdGa/e+UYqGU2LnLQjL2MbnInMX01z3AxbhtMYn
dKFbT80hlJoIiw6ywcDbBFkwAvBFJonhg1FE0wqlY5Cvhozz7tBbftWtI5G2CEakMq6+wuxrYpC1
heoWQq/SU1izVHToVEGLOWJsjpgAZeA1FhLZSLLrYNiKR0ijgBzXTJBSJzPKlyqNFwpGtLjZAW2U
+esQFJrLUCIoJFKpvgq3sx+CCAoHfBP3ke3O6Iw5wBq2HYCTaBfkhmqfSzFE+brksACTXqLkDWvD
d77jbjF/LUZ2jN8lYPbCRs2bBOfDekWOF5UHCFU0fcRggDlhnNSDdioz1D0YofCyvNSAwCG3yKCH
n3GMYYd0wOxFDJw3TTDNbBEv+DUG2vMujlBhgJ8SW+mdWyZ5sluottSWTkgb3kRpwdcHBxLtQ1xp
uy3G1yDPTVct9mYOmXrv8z7yrCM0wy77WWPIEu98L4XKInKFS6kcLA58BLLgnfXRvV/Q5AC5yQX7
CjdeC3LV16KKvP44B1PjrGqg11m5XLmGEN9TN44+0e3sfoxFiQZsFk31p54+HBgttSTHXGcTCiSW
c8kvSDSSznuISDxUkUybtqjnb8rB0QoGW3a2dabSxyEqETp7QXW+3FGWqG+hqJkn2Z1cvlvm8jy6
PWRGsy++BEhIoXGPO0BC0wBKzLXL72ICisiyYxNCxyE/dc2Q2nvfCHijMOc0ARDb0RVyXvXt3GTW
1ogmzJLCserEpvTAPm5FUWTjNVH7y9DJydu5Ud39k+ReZt/jaYuqWkbPYwN4yGWMVMhkNVOxTvcO
3nhI60mkGwYTiYZ/Ms+KngH5W85qjPM22qhGxg8N1iTDd4aAXYP6Okgs7XBA764OaWQjwn9glPk0
Aa8ixWEtWysFhheOcrXsrABNqWZqhzv6pfGtNEA0D/Y0fVJ2T0sR5+ggcpOzYkrKIJrZkLGYHnia
bPrWAhU+04T3MZGjFHygvzGf56DJs7vBL8ungvzhgEfneAyG3DPgoar8hxvE1tkA8LLywMHdTl0+
MNSyEvUUMuPC7ge6NDIVDmocDUKE6TrobPWisqU+VXM/vgTMkXAA8ksPqXajZoDlGbDohe0iPueh
Ypy9xMqFYJwYkXmT0vy5L0vL/ZqPBs30IRbezkchNTtZMOKJCnO01b6ED2WInOC6Tcfil/BU+TLA
wn4cawHVFfsyf+M6KI+vgHMwgI8nRs9GCdw5zFoj/wRFQD7AAqzzE40qlcLjKSWmzrGBrKNvRuoR
w1nscBIa+PukCnSbwkrlc2k0w9lNhXowyyI7FTE4H9BYgfc5o5v0fek5QeKZqLry8jl8dAcDfP1k
hYiGzBmMjBlaixKeewgAwm2t0LGgEYruOGApTjaGPeLG6UfTIEYgPbZTQOhqeHyzRBjFX9rPU2QZ
N2AfQDpNYQu2hPx3gbBlQK3XcFAU3sRQI7nWmIjpgBmcs22UdeVV2009Voy23TrnJhmyR0YkLDoU
QG1NnhwCewM4GmK/jwEl+OSg7wK4p8iDM3U0Of9wNHGLM+gtY751XICIZ8OcAc5hUUTz3QAEpzAj
Qch8UzE2DTfjmFEb5EaKKFysmMzvw8Z3wlNcoPC9HopxOFvwTsIrWS2OeRqTZAE170MBAI5Q3vvl
hNfIQmetv6et41RfArj3E4R1+B0JWCsfmYQiZcv74OUhXqN/kaL1hGN37T8EU+6eEzIXkBL4qeNU
VccHQy72wXfUtKlELA6cZ/mtvTBhB65D70NGwIBnYGUbI2mXUxtIPFEKkJHXMfToel3BX8CuqR2a
n5Nya4r0meZjb5s37TzS0W2Ce5MNv27aONh2LsCoNtNWu1ZfX+dJHH5OWgyo0naEkYz/Y/iA7TCd
ArKbgi9cQqyZ8eg4gUpQyJ9JmfgHYMaKz0qjycbZAgGiO2QmzVvVejbU0sj+LMduqvfYn9DwLN2U
sJx3rku3PcGNHN0y+/NsDfiFlDMqjVufttE/k52M1dFCHvkqEkv4zDFHsAyaERjPMEb0vWn84w1D
FfyjsnL/egZUcrfI8q72rGnfQglZZT4eiE2xOCfI62pT9M51vWB+Vgisulz8hldxEVyPsKp/cGAk
/4SeyJ4rLAn2dVpbeBfaRgofpQmQ4WbO8hyGBSkYfkVYuWDxhcEeB1Q1RR7Q8LhJrK3JOGxX257G
fcDRa/bg0sPgkxMh0dMiDsqgY0JRIYWDuqY1V/6s2vlnVxvgbDorxp2mNIVTAyHOoO0DSEk+FG3/
oOJ5UzLiyFGYJWoNR4mnRreynba5KjIjeXi/WPyzhjN9JbXCtHA9Jqlv6nvEP4syoK109KYGzDmi
B8m6nmvp/bs39P8su3VZ/bpW1N/Xol406UtQo/L33ypgyzdEB0WhPy590f9I9AnvdgsVQTgrLOQm
I41/ZQOdQHCzuVAfXP0i7/368jYC6OTvHNDCdN6ODkLkYhMH29ljJ4H20LD3EfmeovCEYLiNSbuw
RbvHQIkMu4rG9jYde1veIYWyJgREz/3l3K0sIN2wEILlMF1O5uZySv+HH8RidO+bPo0d6mrHftOf
wP8mZKqFfmkaRbT/Gbp0d1PJFPHmP76OzQt3HD3HR5n6zewc5ce2DsM+OhYBadimAeMbb0Jsla4u
1/n/TcGHuQJF8eM5Z5YQt10T/+x+7/Ex7KZR8K5eOHKEP/Ifxb9+FM//ukEE9elH869jm/Gf7V9/
6b8bhvZ/+SAomIXZzMHo8/Dl/geUIUzXRtLTZzOzyK3/lSe0/4v/R/CtpZSeyTb4n4YhmobgBl36
e5aDMh2/+5+AMiw6n79tdI8ckHEAd2ZxZ6ZDF/L1Rm9b5sVlPDV72Lw2ZOH8qahUumUgDDwsQJmE
Rs1L58bYmPvpExRh9JvQJF7Xg4kGa0l6rYp2E0yjs0ai6ctQzsP6/ZX/VkRR36Ky2WI4yPBGaLG+
vkV7CECTpCGIqJwuOSZMGnhY26s58k8DZrvSnm7cFtvZUKBUxozpo2j0RsXxv2+AqCt4VYBo9Dv8
LRji/lGpUWKNdJGdtpdpWFdWpuXLgy1sRuQHwUngk9xdIbjW4yLPfbz/Dl73CC9fSbkM4i3p0JhU
uun8+x20EJ6bLM/qPaN+5nWW99BHzk1cFx90W6X+of8NvP/3Qi6XkdAxhIYk/X4h+IJtN89lvS/K
oTx0YefvUJ57LKFe7ZC9BrXm4j7JJNImV8A/E4dgxjOTODsFdEPwvMbWRgviR4up6bbB4vveThk9
6X2x952pOfYAfPcNfYitUaHamqYSTJ9b4fjVDx3djXDZBb24q42IKX7Ai5xr9xt2NUezaRW+TjXS
twV63IaoGGI6S/RpDj4vQB4ZMC8PlOjOTk4jJuBt+mLZS7pth+ypMNDkyjC2X5T/i1L+3l68r+9/
odcHpn5xbAlT4QABQUni3fH6xXlLYTLPqau9w6R+G0/zNwCbGyUb+KJCgHqIQp922uDv3r+u0Kv/
9ReTKJy6TNhtcQkjry+cV75XgRdM9ooGxxaTv+ToqaU7CFEJWDJtu4m9ZViXjXCu85kNXbSYOnqq
4IPijIXNX7jrVeuvHY89ZWMbtvEDT63Kepz3GcAaED4Cq48Znc3tB/cu/rx3F/VVX7GqdZ/9zbI2
e18OM94+e99iol0bjnMdRtC77cG/B/xfblOvy/Zd0OU31GjHwbaOYwqxFE/fVZC7x38HIDnRQj25
nsvsue1RUzd4aPr0NoUzbkN0x36+f99/fmvpkmGAZiMgkRxxavy+STq0r81m4LZHGn4ArYlKygTi
cnnRjVvhhdhjjowZnPhof/7lhQk9WwJKZ5mI3r6+Mrh8Gml+A7FxQDRsoHO08lEi2Lz/fDqXeLOk
XJI/XwH3oYpy3yR/RVZBC6yzbB/NXrH3mjq9QoX/6f2LKPlnWMUqy/cE0EeLeZV48/UxicDmmEoU
G+PsJfCCJlu5rQ+/q7BbNKDZ5L4xcrYMOBEU1pJe5U72YoVwAfBFAy3eR5w7KL9YEr8CJJ4M/AhC
85C1LPI0GbEgNZHZpCx9MFwEpk0I8mKam2NMU2OT4lK0GlCt3yGvitMB8gHgp529iVA/whEQCuMa
+dsSYg8+kY51MoFtrZIeXJQf8O9lDU5wXnCRxJIPOMA0GVqCrFxRWiKSRpcTuFkld0K0X6YORURR
jYmebzyBZ3hyEvuco5RwFQCdXkk7eWkEsw0U3KBc+cXBmOAn9q7p77IyfmEajhcRppMrKiCIpoPP
grNY30XYgnGosifMPCfAB+HneqE/NGT+Q8TiWBtdyn3b5yL2sc+JBsYSonu0Cnb7qKM31jrt12pC
8EsaUHynCSndVHKxzE/kD8DOhGXh0eMd46c2nNTGBnqyDt2sXsfC+V4gsLQOGSbdDyVFfhIvHMSL
S1M5S17wFkUtPewADuTcb9h1941AlDHl9Bzt7BQCpAGfQeAe+6rdMtOHeYefxjpvjEcPqfWNDBp/
7Uc2OkRw/aHI40jIFoNM78RPtuRzoMBDHxuOGeOQDoKJzE8OiKrE8h/qljlN3Tdw5AOtEKWhN/gE
SWy9+TRI3N276DEg7dHfkmDsA694aswW0GAP8dvwsnbrw5qEs0KwxIwS+AFwhbrOXmg8CWx6h2sI
omjPpy8ZevT7qZ1bdAN40HbM6fPZaHGyAmlXq40wvRuU/DCzqDkDsBRGOKevMdaoWOelPjLnkvwq
tbjUPKQvRohfh8uXpWR/caySP5lItwwpziQFCkfIJ+XtZgrClxJmDkLMRGtE4BS6LtCfkWxcRSkn
dbbkT4jRZbe9b5lrGlHqn1ZkuyWJnlzo3ocIPte1i7I5yAmekfT0hEYIuZX+MGQGNyAaOzTZODwu
a3ceWTYmgyrAnxiFVlH8pKBKr5zQPtvIuO6RtHhS5gDIhRVudWyNy8JtFu47KKadN8lia+UuuFH1
UPkkMlGNvstlC+SsMCrSM4k7pLKB5FPSFoLZwcfqY51tGPxemTOMURErCBUKvNtNtkvVl7TYadCf
6JqhVz0G8bpSLNoSdZ/LjXO7ZDE95KrE4ExjENtcC6dvvzLngE3fIRqHMAVbzYuqT6Xv13g28O1Q
Q0m3S40MkztxT8wLV3HnJ+sEyRYwTXQr0yDZTR09jJwAZrQ6YHnAKheeg6WLyoj+wIAXz1DEHsuK
fYWCw0vtctdBnTxdwgXsoJduIo9WA5GgSKjnk9bVlqqcIJWLj1RjAezvR14ixQD50EI+RZbsga2x
Dgqm/imjYbRJkdfHScFKt+5SPaJQdbqcTtg/M2QKeQOOJYMr4SYvKIQFd0hW7XKSJNSwF7ltQGaD
fhMb4ukzKEMQasxaNgVJ16pt489tyz6WBr87EGuB0fBCJmffeNkTtNlLOJsLXkSUuTeXoNQ7hBcY
CY8JvVXYAu4NklnLoYbhTb1T7IEFTihbJE+MpfAwtyFpZAMf91JNRDphcWMbmRSOHbf0bi5POM7p
i94SNAPP+ijwXHHuKm7s8g0q4d/EucGwudB6UuNJgZDUji4sG0BjqKWiu1VazaOZSOvkNMlLWoXZ
toHPwhiBxXiJdAqjHeYU6qGcaYdJF7swosl426q5204G+zdhZyI7tfCvFDNowOTBVae/zoSn7NpZ
ytMCWxZiJPsQ6ePp6hKJ40knYvRqN+jYcmbQ7QXypB68rNIuOCE42mZRE1LZ/BUq2MSq76sdTV3s
B9I8vil9hKuUU3H8tEQE1jA/r88VGx3HVauT59R1zhZ27Lhgz3tM4tmIMy9Sr7AJJv8qqkjTiTS7
YeFTjSWLDiZwtc4qllU+EH3UwKexfRIK/XXbpHnEoAlzpYioTxVU7OuQH6wRHdtd4m+moyMjuGIP
nN6mQV2WhzqBT6LPuAZFjFUYsaqdng3kwadzXe5a1IQbzSDeXNJhzDCybQ/d8pMRZPNn5GHKg4eE
9sqOSK7MKQX4xlopuvwJ04YXEIYPgZnMHBhoMg8Dr1qfNozyOBg7tkDQdOmnyaMH6houRKYB4x+0
KFLQWXG/Qrag3mGAgc+u28Q3Y8xbdSydn+PSCV43AmhecuDNXX1DlKyvYxkBphkLe9U68A8nO0Ja
xVp8WNuj2pYl7cQETBjz43Eeoec75qEBJf0UeVPfkE7LeDdYFSZPKqZj5UWkGlP8UtblI6Ik3W6i
svpp+OnyDxqk1TWus0ByKsZMRR0izqNimvKW9QhWJV7hO1GQEduIKgKl2Ng2iiQAp3cOqvtAYkKd
GlRDeWycyLtD9BS7LQjlazni55FqAx+lC7g0Ik+ul+bGtvDF9uQE2NEPn0DZo3HmCayIU9yrBL5E
u3Q0l+sFVc1VVRDsdZlXeswDI+ZTCDu27c6BjnXwjby+iR10WqciiddjmXVbB6GPdYvAw2rKQkmO
AoEVqTxO3pk3NojmV7KQsHWDg2BLXeATFFSMLT157Pz6MUPgeOX3qCENtjt+QjpigGRst3tgGehV
JjLg8mgmFFqEVVo9v70UdIYtq0f910GHn8laFo6/0q6JDnmtgs2IiTCeTO7PCkWnJJx/9rTW0RiO
CFoGrMUSnUp4S2itsBrQN0qR/QO1M6wCNAQw3BQMt0SMEkWCYqbdAj8aQrkheb4zEEUyGgJAy7gt
xI5oq0K+aRh9MsbmOi6Jv3IYP0OguGrcTK1UnFeEcuNX5bL4vBHmIwMisU1744fTEXWT2sLLZZFn
HJTFKmnMU2PYKXpybAMz6dtNE6P2CgvX3LRTzq7VlQ/yMcnKXAhLcR+/WFPpo81A/mQFRJqyiObP
TE5r/YWX9ZhxAsnCDV7GxADFYansSwHPhVmn+QhtDfdcq30sAloceVo3P8PFRwzHKPrt4nrdPi1J
gpnxLvBPyZhMajgUWwxB4NJxXBrpyTY550KCAxPYbotFMoacVcO/0hW945PceTbbVKHiyiFjne2J
wXdWxAxP4FswyWCJUjDv5Tg+IbEDIqYYzhEz5G3g5/D3CgT0Fo4CfZ+DMuEAEZxa16Is5LReMY5/
6q3oKXXKRxM0DiRC89wuaKF1uGSuAfJOV5YVIcli0ksFtX/HpJdZpfWdArLemaBWr1sEnD73Rvot
4UwLO29fi9lHO4GgJsYkRQ2Cu1FkVZCJO7JrHU4XwMpgcDnxBoXT9uioBztOnyoI3iQY091C154s
EDZxQ15jWP4J6ohL3ajidSdGVEumHO+qEe4g2hodRAG43o17A/YoujMbq/p2cWQrSJMha3rHTLLC
0FA3Dkgtgj6aeKd5NvKepae+lHbRXIdGPD7kNSOnrmG5Cd28isN5PaYpFqKKuBa05DlpHU1QSmxU
9lxfB+mcamUYmO04bbfwsOSYYhmqPchX2A1NecCWeh9AhTxafvJSGNFLyGnfMH3ftoVzE0Ky31xO
dHRBUKMj3an1Wg1ZJjeB1Coe5AQU19iM2eipGtww+CTOzGIuM2hJVC3LRIMIV5d004fNY5lz9DBH
Hm/Dii3FaISPXXTFvkNy+GqmM4laWzbdpm6X3tf9gMGCyVQ/NJHw8SKyOyp65pysyaYri1MMhWXN
VBlhI+Vbp7DiMplgDU+RvQC/8aLnJkaKiq7FQAcEdQ1f0657g9Xkgx/5kY0tv9LkLyb4l6c8GIpT
xql3Wf3Um0CfkviKYvWFJgRPlbn3aor3ri/OCORS6gWcXEll/NKNKkcu9aEP/eGTA3MSZqc+A0PW
Zw/yZN2SQxEUwurc+NC9ZedXa6bAWMyZ0c0cE8ZoRqb4wwsAG053ZfRLTMStwJkty1bWXF5bq6OG
Q4IVG+I2azC37yVWEUY0WhsAXP6O1c4Rh1I2k1l5vpy98OlbVlLw8H7hf8EZvm0vYKYoYC+ChwWE
8rqJMSQDqncoK++NgqIzhXqNCEz3WONWuU3MfNkhwpLyFHzlbsnARQgwS2NafXHqrwxIH0wVW+xh
Cl2dZvSeaWyZlT0A8b4zxbTACccsFje+fhONJmIv43Dn5gZGhAqjewgZny+NzEuN5FniGff6CL56
N6ydzj1b6YKTiNFZJwGG58qtpvw0GRYJ3aCTUo8aqLOJIY2XCuprh9zLwNPgUoT1lq3uYTckqBVd
F23tr2Wos8AIKxmXmnfjhCo4ppY1/ectciYCTD8hkbp0Bew3Hakki8Hks1P2QUvJobwxuGp7OhKu
IOnKU+dLfAm89PGhIrDd0LDwP2hR/6UppnyGGS54T2Ypb3t5tlI1yt1pv088UMStWKJD25AnRS4O
BCkiUmiqwfwD+WZ/0K56gzbVvVcNotVzUUCtDC3fNJLY2VaPfHu/V/U0ANEzPTR8DOs+HpGQk0tV
fe8RYt8iT4kQO4ru5ZAPEMLEHm8/6/H91a07cH8sbtMDhK0pT5BnXy/uXvRmFZVjupc6COiGgUR+
ZOW1U7dtHHlGG/+j+cSfPXtJf9TxEPii/Uzi/fqSdtFBo6QpBafHVtusntW2BrqytbLyYWqbYYUo
5ogzcpMdUFLKD+8/8F+ahcwJuAEfWLseZb2+es5LtbFY7fa1IhlDkQhjBQqKD1b4X14rXWZEEh0U
Av8cU3GaCijPTrdHMEmu+wV9jyaZvhtze9P62be5y+IPrmj97cGYQrNwES6gu//mweoCKxzMPLp9
GCftddDRMI/RgjoSEmjljOoh4vgE8kj3TLjhUz5l836YrApcTo3z+hA/L9mX99+1BhG8WVx6jgis
n8VOE/jN4qoMPBF8s2KPpcn3snLmX/9OftOEHC+b6g9mzheY9uvrOQ7LWNL1h8ZLYf762/bCM9yg
SNu9ir2bhjm4djwotmUg47VJ1ryyBveHzJLPlZkfcZH43GiRxyEegVOnz50awcQ68fLp/begp7Jv
XgNjcAFbgtVmW4AEXt+WrSb0HWA17nN/oE+TkTy7NaGmNxGI7oU49mV9imiSfYWIVO3geZHRRrjJ
xqgxWc1EY4o8Dvk9IVZxWcwkGfbNCBxl1SXJT7c9OJ2J1LckBem8o93aZ0GO04dYHuZhn2yNLtyi
UJesvQXuT1cwW9JTxxQPXWS/Ue+Fu5ysW9w715mJwSIyhvnaDFDUBuHHEczY7nKwJYvZHN9/N+LP
d6MnyQ4eby4qMbAvX78b3xqmjsJQmzlQLsww3NZeFw6rbMzpi3kAkOYIeTwwfBJPl8G8PCatVawI
6pKE0KNVG3DSIbeTXlVmDyPBZEo06LwZfCYCRXm4fKIlgXyQohMa5h/GMygvb78vgqKm0BwFpAkc
Uz/jb/NWehnE+YZkk6QUPDKuLRt6amgke81jL1Dyjdz8BFiiwZ0OiqeRxbtmNKsPDjS9mV4vfug8
PstLMLk3oTG8voscQdRqwDFtX83NlRh5MYKVEBeI6H/wzf6MNIwOAQ97THg9Aazn9ZWYggS1AJC4
Dwq6ggl5jwWPYFd7XfGSLS0dDo+uVKy7y8BzYZ+lDTfTo5Id5EBcxip6EpTw8ci8ycup91JKQN5v
uoWKSOuE4p3+9qmxmc3b4LUPBi7DH8zy/vbRGOAxAHU803H+mBwDZlXCWqJqH7VQ3gX63gDEpmqd
t2SdMGjrrT32z7pemlPaT30dvcy5+iBi/RkgPWARzBNtYcs/j4lM9K1XQQrfm7L8ZftzveY1cLGs
Eetx/uhq4s8JlufZlucz97Ut07sIXvy2UG34lYheCCidJFS7tCq1aKl7XFqkLHywnTRwSaiXjiEH
HmeYWy/lYzmVKbR4kntphk+VsuZPYIWXw0DhvUplSmWeU9mjKj18wm3j9v219uc5yh07elDs4U9I
0vh6qTXO5OXtxNYCgQuLpq26jYHZ+bY3qZ9oZZsas/zB0PIvCT9XY0XACQJl57zdSRmpw1jWaAQi
i8QSLm1JIT6JU1LK6RDlHf1UdBKoaHuEhiL3GkbU+dIzpN9ubNEQNzdI//v7gEHRpksHFN8dG829
MrR2NdlsZVNiRi5lt+10j2Ih37r0RAqLwkkwft51no5msUO/Vo9f8J6JzykV1Tov7eggURffh2kb
rWMAk1mNTKplMNSrLFdhGpJDpPN0Mg9kd4/TG6LUVHHTSJ/kMtsoMwlDI/N/6krYjTsuN5lMKILv
tjFhpVm1uC9oZ833P6X4W9hwbQmAxxXSBLPx+lsi8BhHjSRsQJ2K7tKcMaZF+bITjkRkgj4mZyBF
buyLJ9rmdLMdPnQxwrsZe5FtC7fBK2amR3SJ9blAOTaeY6j6sq1QaOjEt8toU1aWD+Ynb65yxt0Y
e/IR3n+SPxNYRXwleQVxYgL3exPv8YVhBNt47R5P8Vnj9YtN7uktIaPhGtBwvvbVkn+T2PDCLx7S
D85MLYvzJtLjzAKoDswLWCPrLb7HV1Pqj8g47M2MKVopmunOSun3K2SlGHn68ktROfk6tqP02Fvs
EYRZ6SoY9LFj/b+ctKg3venlKCyxTDm7mChpzQsXB3HT6q9gWj6Cn8fRSM8faG1YBn0+gLHbKIia
R6fS0wAUSpgt+Wpv5rrHN+l2LnaS56Ye5RczczYVZqDNgMCk4y7ObtaYF1QCcEj0GXpkhvlLtkm2
LxQAm9Rj3Pj+R/pLZqEE2Tf6uj7lluPqt/hbsIPgkxYoGJfow7Ot9IAAVXtGwhYToQrV5u3S4WMQ
pstxMlNzBTiTvk/8heEBaGM9hlnMHuBU49trTutzpuNbjW1ZsmAa2lXfCib6qK4zi8BgZt6/f/d/
xj3Io2QU7HuTMvVtjdR3RgXMOiz3hpJ7/OuYmxAq0pl25KUblQX5B1Hvj+TZY02Rn1KUAXPgYNe3
9Nv7iixMgbC2Tfe0tqvVXEFvjPXk/jKLaS+ft2coNBBfQHIAGun1GHDoEAC0y6nfNnWDJh5glhVQ
jY+Cx9uD8nJzDnkt+02jhvTff7s5d8bRy8CuHp5fbdMa5B5gDzEF4Dsh5v8Rfu0vl9NbHKSSDRtU
/HHspJXTMohM96OjV62Xn2aDhEq2rB1qx48qYvU2CwYZLYkoIDoBssFCfbNWo2Zg2tjE6HxEkXNC
mFQSC3FFnaS/Y9SEEOqYkpHERciZQRqKdjCsPcsyihtZSu/rKHPkRob+4Nr9LQ7h07Z2IfjLcUAG
gj2KX8jUXmeqKvY+DnuoVxXxqbAxs4I2w3Rz6YpdG/Pj8dAg4WEY55h2+DHpC2tXJm2NELzIN0hN
VQdqGBmtYaaMGxk6ydq0IyQAg3FHR7LGmLWWexwW7CuwHAYTlfQWVzecYYGD7T1h8w4RaD2hJJFs
Avznbwvq5N2C8AryfEptcCJCUUIYT5ZG21ljDUGIRG2HtHqy8SIqtQDLDdqG6CH05NwLEkUBg980
h+nqEA9WZeojaprXBYqtMr7qk2YYQVrA/BvhfOxtr1YHP+YejCrAPN74p+rkbRjFYoMDe3uNaOBC
+2exvvda+bnzUueDjWa/TdQ9rB5QFQNES1Qyqddfr2WYpI1vZJzyICgUurbsMTsDNYL9HpNtcil4
HuZtVdfFPqhGNCOXWSJKqz9gmUrYWCjMgOwhr/eQy93EGQqTIrF3CujhipMBYQcWEBpQKtkoAiR+
z02xY4gg17orsVP2YjzM5ShPvv75pOxuu0g8OB5ok3FyQZI4vb3tm7w4iKRVHzSc3h5ewP7YUOxg
8hgCjflmqRM5wdDX+PhFzbJvItyUmcT+Z8HzcgkPhKHjw1R3zDcvmCrMoREQKgADCSq3aPqsB+h0
m7RaAIN0ds27MT6qit4mBVyU2ClJbqgnCBtvIlRoKDdxo8ZDsN1D3DhEyLNazJqxW2oBGGCkZ0Cy
OJaNiQBkl7YftLWst7m9hwk8CbIggaefSsfl9aqa6xxdUy0b3ruVwVweA75K2MsmSfQFEU8+Vj52
ykS7B9oO6R6PyuHz++/9goD7vQS93AMtckEtA+hXA8R/j9JsG3D+DV7Z8G+NzTDX7QE/UdyaUrNF
6XqIsTtEcvXHZC7BDS9S3pRYJG6KTqh/jNRbNtHgIVkzymTX54t6NFvBq6xbsruo2uVp1NyPSGEd
ncbjcbrIO9W1dE9eNdZfRAgqYTVBWN+Pfndn46GzilB0/CD5cnRx++oZSWBR0nBR6qVxzdn8+hnn
uHO1nre769lVp9Fupp1Z4QfuD+VwdXkIv4+yO3MMvVMb8QcGjxg1YxeMBSHYkYUUbGPTi0CoLggP
GCwq5IYSg31ttsdpES8VWIwDbHsgZBhvbbAlP6cit7dVgzIcNOX2kNXoG+FBofbu5CED5eCe6SQJ
aA633mYQX0D4lHrGXiDMgIvCpgmcVVhF+AI1dYsu36J2lTsAsYjC+9mA6uriUXw3L9WXpUlsglB/
5YyYTC9QqVZhHQ2fcEfoHo2yeH5/yWglkT9eJ014MJUerWD7ba1V+X4QL9RNuzBt6J30RrP2EJuK
w/GfPJeo+fXS2i0d9sGxOwdrQcdrnTiVOqQqwx0kpnuFuyKinz7bLME94BrxH/NHPSf4Giz+cs2v
uKdhgG04GbI40EjqV7x0TBnN4eeSVP41VR6+yB2QPadrYW2JGnn8RjRrLIa+oBvQ73DheICp2Gyw
5fsos9FaLm/egEXNzY61UZiUtEtfL6gk7tD3E5mzswYObwVH4buYRoZg3Hjwf9g7jyW5kTVLv8q8
AGogHcCmFwitUusNLJOZCa3doZ6+P5BVbVX3dt+a3rTZmPWGVmVkMoIRgOMX53yHJ6hnblTlEdE0
wBm0tEJDiNPEJ2yiYFFxn6/TmFzagsClR+DayDsSbrts7ggY8khp2ppDzYUpIm3dIo5b6y3XyCQr
EsQTL8Vx6YF4b9VunIj/NUz7fuitF1szYDb57n0YJ5/0Oork61adCqm5+wjRxiUiJuFGUk9i1vSg
I/Q57XgZ19B8R7kTzAZ2Niu/LYtJLvSelwTWbv3NDOc/u3bYXNgMvTn7/qkonMYkZkfJtQN88xu3
gXez3CutApo+GFH/N2Nc95+eXDZfkYVCjUkunJB/FDMXilmVriQnLHIqfPOd/4KwLCYUgcRJfS7G
rQVN8yoWMj6ZXsuB11J+GQMf+tg3VPAepke2ic+9H56HSFzC2em2BiqfURwnSHLrhngw/gSSV/7s
iny/ea35XJctlOK1OXA3U7Z/V10z35oVYj6DBLcvo6q6vbK4B2qawnPa6WKTRVa0jZHEPw593t6x
8MdFaMb9bZ0kM0RDdBqZbTDiEnOziTRaG8Rc/oGN7K3EH7P3yVNkW+mrSyFKl2TVqr8MOsdyV2fZ
tlveDhtT8gbaon90cOyvu57HjBb3XrFyTDfdkkfCXSi19MrUK91mtqa/WaFLwnNvsM6OoWhv/bZg
7NxH2rbhgwSCaCyxjiZpAj03xPw3VcF/crVwkTCL+UmU5Sn51/usEyLPighVLB7l5Qzh82trQkXm
ygb45nBD/Ouj7Z9fj60iinRKLBp1gMt/fT2RlSiD58rZ5gW40r7mbkA250NVT7x9PJOA8K9fz/jn
wpK2zYGWa9Dwsszzl3f0pybJQ97WmFFkb9ExkV0+oQwFGSTOScEiCkRCfBp9O9lEndjWAAb3bcdx
IYCxEQDNze8OJauAwQ3JEOK/fMWDSu/5qvXKXrJXQD7XDf+URFTtXdFxXDvl8nB3QqIL5yQHcVa9
T8sxEpVOiOKai04Y+Tv6xWaTClShaQUqM2I2+VB5POxm4qLyPs62bBm+m8qv1vPgfGdu/m7GvHdN
J8hu8sL5xFzL3AAEZLBStTAAuNYB6aW/Hq11RqnVelFMbCRBsH6B4N5A5LtE9UFh93lKxlyCQOxz
/TRIW+4qsTxNQeauopq6BPMmj1qy1wICtmYiyjk/2kJNH+XM+Zb1XOdzwyWetW23RxXPsyfj2O2y
unlKEthHfG7WJm95QzX0B/K8edb7WswWYGrG338353onqkDbtq5GNw8gT62J0mxWI9ICSAz8DWls
dgdiQ1xuFo6LBNDMYZTjzIc4Erkkde9iNCzwVc7/+jLy9p3LHQqehO8pooIoQx8Ob4X4G8233LVR
114lBiqiUoYVzwX+mZpjpNB9CEape6PbqKkSOzxKPty6hM8ud7xdPotHMbk/CvS6qyy3zQN3Z3/G
U2NtOMEWKv2E+7zJKVkSyuift7sv+PhQmvIKGk+B2qfSiQs+/9i3JE07X8fPq/1/zPe5vNCPilVI
EiHr/befrDg40QvG+i//QwwJD+Bb9dVOd18dEJ8/CNLLn/x//c3fwdh/Y+nEr0ex+X///AK//+Av
onaQxO/tn52bv37gl23T837DFenAmGJA8heWtmf9RqnK0b0UGZZDDsZ/2DZN9zc8mUzWF/IV4ybf
+Q/bpmn/xk8I6ls2JD99oP8d26Yn/mHCYZu6R9e7DDgWd7b+s6z+09nUcBd1pU/Mah0a9kOK0Git
prg8jhg31z2sGa6o4jXOCgZOpue9JnCruOYcBbmDX+xdyerrEld29pzGcXKFok5cmDO5ITWzRB/Y
mVSti/pMPJvzQBLMgIbpHGZkGiO0JYgz8yexi6ion5GFVN9z5crnGFEeln3LlNfC1cYbUjHywO90
bWU3VbYddM88jsww7xQo6pPdldURjhU0OQJXD1E/uSOPVW2J9JhN+1TLLj2luY+kJfHs8gG+1Kwf
OF60k57yQivHTnuijgQkrdgpwkdQFM2ucDTnJHwkoE1SA4VMNQ9QdONOyVM4evpj6EyL7N+K+LsZ
tDGpz1OGbGA0zE9/cVQHIi6qY9uN0dbpRXY1m2lrB2mnkrNepJCFW3wXS/YjWIFYWO2thmTYD0AW
TLc+xvUt5JTyUno2QA/Uh3EWmL1TqOsIttY3SXXaXWgtEvs8CYd3uveCQACNECCURFNzFY+ZQxqR
7rF2CHFBCTDoRKh38DEPgnCMrZoIygVABNSE6aK1rZVbnWmFnUNqGNChgVlb24Lwpr2pHHTPo/Ud
ywWFK2LKV5Rodrtn9odRFU25AmYudb7dWPlmFsweYUwdcRREZ5UuZa3O+pyS8d6pdHfbW1b7uUgt
Ej4N9CYKfsqPOjOGV0P24ghmKDrB+KluiX83HwfGJJfMyVDhYzVxtS3i9VTbjKTvEhlsk+hDZyKc
I7k1EzL60SdTo6w3DdN0QPCVXRxhq7lnm6HzEX0YvC+ndk8WHo6NIZTzRm5kThfhwAhaULr7yiSe
Npk1VZPABPw1SB2ywKhb4muUtiSNuZknL07rWWenIcZYNzRzCsKQTHjVzWYRlAMfqdcKQt4MzScP
JFK4mjK/H8/h0N2jdAnf/LZEmpbZ9qtLHM2JLVq+j8zWXFQGhn+F+Bg3iuOW7IbqHhDVqgQehyvZ
B20DxJgEaOg9A8w4r5utQwe8iXSQxVGQTH17p1GhMnZKN/rAg92pm7e6JgAzFFWxbmSvPTV2O64Q
1h/1kUefq3gMOZN9LTP0uUxvtsBmY1Ae9jN9xqZQZretKpcJ5OzGZ1v3BgK6mh+G1jZXPEvum7b+
9pMuXIXIB3NfYeoBgIfyeLguoBe5Tm2vjFT0AV5Ick6FKmDp4uZCBueOYjuYZoZrs+jIbLXHibCs
bt6N+uRCzU9RYdMYrQbdGjgQitha+6hjzwTJiQ23Yf8IMKq8aDo239awKsYnUqlbKUAvBohHWxZv
OurEINJG700ROU6ilic11i4yin8QXqnra04Tc9xU+iz9ozePcbyzFB9O4AL/GoEGMnzb8kOOHlRW
BLF/ZAOtnQcHUfhqwCL0CcBMbZVBU8ewyeGykOPOKBx7p/e2DnKuMQ5GS1JtP+j6rojsIgmiOQwf
XT7alWLjHQxMabce6e70svHAbgYXMCOWVKrtBNDmQhyVfu/ByH3zjEYgHU7a/lSYZnWw3DC7CU0v
3OqUcd81AdmSdE6HFMBZ6tMWt8u4wQMzsDgxXW54q1evtZ3r+yYTQxT0c5bspzABalJlEd0tAP8L
WDyBI8RP9n4TtS+2CasrbCdyokMW1AUcwU1ul/29nrOI0nKVHd0CfMjaTIkRRfpMHCLxwTfMuFjV
WLWtPiJCMHEN+vs5ck4ExExnqWf5S2tGHRFI417NmXavapZyxAVmdxNz7mvR6fO1iUZk55WldYPc
pU7kAcbQdKPLBEuDa/WPYB972p8By2E6us0BAbt2pXelXp8srqbroW7zM8iblOk0DrajPeSvoe/L
V1fLsqcmUdWFjzm7LbLZfpMEf2dE1OsIDhrCtRlAk1wd9xObZgZZ3TpV0toMHp6qjij5C17xcl4P
oUo2tk8ixDTbq3juHcQk/Xxq2c4lhMbw1c1Dlm9x0s334UyqAIKLKHv2IDhvpnqU1wUb1qMLY5z4
x3yuQSyn6WeTxepg9IovqdCc5D63I66y5bXdJLFuWBWY26iA8GUatfhhDPG0EzCz641XmKCUyxwr
A7lXktk+6UFnl7i0Jc063/UDj/u6bbZGaogtibHDXex3YOClxmbL87zs4M9TtAvtmM1kGObPaPbn
R2l75nlmE5QFhtuYRzIZEKiVMW5qeodP9gnZWjeG7APfU4N9jbjux5GcYDwylB6QxpvWPY+1l16w
Bkzo3Tlbnbh4t7oy4TLO0qvUbqNrixCpKAhnmNVBMfjZ28B5yjQp1jFyTVFZ3bq2Z4A5bRKM+ozz
AbJXhTriuhRPXZP1j2NqfLaqquZdEnYawWskbbp+F325Cox6KQhyCyaTeMCpA5vBNsYfSa6xzKe0
dYcHl6PmPRzdhEPX7BlXEXYA5c9luvXowsb/yi3gTMqC71TEqNjrQhqvcUp/vG/TxrqWDSzFkUN0
ZPa8eIHT41w7/YsfRh9+1O25tbwTIscURQJ7kl6D9d8Y9/rM9zyl1XCcmvAKaF6DSaPB06aGmd60
nsz7rOUm2Ss/cU44ZMR9Tx5aoHXK3KWlLw9eDLg/IGyv+6jT4gpEGF/UZLYHs9aAvac8TAOQfSmB
DGm+Lh1zuEWi1VHv6TxaC8vf1jxTHuES5ltjbitcpwZMc6w9j0zoNTpS3wE8Xgq4WjnxvZWjPXij
uxntCY2Obnq3A96mq3aIFrhSkj4b02QeQF6zg+zL+rNsUxZ3pDNDUuyZ+OF3fRFWMV3jtag++86k
J+tm/AKDENM9bDu07KmkMDG7vR3p8Tmu1LTN+rh588tuPo1koH27iLxXdehc12abnAqNx31pNsbH
VE4/o3I9Wp+x70jFnnotOeVgtm0qyWz8DkN9OM9kaybrsdDEFTMeDhLyzD6Kvl2seZ13gqEtdwOm
0hsxUUcZLIW2rjQI8E7d+gL4ESgo1jbcMTbEvW78LMTc3SR1c6U8S+4NHY3DZGiUAzLJAnciCo9E
cyAIajhTdCbr1C/t67w3831Yc6xXumaT3syu103OqDE+cBZ8opu4BkrfbYtKAsG1o8S9q+q6trCb
6sY2brQTZyLjU5OMUDwanKtBNY0l2kpmxZQRfjOfXCGHrTVJ7c7TJ0t/HerZc4992I07F9IA3z3y
k2+KrEqBniiMJx5SzW4cCGJ1nSFqjnPRUPu1XuZ/YqQxGP62PI06LEn3tKcu+mg1X/ROu7A9c+4o
Jqdj6qdxYOkdYffoTanmVFoEHggziLYRa+1gaB3rIc+MaE86D4lhC1RrkOnJcmpxxYmA/6uJirOI
zL5Fo2AlLzU/cTYL9Lor6sz5qpUepqFab9zXnMr6HjxFe+Z+hUVsaHLats3U32ZakwzB5DLWYIAq
saGJcjY3IRUu6NgMRO9olPn9jIav2dRDHb2S5FycrS4jwdsgcf7KqqhQsowpDtzRtCACJhLVTWZK
R6y6oguJ03EGJni4nKJ5E806iNcsrONnPYvB+tU1q+lYt7Vj5FJi2LhdqiwvrnoWkfladsXF7IV7
60W6jcYNZ567Souy+PSmxPiIauVdBJHcr6Q5qwMyYw1zDXC0alVAuYhJyIRphe4S+A0EtRGAZVUz
2SEh2nvopjaWQQvidDOi0A1cWXlbu3F2fubna1HVbYbd2zdWUxq2O06t9z6RMvBNVWGNs+Mdu+mC
jCG5i83oxmyc7wYa1j4sK+0wMmpdZSRBolTf205yBaLZD3pRF+sc4ui9PrQasaNtsgudHEm3jh8w
t7FrLC2G64LLg6GPzW9bVtSGvJOjcMpvHUAjuxWcF2LUkShScNMiZ0GS+9rar+Jnvx1ybBvRg4zn
CctK9EhwixvQDhLAnspruvNyVQ3exTJZkBe6trcSBlY0Ix8sms+Zk67LxPHgECU8G/ToTVbmKSJv
PYC1Zq6lcgXzrmYKsgrLppsVRO4OBn4AEc7rMCmstUWSG3wDxfvsS0jPPnzfIW9ZhptrrEPvYC1Z
7Md7LIjxGqDu9Yx39mawimojYn2+cO/Zu9oKfdIwfSMYhgnPDH2TdUzLLroLASft7JA4xajp1abR
lSJcNhH41erS2s5Fl1GUalO/Gw0nhLrpGCFYgWyyVuRBew2aLdmexaQwUZLjXTFYzd1dNmpgEC27
39uaGz4pw1QvXVoyU4vJiqITw9RxGrvJrdez2fe3uZ4W8UZEtf+U28X4Tu5veOoEk8B9G9YBBY3z
Eg21IjFIc3y2FjMNzpEZYnIn6mgkGd2y5n096vizM19/jsouv5d6VOMWam0BxjjLuyPjUkkN6nUt
R15fP9u2vLfgiO506T1ImTknDhjojwmbpTFv3hEyQa8QC1d3ZBSKim5TG3r/ZU4qNqlOde8qUpa3
p8ciWSXWazT9rESXTD2U1VUb9m/cWckKDiR03aKId4UYBUsWHtUOLukDE87omM7muJdMOAllig1/
AzWpPhkRZz6nkD48EXqUv1a5n+wSIVWJZapzHz0KF5u0zSIfg5AkiF8Lzv+xwdqf52r/9v9Xph1D
smWp819P4B4IIVDt+59ncAYpmL9+7Hd8msm0zRTL6P+nw8dlpPY7Ps34DS0C2h6G1YQnGIvu44+8
Bfs3xxGC2T2aCGZnJr/1R94CSXjw+gA0WR4zNB0xwx8Dwptfa+l/lWnHOpEdwJ/X1wvADTIYC2qB
OwWG/193BHWZacBZDbW3Q3taqUzCaR28fdEXeYBv/YW1PvfJSPKZ02HLnyv5NZrmM9KfF0jCOmhT
1n0Apz8h+boM1ii65CjUWtMMDZV+U95ntd6dFsdcUHlTuSayqWN+nt4iS0CDA/hiXy7oiSiqrzBn
I8hI4ONOlfNS+XWzFWq6Iyj5q6jzG2NaeN2Rg0PHT20sw2RjRdYV3TYFfaU1b2y4Is7LnptoQtXE
ZxjyqlH/lnT5nt3LmZl8HwdywJ5diOgm0jgLIcFoG70hcdOwUlo9lEknmdrzsdZqcY7LEKFX7RKB
SW88PYV+9KAn2TvRTi8Z5JEcxduEoYCt5CYdx5DEZMWUW01w1Exb3QFg2ZEQZ59rpvYHM3PUdg6n
ah1B58mChoxlsFpqGgmSdgzGa8qHxkrOu9Fa7q2NXmbl1zGUti7bTVS5qM2a8uKmFXCcsQs/LBYR
e4E07Bh35IsxsjB5BvnuIWsN8i5yMpWlmN7a0Y/xFc5AYIH0r0wfAg5nev2hhK9dQoxtB3+oRZDI
IV3PuWNf5qxVW6eovlJDDjvNb9zrlrDw7RCxiVapYQbGQjTPcN9sspiOD3B/e2wIv7ljNPRZ18Ak
KjRq1wNd+otVTS+2R678kFGzdz7VYdHpZ7vJ1Kau7JjNiJatsh6QMl343q38N19iyBc9fxxd5hRv
B8OVm77Qj5WLO4s/hee+buNTApQ5EeLBZdh69HTmR0U0Jg9dCIglc1EM05pFKDWj/G6QsUdd1WcI
UIAXD0nMtKi2H10Ld50bac5Fpc0z16v/Neql3CzJhUxPq3ZdyLjY9HX3EGohvinatmrE5Dt3T+mM
HrvXezCupbW4zO3XvBz1fSq7O8Opx00mOb1FalFGq0o+6RHDM0d4d+CrH3B035QWbGKH+31FKBT1
XE9DtOTIweT5iYhNLRNcbIEIH3RmwnIYi359Y4uRoD5H08jyyvJrHzLOhgSl4VAkRr0VXIOMa7v+
SNeRsKFHVpXHMceZ3+1mSQeBnzDm2d1aJ5Z06V2X2t7OrJknak73ZETdeF/4RXQchKfvDcmoWtoC
BEBq7rKkL57ylJE0X1W/GZypl+De6fZ9pYWvbVX3mzAzm3Miu+g4TwMNJVkOFJiGQ5mjwvaL6q9c
R5j64ckQBC7Q4d4SjAQLdcRCO8JCXclOHGHGWdd6GyKXD4mSoNxJbgcjp6OCUnqtg1tWAYP2H3Ly
94mcGRAPbrX3dKYqQT0bt2EmYV1oCe1tPFZbODn4+bvQXfUiiteZHDwMsbWX7M3YYUhU5AXtuaaL
tT9o6nnqfPGoIuXuG28Kn3GHscvS2WQ7vQ7V23bJenab6dS4TvIIhqQ5M+aglYrBWdzlM5Rrhmoz
Fq88fRal+azHrdxWYgqiLir3dTfe1LI3v3oor4vRc1hrBMTMAdoIdLYjbHovpkz0u/ojcdTw1Vtd
ce3W1nBkbTHs5RIa9bNW09ycYOo5evbsvL4Cg0VqU2GuXRHICDIQjmuiPSeLrlprTmMPzA88u5Wu
izELWfrF7skGJ3wzzGF9Dg2ZXsc6ZXmlq7MSSY9GWjbPJaVgYCKhv5LNpBiHg0JQCba1groNgcKc
PvY+byMfpvmOyJTb0SHz06SPX1egpQ91qm55DpFBR5z81tGd6KPFD783cu0hGht9M1slmBuzlNdV
5jmoFOeEatcjdctMziMZdXdNZFe3TkpIQ5HYipmrC48fK1KAxzFEAWNMqH9gbx5QLyny7RuHmtkr
djo9CAZoWQVQPghoKfD1967FKZw4XzAUGA9Btl/Zvn9LKMePxPRwJaXMzW2f+K9Rr9kb9+mA7qib
N70KOV5CRJdVGT7h0eGpuLwH1DqEaScggyrpm89ez92cOyY49nD2L5AK4IyxQ7EZpFvR8KHBHCOz
GwHRg1l7306XXsid5PSFhzQQNOOZ3nWP1IwcwczSkNnGw505xOiOPCIXHC29c/FpXlxdpE81JrpN
Y0KrJGX8qSjFztEGOiyeCWQ2aP4rzg2sWH79WRECyEo2f+ibjD5vnPDU5vrV3M+Xwm+mFU+79LGT
LfZDTfNXdLBq5WVTuLX6yKR95uiRfvlZmjOe9eqtd82QD3W24k3OfHfjsmgO2H0kR8heN8iy24un
RwzAMcMkhrBWU9h7q6rsTXpfClYynxmsp6617/qsfUCgItczqbc7IWWxt8bqXdc4hXB/r0Mz3Ajp
MFshQsV2PgtVQmuVRomlwfklQPvfcvdvls2oRzwWwf91rbt/b6f38q+17q+f+VXouuyO8UchOALE
hVFhcan8KnRd+7fFzom3m5cgYGyJo/q90LX033AniwWe6brI/Zbq+I9C1/1NLNRcnNmY8Zff+W/U
uY67qHn+VOfaYK59oGoOr4KBAnHuX+vcDLWTyY1YkiGpedeu7g4ugqay2JZzmr5EtFOvjlfnh1Lk
9H1+E1JSjra10bOm37Px9Q8pCXb3vs3fwQGS+k8Vo7YXRFjuFZGq9mPihN1lMHXrMBVW+oGyxbpS
bTQeSn7diwLb4cojt2JaNYa0PzOUnSroGiWvBOzGB7KLaAwTkla+p6lmE4Kc6sHMjWHt+bp5XKbd
N10DRkexVUT+Koifrb0oEHWYPpEw0x1bcPlPjETSC+x8tCXMmwgU7lfES9NJ9okXpKnU18IlQ93J
PHNlpUzQq9xD5xg5DTG3ooqufHZKu6RLqrU9ZvnaahQwZQ+sS4LDiUYglVcKKygQSeKPYuhHUyIo
5Gy7vlhxrB3HXLepG+P+yjZ7e9uTOXzfE9R7qSQTqtQV5VVj2h2c/M7gzGj6u7xk3NFLgohZDqkg
U85VqNqcpKcR3P6o/FejtS0SBsqeMZZpbzSzya7z3Gr3zjIok21NdaPk/I7UJwdqnAJ9JnJtbcZk
g8rZzTcwtVjn2br5GGb1N7Es+MNK2TbAVYtseEVXFD3JPhpepjjsHkARhF/GjKsusL0Z9lXSGEQc
TNAriOPSVdFtsVLprwX4l4TdYJqwsQWN85ZOzWBvM9zlN5RG4Znnz3hC+DNu2nogWseeZ4BYlfL9
NZEtk42f29K8hbPawN1Uc3n2elV8G9Po7MOeXNpArwzGHh0COauwgQeNTnOfT3wvdrPwqRL3exrJ
p59jAjK0UViXLI+idUFa9jPZ2UQZQX55dvs0eWLCG627RruDoFefUgCB39qYOEFBTTeis23w5YKV
Gm9J6/2MY+8NAVsI52du+dLd8GTmlrNWQ7lsa1JySJeMFMZDOHudS08E8F1cecY6mbvpiMDZvYbr
u6u0jLyPkmTzwY16WNdm+d52at5Ppj3so8SLz+1UZwcHgpoZjeG+wmRGKDDBWLeD71XXgxym7STE
eCRVxnmNrVZ4mwx3yItLmOVTVOfZocyG4a0ANvA+hP2IgplBWdV53mmwGpB1/rBeuHLJaDR3Vr8o
xlTev5Ob0jw5wNB2baWs17qvI5ICegvlFaJEgzwwglbsAqEC2ZpNfRV19Oqss+zoZMUV7nK3ra+d
MWHm7tX1cwj7G71ioau92ZDQtNKLOtumIYmevT6lbN1s4y7SCiMij6sgY8tyaFFJWOL96uR+Bb1p
DE+iIPWa9dEEa06rLqErKWllal4n0O8udamMjYxJ2+kQxROnw2IooX6txSWLo4SiO2dmTm6S8eUR
/P6lhNNcTANi03oomtlAhtnnm74sa8K0uo49/CD04TFp47LZIajTc0JTVeau/cnw17StS91upQRj
WMs4UZW9czFLV22q3NK3aqHmkTMkdXx9BDl5qzKN643E3phsZ1fzriQLYySvHMWvkD8Wj9woaP/B
3hH9Ms203us+Z5cdwFzwuDvnIT5LCt8XEhOjgrlwpG5HrQdez3ZyZNgcmW82/l8nKOsufh0rj3aL
A1EDf1CmuCoD3NPu61TackCPYnm0K0zQs8YYXhodU+0xYe0pAlKTpoM26A7kpcKzjBV7Le0jqkYT
XA8KjRfI5IWH9M1rb0BVMM6tpuXQHsKJg5FtMsRWCQ1Umf0EscXUl2mx6WuvIh5B9WXViAUNURBx
RkK4hb5PErNG86xrzdWQp028GSEcjJvINKZ51WlD2u4m2lkESqAB7hPRM0AcvJlJPvPI7kMHQkPH
rYSg1+0dU97Xsa4Rmj4XmCJq2W5c8lon4pWL6V5HjI1mE4zNa9IC1FkVCWLEYFADOs+sm2J20ZqQ
gd45YRaEuZFSn1kOSb9sQ44sGcXBMCSCD+AP4zfOjfIZ7Wi3q1ic5ivkV+wKaerzO1SJ4bMa/O6S
+/Y3Jub23Un8O3scSZednchmMJ5XmCL0wj8qR41vk9cjZrKxKb3ZSu+81bJCPugicsOAHh4pltG7
d2Hmzd4NSd/wxSa7MJogc9th66eLULUFP7jLcl/agWCnNTDVL9JHRDzjCa9iREGeEMOicrtbM5zV
BxZ67fBleDxVLAyyEiZnrG/ieHAAQPSdG5DOQXYfMyvnoGnEXNFWCO+lZgn6MGGqOjEngppaGCUX
YBXbGFNRT/S7kLi8R8Wk/ZIVDnGjmaanyaYktevFcXves0se5lHYnc24a05CJh7suY9VnjfPCDUK
+5C46QR50i2IHbB8K+9gPXfsCEq+OM3KDeBqescbdPoo/2y0nqZ3bNL5qtR67hgZGvlzWubqxBlq
vOuGnJ6RpnmHvLQnJEHunHL2Mo5YQMUdehTsmK8+P3/b9Uz/F7zusEOhrL02OU8oc0JVVqAJ/QK+
4ezCpPSfonnUHoHl5re2RU4T+EGH2HBpFRcrL8MW7C+fLIeuvE5DmyUFGzf51Pf2RBGfWNWbllX1
AS4N+oXGqq17B2k+4WZ1pn2UDQOzAChSS1C6X2ok3YcepQL6nfw9AYtV77S+T9tNSmOPsY187ma3
WOBeZNGyaSv18suNba94NoZwUZJPg3uXWikceHdgP9fSj9KqZFV248cQHfi4BFhIzIkDFBxwoFhH
41tmQezmOgSs65bwIyOd8w++K4b78+jVT0MneQr0kue7bcx3WRtrNc0bLTD2F2NRRNUIAjQgWiBT
oNM91WlmqRWhdu65j2dRBGPoutFeJq2vzi4SK4ifStDjgNiU1zrqNy5P1+wSwKRx+BKKMT/AmWY6
CcpbXhPYWD+pbkR/PyT+Osf7T4J6SwyogVrjMuOYQqvj2d2dMvL6bvBCn38zTqytaA2POz5KikMS
T+Kc+rrVrGyecFwZzuRCgFTG1qgMtXDqs2QDxUVS0RqkR0FMTa9x0IWEEXql+T4bbvWkNZjnAwNR
zJVoRz4ROv2GIJuRT6i262RvjJH3niW59QNXD28r8lP55BvjwOcbT/Eao2v0g2VIvhe58p8SPSGp
cG5wg2qSZOnZSi/55ITjWnPyeZcOqbPnSVtnrEgMFEtFiiRrh+vUP2ON9E6jLS08/6Yr8Toywnsb
CKmDhkPS1Xde+8VXqFLr6IRa9IHkZZpWUTf7Z2QXVzH8ksM05zzmf3ZC/9s0/l3TiBQT3+G/aBqT
4v1H/J7/n5v2/fOri/+yKfn1w793j/5vrDIQFqObsTFJLG6M37tHh76SdpIDGzfYr8DqP7pH6ze8
NwZiZkaBJkIXGsvfu0caS/IsFrkyl6v787f+G+0jyX3/0D6y0zHAjDuLGRtL5D/a0kyMKpTw+CVL
ojcBXnZTwxibAMYazesPrkiOK2jeT0ODYl5oQ4FbK5TQUdPwYDKU/+QxXu556BDOiLhYMV3dLZSl
t7zNXDJqRI2aSGbNjwbJKjqRplsxTIuuwKiMd54fa9tKlT+TFWX76ZfhtBvjzr1DYJMMm1iv7R8h
hi87KG0Rb8nr3E44AZLUzk824zwKdyEPzRwd2N/bVCelvk1q/1pXaF0gmasXwT7iM9ME8RNxPIW7
VgvV1irxHa3yNB8/I8wCb8oJ1XHuUnPtwBvczV0V71F3E3prwl3uxgb+gZlf/CnxrlEID5sJSve+
inUDJxPzraGxKYcYpN0MIos3fkoYYFBYYtqFeZlCRA2T+rGfq+oraRJxkbpm/Tt7Z7IbOZJu6Vdp
9LqZ4GQcFr1x+uyuedaGCEkhGifjTBr59P15ZHZWZaLubRRwNxfoZSBCCrmLbsN/zvnOsQmGRxBC
ISbuLiDF2bjWyhb0ItteFbOWpzBgVujOrb+JZcfGMpfZuAvmWUfo6/lrh8voyAW2P6rc/mwBDl3F
eZqeU+lxjfOD7qGoa3lw5s6PDIRXcpG5n17wx8aLHSc4ptLOPScgrT9qzSK60p0wvsfZ669KjjSv
FTvTFb9wXqegjDcmK5iQ6b+eGAeoNaQroFRs/MD7gm+m24rJnBwApWKcOTb5pYWOdROnT0lPcBEM
3CwxDvHAu7xRhnpwSzvDv4dMJYMBuG2CmtzQX0AN4Fita0wkl2s3MRQ7bdaTE/LSE9vnJteL1TiK
sV4lRAdPwoifSaBNa5Fa5SMhzn41duxi/SKdN80dbD/YQRWNrl/epEWR+QRo5LTyRkTy1p7KtR93
mwk5hdSZ125KIX/ipaM0KIUscm1ZY3YYLtyHIjbPdW+W56lawi/8t8mTHi18WZgQnmdtF0y1Y+9x
Uqph89dhw43XGKKpNu07phvQLo3QcPGHuC2gUJJ7X53b3YRua0TWkNRbonz29eLM5TabPI3XvBgQ
EWye2tQMi6eCAGKz1gRet0bJexZmgC+NVg3vi5DVCSZOfc+Z2T8t6PoQSEwI1xrDI4NZj5MgpCzf
f85rXa042I2r1sAP3s7ZehK53GkORk8WDOpryavrI4HVcmPGE9fbRmbJdV+Zya2zWC7TGefi+8KZ
kGDKbs1d50z4OGITgXXOCFZRAvkZ4JdjPC+MZm+I1t229GBvdJvfLkP12Vn6GIDnR3GY1rbZExOq
pqtydOp9gNUHfLr3iP9qnVjKPtR48ijClZ6x/qe1+g+1+H+oobytUtV3//t/On8Th11WPdt0Wact
caGm/J0PFfuZP1UdywGXCVsC7K9wJtS1UpLHUdVnjvhwqUpqOTr1WuiCWXDVtO21C+UQdnqshlO/
jBSolpJRvlTFKRwdLndEwfIz9aTqtWrwr3T+RNjIc6RbbvqeQPyKE2J+H/76PIPA5rPtSAoUD4rP
hXcgjuEc0Z0GKMCjQyfD4Br5+3/+0v3LuPKvA0NMwSRJgWdg6Wbz+ZswPhs9g0SiwzuyYzjNypVf
5s6DEeh300WFsKp8YPifNGe/HfyEFg+HHudR1zwNba0QIxLRWhsKniqSs0tMCStDeqCPxfiTk2Ly
KEs9H/xm2ruc/BpnaXRkDy0AZ1QiyYmXyvejXdhIrHn62TS6gvtglbd6CNoDA9MGxnsxHEOrk0e7
IdQcdTnpUqRm56DG1vEiIDb9hvfRptgsz9ajN6Y7EerydvCn8J3KBfU+I1xuJ69QHzaF3dciIb9R
JK3cgtUtd1U/+a/0xcYH8nHx7Vym4z1/9LftMqSvmeXIox4nom1wBDZL6YndBPKcNN2EVS6Y5gNR
9p4KXrePt0lvJw8zfZLjalpITvBjo6lkudzmwEF3lHd6W4J+ywYS8ICBhjVy06LhPve2sKiBCutn
jvjhuuGK8w1BNlmnfZ6fhinraCkQ2YlLW+JFQ2eLZ6i29g0xP+PB6Sb7AtRI2FsCs/rZZJV+9kgp
PAu/Urdg69rbIBfjkbSutQd2L89xY7Z7JpeHErZvP/4K49OB1QSdBko1WAzIpmm601OZX4+TIo4k
ifHvpMtUlmg4DPq5aR/gU9E1Yi8cdCvL/gBcHD9CnUS1j4sn2aMvEVMQ07Lqu6V8L816uloIHZ2X
tqfrRXb6RFGKdy4D8jEcnNOzL2Zuqi2K6La1sjmGWxjIiBan+kI7iG+YI9R3HkNtvJNWMu9h/YPr
xX+9aVuqy0Pc9rcD8KMrFNd+LTvFZSxx6qP2/PBOXlaRook5rvgHip4JCKmb2ab5mUtFMxUl1e/z
le48Y5cF/gSI2WdAw1LVXdasxGP1ii/rmJNY8q5cDOM7uKxw42WtK2BJVRMGDReD3wovlgCBelkY
h1+LJCuFux4uK2d7WUODVrLOFKm9sBBIs4+Q48JrUgLqSV/W4NZ29VFNFWtubTczjPcxINA+s6Jb
VXM/+k11WkxreBcMt0CK+j6X8xZczK+NIbvsEf5lt7AKC6NAftlDmiRPjT1YedxZ/a8tCJ2YEXlo
zD2zQ6vxH2ezEjddXYDtR5gNv5iZOf0qqKyckgkzaI/GeMF0XvbJoc2Igv/aQVWdBB9TnQm2Cp5p
2rzstD7VRUnzYN2Xzb6K6RSOKQJI8W1ctvQFdRp536BimzLqcWuhWLarhVTnnf/r1DBfDhAGJ4nl
cqQIfh0uCFNkkRp8QXkK5w6T42McyiYC0YfdPC6CYBMbgz6VhVWv8TLqQ4w4Szi/LDHj1xLUe3kh
+wx2T3uJdNfwsNxI6WpA0S/y/ErYXXZw+qq/ypLSfpGV5173pBDu1WzF5artZLdl1B7+pLvJvtXM
9D7HYhhv025Onwyc1A8xwyTahczBPxB+MWADtobGIemmXDbDifhNKp1rz3CGfWs0+RVnOmwfExWy
l8ZuW9yWcy2PdVyX1/0whumqnvz2A+Plq8n8cw1f8zLYIgu9pcDP2gXcoh/9hBeecWs4tEaNDCnJ
AT0mIXOsVd2h1jq5a9zSduIcfE+7D2VWebeAkUQE9ovno0yrRzLRSbqqzLY4AOjL+nWZSjRLOcLR
SawaRm4IVeXKq1Wy8cYp3HOwND90uAyfTqVq3mMiLpgP+KBtp2khxuMx7WpWCdbel5kJ9o56ej7F
hfbSI2Zo5k1tYBzDZpz2JV6iYwa15leBMM6IxksIdBnmG0zA2yXp9SO2JxyylVHsUowhR7kwc+RN
C7w7Odv5e+Z48Rq0u6AUry37j4RZ0ns99N3G9N1iE1Z5vOOffJj0PtNqZItNj3p8suuQh9+gt46t
3Ezv6FFryO4U5PErFAHarmbPvU15GXGekWD0SApUOIeqbPlp2hf8Vl+BC2dNRLkmMIcLNO1xiDm2
+Vp1uXsc5264Eg7jj8RimjxRvs4X+wuwAZnzAhR+MvA4aCbcAVZF6B0xr30TyPiY4Yvt2MAKLkhx
pQ5+KwI+7fim6R1qknsm/zMdm4KDdZybz5lOiQ5U5bPl1var2+BxG4eifpmEyF7izmxp12iIdVGW
vR/75Z1I1rPjFaS7s0x4B+FWV7Y33WRMsDn06wG+mYakELBX8LEiJrgxRw0Mbggrz8Rr7daHwOvZ
d+NcHJnpOXucNhlGLjG/pQbPqUnz50njLaHz14s/yQ1AbaRDaIr86nKsX5TmoKzxJmvpfg2DjHeh
2xhbjzDFhdSfnghjJPNpUEZ17xmj/Si5v+gorXT/c8wRAiMn74KzahSrzYhR60HVE8LEMnW8qDIv
tz4MfSQPpJwwq8ORT6Lw0rUfth7fdUx/FICimB/WAGOJF/D56XjtYxEfqJzLTsqaaFPkhc6rNDOK
jct1hL6CDgcfKbPNFBYdcd5Fc3FycMsazHc1yMRdKvj/tVn4ryUnwRSH+BziOVAzkUqn2jrW4L/L
JrV29kiuhUKx/MIvmfnUtrPpcQ2VGdG+qjtkRfeGOne1+Ob3Jae9Ga3Y+tGPhn+DYsv2WD92ue8y
kiPjfW8n7VzuJggXXxmaEoU8wXPZQzIwBvb2xcadMo3ttAvMhloq6eidOXjMlJAwn3tsKUTPZpbi
ph1blqSxpx/Nru9qP4bEzFbC8w2irH9kPLE8evVQX3rOgiGij/qM/R7dkHBucVuoyr4ibkFiJobx
gYRk3w0T1KC127cB/DU/NB4ISTu3jqWmbzf/iLsF2nmtKWxJFundUDfv7ts051hkqKuS6Z5rNt66
7YrYJ7uQ7bx0aFhFbO4YujPWpfiacQNn27BSaCFEPFWEJdDC7ROfMfgt1xwIT709XgtzeA3y92q5
n2XCeJ+JXqPs7DsTyXWelwoHd23e+SJu3ni+2LwQlm4mMtKnQqr61RxH9IC0YAoRGeyzYGT94Q2I
yfTklaHzFpu5eIGC1US92bmHjjH5kZ1Anr0iNiJiQ9ZqiItyo4yOQ0WWHPo2Y7zoYyQd9CDvUHK9
e9q+5nfBWHhl0EtzaBeoBUvmuZGvclHsg6DFGwacUL8y9iMipCrLubSly33iCqje6dxsXMa7CMih
frCHmIpTg4jWTMBoqyEt7V1628nac5Kdi3jegAfTe86QJub3KvAYMINxuRWFqg9uM+htUgxYHm1L
Qgvn5DcSxiDSOjTECtqQQqNC+uiHMxXy1Its+RnwhyeY+UfCGK/NOF8UVJ0kkUrL+0SxiK66yqD0
8LLhBp5EjLPyp8KY62PudsOOOAcHsgu5egCEhCzvuY+keLvNMtQVxn3yyCvEmfpiI/ftqC+MyQNa
nPMJzJXJgr209OF51FSt+FGqqA9LvmLsqamZY+U8zyrtkKAX/7NOlLOXOStE7NBr02Ec5aOSlntl
M+XulWpXVpBnMdgOVrNpaqYoycV6HnLkYSuOryixWalQfggGM1luHpKKr5DxqcUytbJzQodDJZni
B4QVfRqICrHMRyZ8ChNjeM+9/GJMnXhv8aatPCMuryRRl6icRn/NnGChekpIrkmpz90cA+iJRh2f
tyCmVrWtrC8U3IwDQ6e+ZUzs1JuoNQ9oZ4kaI4Zr78So5Epl+ZcNOO9NpS6NnU1ux/euMYYE3r3i
lrtKf3Jx3B3IgzBZQtd1njPDHaM+Seu30nPKyK6L6kQeGr6WX2cQQMxgbzppsXPHtoGiCC+nS8H1
aBWZOvOLle2GlIL4mbXjE+Y89VzXbiHhkIlFyd2kJbMPif3BMkke9ll+qmxx1N1+Dng/BxW+4RKJ
EA6De1vhM80mP3v2zMI9NHlRnP20C8AxGeIQT9ltQt/U8Pt0G2M+gIt/MQaw/9VVWLikLC0fvzqQ
7L96Z6ZM2XHsOsHOALZGNVbmfbbJ6KWrRihcamHL/dcpdPKYeIqQWYu8RIpH1sYdXpr5w/OXuiW3
K7B1p9mCtnCZVzLTAYk+EOEH3iIXl2T/rwmnSTa+WoG0vZjAveCYEqWvVx03RON3IM9/9dT+v1Nm
wXNDfnn/8Tz+9LP9UfzVw/X7l/zp4aIJI8BzhVoYeL71jym8+xu8jiC48BNBk/8yav0xhbfs33yg
YH7oXjpDYIaA+vhjCh/8hiRsMjqyqMgNL8iRf8fEBQ/zbzMZKr09gCWmbaIQOAQX/voghgPwhDyn
IpKP8oYib1KJQ8X1OOI0NpxVVhBwNgf75DlLtTdLpz8g2OVFFJRhzVpi9C/u5Jp87th7Xr2aZyoy
TVUdiksSdBUGeeAzy4N9ymE5uDFl71Ha7HlTem5FU326ixhOneK4dBx4TNtooF533CZujIznslXn
ZJJIHBNhqDMmATjh1rIski+GpKJkCSPqsQ6crJ2ox3RkQzSUytrTBCXwCZtIBt3akvosFjM+LV3T
DkxLTe+lWSb7JYYi+thRhHLD7JEh07iQMPaUmRxHkE4EX3MJxyBAYDvaQLSvOzVhqYWqzK17dJU7
Hm3KKM3N1HL5OnqztB9MNQ1im5O2L5jPLxdYaAICfDUJ01drjG46vpE+fp2NkMtAtg0AXYFlbSqm
G28ke0TFkNuTJohZSKGT5Yj+7OlU2DAQa80ozcr6uyHYerZxYXPvSOf2XM2ZKdAEGOdFHvwaSQw6
mx+mhQkUVwo7ldu+10XP9tgz75lCJqCs5HX+mbNr14fZGopqPXc5/4HL6fnVTLvsJifIsec34z6a
QTaCFYjn67iaw1sbVkW/SsOs1ZuuM6sn23EYvy9ZqeOdl5D9q1ttJuijrcY8l/t3eWN6n6YOnHQz
sBQh5AyatyZIQHivpsyj7FF09ktDv+VLkAiXARqGgwBvH/afyPX95pRhUH1wZdkg2QYNR/u6t4zp
4OpeXioPEs30lP9hLXpzLDfD4Dj3mAKqvUia9K7DcV0BRWORtUzJDbiRNibrnFq1a4aH8hSCl1gn
g+X9dJVE3Ycax0Q4Bs3MW4Df+OCORjavG9qM4jWzPot/Z3nvjT84HKsB0Ob0KoalZkLgUvA8MaYS
+1kbS0w8mDPLevDcZVwPI26aBs2pXZkQPo4dhArI8zXB8lUToEeviF8M355FzRm1bEJB+MItTZN1
nTPttoNm2IL2CbKt6aj4rhw1x/J6zqdtrnlhq0mGuJiIS9coxjbBwabw8q8hJXF9CErDjFQshnbt
FVmlkI5cGRDHc3r65cIUfrFPSx0NbwW1tkSG3BYnNFGCwh/0BsPlBMMDcgqFlHYDIMv39sWMFrc3
OzN7VvZk7lw1Lxsf9uY5CbviNMvR3jbajmmGzid/uppD1VvUkabVcztxSyTKvbfEOA0RAKs6O7ph
qR5oB930RUciMoutbmFmyJPSEGa+MoeAFkbYeWS9k5DJ9or+lLT+wMW/nO2RGUuEUwd6gGHH+fxM
/gM9vJkZyOJ/m7WXb8fBLFpGftTqXjTwnA4Mo5H306C8j7yYGu6TSd/Iw8TxfrlJ88KaI+z74bAN
BbyY9RQkGm8Uw1knOHgMJZYbJxkuUSXDyJ77GZIx1gxYSttBuzPpdyFtwg6El1nmKdWTgXGRwri/
G03zo9I1jWBBtrkUjuoZoIPJJymqxcBBXAhe7ep/iTqczaEemEKXur7t7LHfWTVGuF871n/1tn2V
frZVV333v1Bef6K9fqnA//jTf6fNnb45gMLsrv/x/h7JH+orTX60f1Xa//zKP7Z5j83cRN5gP71o
7Zfk4R9iu/cbQUS2Vy+4VEf52LH/r9Zu/uZzLAjxtAbOJcnI3vsPrd0L2N/Zvaga9ExQx/+G1m5d
TpP/7NQ2fQ4g5oXVbHqIT/bfhJdBXlxzZQZUZGqbp7Kp/NfGt5IriApEyrOw1W+9YX7EudX+DFpH
vU9DN9MPjmawcbup2vhjhSlOGOFra43VcSzrZG0FafGFRDC8/P+H8Rfh7v/l/Aj5lf9nT+LVjy85
//iXvo/fv/T3RzGwfwvA3HLU5FDHueKCiP4zNQDp2+SkF5B3oR/uz0fR5vG9nE0vlV6YF/xLRveP
R9G2fkMbtzkmetTEXBK3/9ajaF++1V8eRpQ/z4O/YAvPRwe9sPL+GaFJUW2ol5wu4YvS7K7NNpE7
lGJ5wyJqPmPlsl6CJiGL1eIzP6fOPFlHlFGgKFPK+M21U6hgjMmQUWb3S6Q5oT9af7liV4kNjk4x
5ntOkiomeWdUwfMYg2IliEeTueGYoGqK+wYH3hM8UhH1chhvamU+U3iiDUqNp0fy5OVjQpTmayD6
QESzzPY2m/TRAwx9aJNyuC1zDYyXzzoSYlf0NCU00lgirFHAFZCV2Gl7tZwCEDpm1A7BfBcO8Yih
NPWKilNjc6+0Vy73I8XdzsGTS/lQmwEnhAwW1ENpVTg8QW5Z7DVcSjkpuYBlD3ZSjM3KGeP6yzCC
AWN1QyHvyinZtc7AIsIQCIjtw2hjzt/ezXNef7mtW6U7Kp/y8dmwkvCrWhb9sVjoPXu7DRvUYZ/T
S5JNIMXTMGyLteExLbihTUBNx8UQ43ePbbq61hy+3gt7ACzqQUZz2ji4s90ZhTLLDpKrhUG6V9bm
jviD9wEU0h0PjgcdctXELRniQnrmspK6xoswthXAInKUEceZXK7Y5B7drkrfMJomX0NjtJ/a7Pzr
0k9nH8d90+NEmRI6Dsp6OvkW5E2VxKgcOdbnHe+Ka0W9wNFZkH4IV0D+lr0Yc4YpVp+cncIo8/eF
h+OeGIfBGcJU5pFYX75i1M98Z0nCYlXHs2Re4CR0og14EtE+sWg7HJSEm9sXLs/k/+LZgZ/LP4eS
p0VD3EM1LStcimmSPSA0JwyOQOcRa26RfmIvyug5kFHiXsJXkNi5xwzOd1KUwQt+DB5yC6aK8y5r
n6xaXYwRp60Px4IYFyajsc+0SNbhBbhONrOX674M05PXl/e1k6V6pVp5FmIWdySIwre2LdKrZEo7
bwO9Su6a3g8+25J0AlNUo3jlPE7m0LAFsquXJpoaONfGDUhHnsx/eZKCCPhaVh/J3Ro7P0BApyY2
6c7EAODbKHXPZN3cpJXlNjs3I9fO4fSxcN3xrXV9RjP1yPOO+iRkNI4dBQRBFQcORd7l8oMAyyBf
BrOSxFy1ZIajpEdoWXOOnw6m30t07GHBHVWVZqoOlh2g9DBRl6/dlGoID1bSV9sKO7w+Ey038O/k
l4EZyDdHbt0c4kvEZc66gVBj+YBhWu/NIVWAfhIkvhHv4nJwX7BBNsY1uUHZbgk8kADUpKXE2sVH
Nkcof46As6ZnKiI0v+gVNiyR81m3E6Wv3cZPhisEUvRBq6GY9gEDvKvuZTABdpz92Jpeep6uYGUS
IdXbGGxUFaUTbrKIlvOFp2zB1oRPtn80s0IcAkFVxUPeVRR0pkYfZj+nca7PI9oQH2wOnVi2F6t4
bvlBqW2vsvxnMfVhy209butVneOTXSfCx+1smZe+8y4wuDiSa4jHdbkU322YNREjtinZxFmddwee
TCSROsXRZIWte0djgLpWSogvz9CEAcEeh1R6uKL9cMKixaot8+bisOUOmvJXLBLaflKeaz01bol3
xcwtd1vkbrIXZk21oAwYOhLgJQm0EB6z1/ABsSgwbeWowQLpd9FANqaKeInl2qJbBL6OxAZM03XO
PDRT7fQ2jiq4GnOhXips3VwSxTRfD5OdH1XrUObR1sTAWYdABusunPYeifqrMWzC29gIGF4EGfXO
meHpO6HxtLhS2fflqCT27V5kREbo/TnQsAe0sy40SL9mTk89+HcsSG3ziHjvvJS9N21hBsyrRYXe
YUinpOe6JIJyow36nXUyFpFDeXVGTtW4sIKCZdiZ8xCegeoZYAU6qF2oZcNKuqq+ITA7/DAdrd/T
yXKfO2nlB4/x6hbLQXzPbpkGu8byu8fKyvRH06fulx1a0+PUltN2FOohZFlCzWv8sNvIsXrIBhfw
cLfI+tjgezN3TJSSPQq3sy67UewIpoCNEW4/OpHgyiO3QTESPuoK7w2OM7/WoVPdKaf555tqhWGl
0spFawsvUfu+fPf9koBTxexo2ptI/JtiLOi1ZNK7L8uxwgaRTdcCj1lFgVtvZdvZ4gX3ZmL9rMnq
nQfQKTKyFcLumYjOAs+5XaqnppioFYh1yd6lxto9wBQcTwQJcXJXfuCK1QwS8J0gvns3QjYFNJCH
N6qlkw7LdED1vGrP2B26t2wEb4W8p+tjrfPkVFpozqtmZqESjm7vyxSz5Kp3x/CGn6V/R/E0n3Or
85hx4Te7t30ue6mYabyLPR/PVPYTsEjxxHQ120xxmfbX/PbUG3Xe8OVFj1ej7cWusl0krar+Gv1l
uZXYYq45uWiotqp8nS0mZoAoUnlQUBhWyhraTR5WI583Xztry0y9O5MsBaln6hrvrMFY6gdMHMbR
dqv23bYUD1gCTol4T9WUNLO1kKyRMbr+w2tG9x166HinUXGdg5Aqf62mJEluZrcv+DBmrvqocNp/
wpOFitDpitFUR5SDwm9YE4Bok9EncjmTxHZE4R9r/ETwQWF9YK+Tguwc343FzDR8f1y32NxIOTX8
ZR734s7NkDvERI/RhYtjPWujA+pAcn7Bk0nIBz0saZpVTY5rNy9T/y1AjhM4GfkzLUbDt5j68YCf
oT5PHoQNwQX+Lq8q4HmdP5OJEjSsPBXIrTsJRfSUytjcmV6MYt2i6K4YHhDTsBCEotDr2Gxm3hyg
sfnITzhK/vIi0IXQ+8ou29azs/xoQpW5m0Y78w8ayeLPnp4tl8HViMUgCdxGrmx6GfJbC8vgiV88
syWbL1dRU+ICpJiqUzd06Sz3HEzlWqfYcSE4BQmtN/AdeVjRIHd2mFXvYT5QqCocNW0Z/aQWszfM
oj050DdV9V4SMaxTP/JZQEKKqYt3hqHbjHE7tBzwjPgE7MASq9oS+cHnR9rAmFjmKMNl9dIHSfMJ
igyUlVP54jqVYjSgQ1QeIcFZn9uuVo9ViEdq1baVuK4C0ql4QNPuoPAoOxvbTapbVv15jfUvXPYc
dqp6ZZpx8kTy5bLuTCyTnU24FZ3RwoMC8oAGuioDiefouXkP0oythvjrctOWjXBxyurhR99XYuPL
rINg1uT5jQNfCcDiVFo5TAPXRIIpfH3VtxZTjQ6h/ylZ+vAxbOocbgjf7Bo0jblXlVbjWvvafTWx
4cqHnJDqbeNKp9iwwARfPWfLHnurSXi+Y2e+VcksjrKoYnOVltR0OJVjQPLyJQOahPdsb6Y4d0Xf
Y0QVVuuDAc6gZgVqsh88dp117SXDs1z6FEiVHdziDL8gj0XT3RV2L8atGaK6ciQxTDJl/Qhloh0T
QI1emN5kkLE55BHlvxEULX0yf3Tum5qFeu85FZ7y1BDeRozC+GLFy7bsz96WTFD20591veYoJJ6Y
LVbWFuOld2/iJUcxzmjHC2nijTC3t2TXZhi20qv8t9wfl9vSbI2PCmPRgzlL+Ih215cnBR/7m4FE
Wp+xAFYxziZRfgFL7Z+XScNQXorxRJ40T9fQNUxSlCRX1ZYSpXmmQJNVaN80pbeHqGU8eclcjJsC
EzPILtGfSiTEyJ9T04waXAUbax5aIKF2URxNqiUlnLpxflkChIOKCsiZf+s3PuP5lBIcq6rPfZX7
MOmStN1MKgFJlnTmwSqHV232GD6SKiXZNA/8IHbzHlfm5TLlYaCTjNdSHJ/sXQn16EweNwKbBrr4
PFUrk8Vr5Rjy2c6tAEczWVueQsajXfhd+e6+g7990EmcbJqgL7YuYeEdDAiqRtM5/hnT+nfj2hXr
34xPZdVqbocYU3cVQJrdxBGB0aseveskrKpbrYQ8NFlNh8hsqL3VofI3iT98Tnlf34F6jgPGxByN
CmTvR5e9b+sFU7efijB55zjTRVUo71OgECvYnpymF6J5E+PMFROVGIclBtI6pMdEJ0N3HuyEnRoP
9HpKp09uD/3BwlRarNiJc3KmU/+VN4w/N9lUkEzLiBRnjU1aTjVef8R6bVANMLentkHidas8O0LH
HH8sQfO11AZnK+x2l+2U21gNhOngzW17nA172XEFSraMe7jVpiAlr+CSKvqsBVxK8nErpEl7m5I2
vetLcw6iRuv25DV5fyYcj4Bg1A09aKI1bwRBxQhPqnd2qviRx/7OI+A76uHZWSb31gW4DUOqWCK4
wUiQFpRBfp1jFMIr5uK2ZPJKkgXNo2weiufK0XAXEy/EvlOiyISqeSIgp3+kda5vAcJf6Mrkea/m
xfP3nj25h4oaLmdn6g6F08z08ubZ5k1ed+1Nzmx+F3f9frCo1MiRRhX3NGd459QZRzgfxGs3V+NH
vXRXpSyaU1dkMLYtk5qUtHQSCpVj8yPhuAHIFfgNZumACL6xnEbg7xchYXgAas0+F0BKSbgqb5si
weqFLCsO5VLa1xV20sfe52yO2oKhaCiM/q2Jyer2lj1uVIn1vp+d7iNQabItQl+fRBhPD3EiCu45
vbnFjMbuBopk6xiW9xKohjwftshkXI/tuJggS4Lbgqex2YAuxNZVDVa5aWC34J3JB4X9k5QXW7jV
yAiXKWbI3nDq954ClXItjWH89ou49zH76UBHlq0UN5PeptOc3eSrtQ18tvAu9Z6OTvWuk5bxxODY
RbzyjaxObsusNp/jdKw4fufY5DPHfrel4d3YWWF9dZlRWZDeweOQzrecw8DtZuvhUjZX/qLT57zR
k8CWQvjioa47BVs2aYJNDU0CGHLRLK+jrAU+tWY8aKzJ3Be0o26tvIDZexmQ/EiEYW3GfGEW747a
g1ntYsykkr03HizAxqDKKOFjf6kfZOH3P2yssZB3rXJvi/S9zSp5crquV5tioKzRnJizcK8rrDXi
qHikM6BHFcNZfJVoIsmwmVtylXZnL/6OlIZDf5Q28FYFU6mC56xJbXNXs2s6qy4uLkfG5DxN9Tad
Wqw6eR/S6YFxbqG4ZQzN7xqI+3WAH+fF1CWMT0l2Hn5D72evqUrbIxMchXwAmxiUZq2Lo+FnTvkI
J3x5QFwZ8TdrfFoUseicuno5l5t0MqZoZiqx6x3/LSybMtw0XN92DsM5nxUpNbGNW2K54tLZvoeK
HQtvJWJUnuAh4mpmPNZBHJzhQnURR0jiTANNCnzk0vaaJd9zTw3wnRsrdtzPAvvlC5MZE7N+V3GS
rsVO5VCURFgT6moTfOMpctuZZBORyVAWX5lRG/G+wbOLvxv0FgaX5f+wdyZLchvZtv2VZ3cOGeCO
dnAHN/omI/tkJjWBMZkk+tbROPD1b4GSqsiUiqqa10RVRpOIQATgfvycvdeGQLTKggJUudXSMFjJ
WqAYd+sR5ToAwfGCNVQtx8I+oh+Rg3JD3kDK5IZ1vR9XNfJUXMCq8kxkVcvEMbE1r7tK4wkJmll0
IHI4iRGe5U0+FG2P1Ps2czpvbbd1/yLDZimVVdWy56g8f8xoB8LHoWN5U3J84U8L9EKQlnkwV+zT
mXtqnML+FBkLhgfzuF5n0NqpcNiiJhrn9YrhpT6NQb2Mmqz62S0s/4UEaCbKuAOM28rHQ7lWSEYU
FmM1wfyHvrZL8r49Uonnu2GuGbuHU6843uH1gTaXdrXPjMmPfrWbqd6Xbu9e5yEpExy6Ct/YdV7v
YU/ync8kb4RQj7Ckn107B5yfUPO8pMrAoWO5PfPVxpW3hWPKQ14sYKe0k/l9aSChHkPZQN9rOXug
JYownFutW17BGwdhpBrg55sC5W8NSG5xFYcQfYdoNXZhUR+ZLIT9ti8sgH2DR9poSMjFR8b/APTD
yVcf+slj5u/2OuCuPXdGMZd1cw2ka6KBNmRUyX0eW4++58fD1u58lzqB5K2zq4a+WKEpSD8Jxun0
LRJtWLspsggWKQZ0gKfA62cs3T2HLh5P199kANEcC6Wfjl6SpFP7ohQuQD90w0BYYbTQrc3fyqYQ
lzKYmNrn2bf5riIu4Sbpo+5DE6BzbUYTMkI/hS63OfuVu84MzIs8YgRBQ+MDi9BN4Uw4Qes3DO6H
KHgskpbTvBYsP5Nrpa/hNDLl74VoxBXrREICoGnVPKAZ0R9HXzdtSY5KMEj88kM/bxJ4+J9bhrdP
uStwFWfkTZGYAUtZAxj0MOTGLr1HzgJGhim6hRtVIdqLPsE+985atIsiPEj9axS8eNQ81k8W7DRq
8hWBc0RYZiVD4o1TdrO3zkuLhg3q+AauVzLU1ykc1JEmbaY/uiT5bWav6T/yJrXiqjXNfh/Vkeqv
ahMeF/WyB7vYkCp6C8lijHdaLKhoLJ4GQUxew7qiS50XT6kc7NMcVLNYkfjWuGsQw44NfQ4jve1m
NUwahWppqM3paioRzS2nSCNaIy5oou2cV3m6FXEy3wmkyfXepzJqOTIFatOYvPNoDu3wQp5fOK7b
Lp23jZkiexiZo7KgmgvwgFVVDlC49M6oRuBs0+iUzXpRZ8/rfKrpoyWtSTNJeS7rwBwH/rWaUdsj
AckKjmAu7I0wBfO+8hGOuxAdIEmvSKWkWTRVfGCCKlR4UaC1QhLKrK9DZvj3LXM/Oo8pEWy2UYHT
M5HiZrzGOc5F8sPbcqtYNsEQdY1xB1599j+IZJ4whQyoOP0UhIk/WgMBpAoszlebsfuvOQUZsMxE
JPe5JheH79hpNvHoJfdZ7k8HvL7xsIsz7X2ok74+z9MQfQAKTCVd+nV6mzf5S23IcFslnkduA5vI
NlzsC1HTDUgedFh+YqBjvFVJPT2Sv9NDSVy0uCuPZXciLYEJzkr7gLA5Q2r/gKKFXnY2BJ8p5tpX
M/WLp9nULQTLelRbDmvxybAYNmEpXe6oC7GQSNeFKhDn9hfLaMYdXQu50zQUzrR0CNGVTn+rzElA
Qi0qaa1mb5wPkgf3vmvG+h6VNG9AmlnJBsC1eCCGkzW7m9ETg2ay9Dlu+no301+JdvPoDfG6MBSd
KNAD4NxCm3w/WHFsqLxGg6RviX6VHAMLGvNunq1hvqoZ1roHpR3JeCbufAIzEa0euyl+iBvbRS9s
TZ/MMNlKg7w7lPpkujRzPn5mINNwEmjECzWZJkE5S2P3AbsETQvofPWSqRQ9tsLyH6lFo3ltBjEw
PpNRlEHZ1jTPJOJWXwNB5czkhT7A2ldm8QUbiZ+RfLtkALiaZj8SmgYfP3kIdsFCT0XZusX+v/PZ
f2c+i+4u+KlS4OYtUfEPSsDf/5Pf57IezDZmr9hFzGWMuoz7f5vL+tYv5BGZtmOZ9jf1ABrB3zUC
QvziIPZg+uqRWm5+Sxb7fTBreb8ww0UcgJsPT6V0gv9kMOu9xxajWXBIqgYqJ8H8IEp8h3NLBrfx
7QqfL1pclDNVgT6b47FhXmKvjSHFKCKyiJUg/o+oj60gf+HKcst8F+a6OWdpagHTMskmGmQS4Jiq
8SgLQQ2y8kPMRXtROu1FWwla7oB1bxvRNrTQpI3tie22eYEemW96UeXHRObxgezA9tAXA46EBcDO
obW8SWzP7lZN1A3BxpE2pUPBHhgTkWBT9Qm7bcuj8HP7nOgEKEtf24plTBoXiEAZ+hpibAlgCbTx
JVSEby/raPCaBC1zLxPKPPkeyQmW2NKbzUAb+450n3GjkShEp4SOQVbzGkJXage1EThOSVUr0w9p
l38cZzO5JG3yGLbzDPytGEBwue0n153jsy1QGQFMcx/c2c4vZgLzVQ/GYhsitiuZyvg4TIbBecU8
dsxvdoBc523AV7eFVE4SfNOGK4Z0431bcrLPAv/iVzo/i6hLQHEgvo5qZ9W7VXLPWTI9lladb8Hm
TL/quYK3jPoRtyboXXY0FyIwEjopT1mFcnitTEmnWfUkF68qsgnPxqLK5khnAGLLcwv0Tq1HdvAi
9uA/RbN5604AFIijzYMj51ShOGcvphW6hDQyC6E+VV48NseRkcLZjeC0rMwKPyW9K85+ReMPGCVb
AOznsbZyTpM40dj3PSD8q7mOglviSoVcu51n+7uS0LGT0grgFzY/SoXQbxKkekWS7FybUlhgxKVX
o8R1gkbvV2PoxS5UY7kvOWoutzQw7sek9kRynLN1Ol9fZaoYbjrLy/kpEaFNK1v7oGDEyOzdt2hl
rQhqFM+9M7ofqtpq0Z2PrXUXwCu7cYU9FBunDasD6oD8UAT2WK/HnkZYZ4roFYlgeqfw3rEHxMQ+
EZAxceLjloZdn1sVjax86TYAjbiPEdwd0IyZB5fSdEdFV1DgZ0N1aGqvujBo6XbR8ICpCVv0OOw8
el7ViKm5yqbhuu/4jgnKSz9SVfW3TtUO9MtQwPptedNp61pOk7XJej2jv8yXto/BV2aQBdMyIroQ
9CEZnTsO2b6wsml9te2SrFEa5FvURG/M2x6J5wzDVDMdRTL6xUvDjxwL2iuOn+VlbAINL5Hp/yql
IDz0qCyRomr8ALMi64wtN7xJlWLeXg5hee4TbM8YSy0SMVoz8e7KJFcfLDBAHd2d3LuowGpftLDB
3FptTUnkUVufnTrs9XH0qfJpZUdugkVM+tOvtsmP9IA0YNwoeMtvOQJ5WuxW47o1kWLDFHCOZDu0
no0o1voYp0vtn0YDXrhK2pn5GadeGFyVFd24jUOAHj/Fktk39h6kKaiRiVyb1jA9ISy1Nk7fAUcS
mkyauCJNBc0e2aYzWj/OaAQwWCuWaDNDI9Xnz0mix30fUM+ukYp96JtgvLJkp65hpJVPeesQWYEa
gQ6Fn2vzzYMJAOojzC+tIBFxIPlvN3QpSSQIKuVNZenptVSh9TFvdb722s45aN4iVtg6ohfQ1Y9j
ImhF5ObswOjIyVV8i4auuptJt/5CkOF0yDgLvbWjpsckTP5iK0ysCGP4bOu9jkgKfEwMhKVobZUf
IYqpfH0/qcYbtp6CmLTzcNPbx4iRz6ajQhm3Caws9xCKhXhc9GORX8rCq8Wx4MRUbB2RYJmwsmh+
ZEi5qEVieC5wn1y45ApTj7sXThkNVDFBdtEMn9hesHTWVszQau6JIhd1WO0njgfUQovnJY9uclXk
V62PMtcAiqZXhk0zQbLxrIpR1SeMZrRR+sAd95PWxYW08/GJOXREHzpw4xVWwfrXvuV28P7wSqzU
iM194/WNPEcIakD6eoDC15ghvfSQReVYrMkImT6bdpNOHEan4BVABLOROgUBt6q9GAfc1JhlsOdA
K8XWLCbYSFhdbBJHgBTcK88jxw/fmBefQ2AMuCf7PqLPyQKf3Hj4YDnfgb44pjNz0LEW9njJ7Wo8
oJriLVBGca6mPOEMjnKLQzmtx5SpE2eMuLv3dN/tVN4uGdDzvT1gZGfiFPYPps44AdCKQBvQkYM1
rAtcMWol5sz91EaTmW8AcrjPbe/0wdp2yWg8cOoe4m3fuDO89HhpeZrU5WtzGqcvkRWYTw4T9oeO
83+2qYape3ClGZwb3uGVNoR9b6nGfgY1WZxZsO2Twg+2ctI2wtM0XeYgt/W6d8Gf+E7G7HY+iY4X
lv5vPr8Rqw7SrJcLZ03Myl2mW4XiFM9PGa0YT7TTDq+KUe7t3JZfKZyIi68Nv5juZGTGT04MhJK/
3fTPmUUEwR5YmnxKdcp659EdZjpeBTD9mFp1N4bX06o0BhE813lQHCyGg6BJcP/JA43DgeBDI4Sb
5cbUa6sCq4NDCrHih05sxEM3CiN0t/UHldO3zcybNkXdiyqgp9HYDlNJDREw4UH+0X9syP256QVx
WxXQaslg1VEPClvOJ3whjlg7vfJQxEc0/U2T2DhOPqJp1gIE3w133ZzCGGTdwa1NdAkEyKkvKic5
bVNEY4ScGC2fd6imDrVJ20sP9jzZSByfzJgF250tg25dV4wXT5v1DCW6Y+wdOVb9hlrVyfD6IeRU
MSi5tT02n4nFyA91g2ett4cZBYXGNIqiDXj9mp1p3tYYahcfrxl9dMKovXLMdHg2kpxGhzmB2yZz
/MkfG0cgwkoiQLRoks5Fq9JtWgxpz1iofDNtSDzOGLYvc1lVx7bJ+M0HPAHXOiPPeCF3EjdIxgFr
SkoPI3cZse0g+DW3aYJwDb9nZ1irHDIdjd+GLkTSE6pA84T4XRwmYsHNFgxBcbSk0dbwmT0Yth89
9dqNv5A8jNUsHMa82lZ9Bb8zmUsePR0VzWbu2rphVaanTPoXhznPkm4AJzst1kPfhx8GejKou+N2
37qL8onm+tooULzPU7ynID1kZoYxuE2Zr9mTW+NemMFCZhqHnPSZW9EQtreo2lgCkyJTz0DoMgIl
O71m32c9yXgqT5Evw0MX5fVVBTz3kdkASEZ6aRtIGhrgoJvna9WazWuEegyFTRzLz7ogsyhcIgKq
+SMsoC9DEhIw5JoR5gUxwDWd6KwxZ/GdbyNjJmFhQScqS2I8m9hWpq0BIubFstmNnuOmMorVrKVz
KwfMOjNmEPRGLaTFQ9TVOSFHzJlhQgZl9lpHjubAyQKxGe2KjpwLYp8RMjkjh5btYt2xBxw1ftb7
KkjGD2GHkMsZczHuVUqVacTleQB1bqyajt7swVCFj7qHiEiyV0UwPjL9Ym7lEI+9J0SsePUsigSR
ZLazIXTC+NLaBlo90mD4u7Xf3rECmeRwmrJGdZBV6tasx4CcUwulEBmTwS3m0PYBvbWT7UOXxjRj
1rL51U08Qt1UnWJgpkCbPvq0kz/3kcfb4XUMWc68eBSGSRlXnwjiVo+ONcir3pbittCWevKlT8tK
1j06Jkl6LfssA+r1kBjBnmmjPvD0jPGuiM3+zQbCmByqOQnOrvSgVJmVR+8PD5NPB3ySTMJTBeVF
LI7bPC8wXxvKi16EJ9z1xKPSwGbOl0lGJTssp6VhfYLC0J8sd4zgZRcLHsdfSrABz/UauCEplbkp
sZBSE+JeDSZ1RfuSsSPeWToMswjNYB+XdvGFRSL9lI6jd8lJfZCbSTfllu+M2SwBmHo9IILArQAe
IdxYYfWBdMvhzMsKeJlBw3qopXWyYFPQEiOANnb6ccuqihvVMwQsYy8IbUQ8iy4oIpbyKY3y4C0K
al7tFq/Xq+6d9KqtnUCsvARENkit1nrFXlRvtImfOjEygayDcyNRwvW2EvrchqTGNXOWbvGE5Dcy
nctb8kxSsSaOkZh2RbYTTvf0OLaqXTsskp8CkidIziEwGIvX/KrzhmSe2p+ixaKSvtaiAjKq8+iB
znX2IsLCfED8xfmPgN/mGjBJOO7R6SgmEp7osjUvFpRIuL1keiRtC/Ahcra6GDt0gMYBTPW0LssH
xCj5kjY3owbGMbDGgynxBKHFPhOFmRfAELocWZiMD3qmuFgIJnO8Zs4Qv7myplhETLltHK/YI4Kb
SaIuyvgcMUK6da0wxpY9Go+IJ/IH1guiMyS3QWVkZZQuhJV0IxvuROPvUYy41fhBQ45fH72U1VYH
dvTQVPPTd/L0v3C5/knpHbiBhA9PBpIZeO4CIPxe6U1XtClk3c2k9VjpXT3O3bUdu9ZmLi3vlMwk
mVmljjc/v+h7r4MLMV9K6fmYJyAMSlo2319UJFY1h16m9+TK5VdUGd0tUuFqI00SFeuZCB6OZBCv
MFt/+fmV3wMNlyvTNkEj7NnYQOzFavld/nrtOKOXFwQe4+XCh+t79kCcqWucW+I7Z7gbYfn231bc
v9OKk3Atedj+tWnnIQHhVXyPxvz9P/m9FeeT+EVKgu248CexXeCE+L0V5/9i4k8QprXEhy1//kcj
zv8FxTEyagk303HYK/7pkPBwSGDi9vndsWjh2v5PGnGLIfg7fwRmX5senCMW848NbtZ5Z9YJ4eBj
NBWMtDgJnkANIM+vkosdivrk6ZGhcIOU0l5oKXBa9FMyZtEJTgDHCqKaNlYAYKQQg/85jZW1Cbva
u0dYoI+VUXeXwtPx33jZf3zh/vx5371wjgG4MfEn64DpdTwQfMYBicwGnLThxqxhJ+EXRFFSmOFv
jeh/aaKX9t99VXRUf3jjXLuo21pOhyRSOFB1l8LYaPzdDNttm/ZGteHoYax6i15fJpwbvczL3CYo
Nqico3VaO+1hmksHHwB4URr0pGpiRAGoSnpgzbfnSn2TyzC6hB0y4sSrOCu0pXlQc3JfD+kWxf1T
hvsWMFFj1C1iYviVwK8mwBfN2NxWcQGvrCv6h0GaEZ0nj95/rpNtXoviVARmdeEMllzach4/xv3Y
bSyjrq4SKxfbqZibHY2QrVl+nobYBEUd7enO4OoP4mETjZb5ZI+VPnoog/a5zDkT6CjZpciT0jZQ
RH9Won/BVmqytxvpbq5g6NGqAwMXOxUy1vSJIMybfhrvkDi1LImbMTdebFUG5w7tC/Dy4FnNwtgz
vGcRI2J1il1xlc7RpSgwDtTURxt/SinQ+mQvRwZYg+996goUTAPDtBWyyBN+FUqZYbphA3d2JId1
236JDzUAfp1q3No7siGYtuTJdcUpaadbk9KxwlagT1Btwk3U1humgCvB8K9KmxObHURRaTa7NLP1
po6W8AhyLuEZ+/ZWjFR+pZ6YSsMY23JjMJgT3ENO65q/jlELWCqCVI0osJsOaNXuxj6QJ94aRHv9
OZwCBDu+GHY0RB9p0iK1LXRHrLC9ZM32ONPH+mDGBhpxTRuk5TSPxt5gZlTFN0GP1HKQMr8KYnvr
ZLTEle+GtEldc98hZj3ado2vWVTxtqk4I2AIctZBXyebQcv50dANBFMOLtUwkF1WHGfZyk2OrhUN
Dk8zkydjN9acrXuf3Ryu33Qeo9hcUl0R2A7FKzaMxy7roKcIcqIbfxXE/iO780a5PWbhnO/SIe+H
HM8BqWKHvqOR3rr0aLgCRqTN0oMhCUKm1oGDhQbzPtDdvet8KEuVrRHD+xR1NSEmeZ+COkIuHObp
BiMMNh/PT/eIu++t0jTPBpaXlTvqcQO+rF9VdUeZU9XZAz0kYzN53l6P9kNWOXqT+ZrTPjJQgkrS
a9fXAiUyXFT08t26Q1m9QaO2N8Z270DD2tpudI+WDuVDEZyJ7zwikr5PfOatzaQfO53QM4Q718XX
Q2PVMGSR09HI0urDnDc3XkOnzDP7e2Aa/pMAGr7DDrctzR7eNqdTDOyXNhObqSgf6V1uhQ52TVx8
Nq1y280JYYmeNawboeK1kvY1yWHx3prxRqQNSsUAW5F1oz1yR8NSXAq3wUodTpO3i0K3rFaVrNQr
JYTD916aDxqdBzFz4t5QKAfDZCT3gOjVzwPRHTT8md2tmOUFn+Kcitrkto56hrQGJc0G1NkzMg2b
Gv3U1CG6i/t8renMHtoa+4zIwOzXvYo2bZE5dz6BTxBys/mSmk1/yGmKniTr4obWxxPNdCIOg2Y8
T+idHtsAh/ncgQ+R0NGooyzFMQQrFiQxz7xCxk60YdO39w2Omtuxh6CaVPhJgKXwLyKgWg8zBX5H
a+rKbcKbeppOrZDT1nGzx6lMuxNacvaHzEb/MTNZqj3sR1NEVoAAwmOIur0WQIpRvIVYntCroMjG
TZ1m8wzHWSXHyENtnxpgYBGXJlvPHEIWO+W8FKVx8sKZ9Y4TSTH76aEcQcsJpCUHHOwAj6zqq0dY
HA6Dbu+4UqyNIcsOKkg+SrJst3YS3kGrK+GnhMZOK3QP2YD0ZDRS61hwPryeW+f+u9LkL8pkior3
Gz5cQeFYnrRo0nnv6kbLsGPLyJR1QCt/VyXIcQvIzT0a7/PPL2T9CPv4tlX/cKV3pUXW6TJmSiEP
Q9RDhA8DMnnQOBOWVCGAdF9dQTNJQ+xeBcvKW4Oq/ZvqXC5TxH9akX/7CABPYMBaghaht1QT3xXJ
flXCvlGzdWC18ggPtIWxBMExtljIkqBQjQ3ZQNkDKqDukCEauSZvkUwX1HFnEhabMwU9WQmqenGT
tL3LYB5ssrhllQfcW1473hweMkwWm3TIo0MSduVBaK22LYC0jcL31zawhdBXfC0RRaH8XZTrbXHH
5zAYSS6kl3+Unf/mb/v97b47AqV2ntPTdyyAxCq8V60mtA3h0wZ51rz++aV+PH78/s16y5SYfzBk
fuertUboTh0gCCjX3tfOQ3g6OfavtJ7KTevULz+/2DuO8Z+vtpz9vvsdjQTst65ScYCqCV/Zkc8S
g98xHaM3K2mbdeNm3W0f5/HJ78R86AxkWCJjTOmT2HAJ0v6Q8ktuFK9h7jZ6l6q+O/Uhi1uk+4IU
An7CzBlNEjJSZyMm2LIc4Oi6Z8TsILTgb6sgmylpXOmlKGmW8sSmTvn5ff54hP12m1T8tINgwfh8
r++G4sjcXdNgHzm4DcLmzA1JfpTY0EhHMm6ZONJr7Js8+5uf8q9e1B8u+66mFh1QYIam8mDYzjLR
c968DNYopBnS01vTOJWTvg5R793SB8KeP9KW//mN/+VHYFHCWQ69yEeX8OMPnJuWVjXRp0Su42hS
bIkwBy8IYGiRd46xymsXk7BJvSndX1n1m93PP8BfPM64A/95/XdvzhKEU1llZB+6vP9VqkRfd2Uo
T0Xj8mAb0dXPr7acFN4tS9ypiavZxBfP//54t/HIdLKrsI04UqVX1piNCD8xNvz8Kn+x0v9wlXf3
pKQphxz41qFgQLsaucGVoincFW79Nz/fX11puRVT+A6n1T8tBnXQl8RUmoc5JDNk9K3n3A2O7DN/
c0d/+Zh8f6F36wDnj74L89ZmN6m9L8lIeg3EjT3h9QAAp14+ZBFp9OTlUB4jquUoUHf15edf618c
mW1zAat/Q3AQuP1uXwtjjSsyCeUBnl99mBnkPzJLs44MYuWhxutf1UG2iYbIWyXDRPkWQfP1GlwZ
WBw/GfR+GW8gdl2qi/KcRcWz28r81krEh7RF0/fzjyv//LDRcEYuQDbK8okR7vy4dloIW4u55aNF
/bmcUDlasZnsqzk3164xX3Tg6m3dm8zUUWXg6CaOQVKOJExJNrD9yBwrWE7boSQYsQy3aWVtiK3i
oGOADOAQ8bWux+hoNgUlnLTPlgc3ICFbfDVMPjxHA8xnPVfUVnXYAPz5IhITbtDYFGvTHewrpdRv
Jc5/ATN/w/TwSAKimfTd87H51H36f1++NbmuPxVf/vd/9hUlxW9/cHz73//5x3/xO1fG/kUAaOOR
ZiV0f4tq+a1T5clfXDROAtrBH12nP3pVloMyjLwXQB7gNyTshX/0qqwFOkdmr/l78gucmv8ALPPj
Gg3Enw9Gs4zdwYEeIt8D/YUHCszJRwxJ8DZWeoSoic9WrAkBRkMOcPn03Tfzt9XUH9fjgsBbTb6P
dy9OHkmVEe05bmdbpQz0o6+o4nG2jnj8f34latEfdoRv12L7oq+HcAMJnvluRyDrDxpTHI9bGr50
4ArHgfIRxdYxFaK+ZGE0XKAVpHvcgiRvN23wBttjuFWlzkidspmFQeu1TkzQmbBkvbLxggdR+2yj
BmBz8Zlzw662wN4J9TrBsg7XyvLQZqTaBxeNeV97ZHxUX4iN4bDkZ9Zj4bfdsJMeBfK5s1vzNsmF
itYqmUMG/Z7N9Cau6DiM6aKsyPuvvTbiL2hmQvTdtGqqMJ9vUaG6MDEhKOwbQiZJr+uGu9SdjXNj
BuZwaOwef0AWB3yU3gvDZ5YwFGKCriOrZ5R7hJ/5k4diKzK8fU2HooIsnKLu7oORYyvgMGL/oDS0
XwuOaCdPuUcv4nmwkGZtDa+8Kif3ERg7a1mWyvBEbuF8TtCD3GqdU8yJbmuH5rBGhvZiFCBBWULv
UntG0uV4V9ALWqTsIO3xWzZrGRjt1USZuTb7fgBVyAg2t4I8BmPiY3PInGxrGTo7GZN6SaAdrgoi
Y2jOAdSm/ue0M3gUFimJMESHxHFGgpel8RsaAdbcctpnkViQZSsljPupGTac4hTJJgimaBbbm7wI
jqKhI5AxzFmHWOJXzBq/YrwPaIql/B9GL54J9EHlXbAecq9cQeojM9bm4sItkNj7Jj0oC+lK1fLq
lNGnSGSXosRYIdzodQx51C2F894ujT0tgrsqazf+8o1mksNPaMcPmO8jwKjizenRZGbesanSfJ0T
OGHWNEoYXtVroeRdKDPUY4X1lrrFTmYmaIi+2zMZ+WoKSIsZg3nG+l+H0L+WMv0KxvCq6KJTVGfW
OhuWvSJuHiLUO5xmmCoP5zjMsBUZV3HeJltYZTx32hfMFUP0mleptCngU1iON02HrMOoXsohRS6H
QXUlx/xsBvqLSwDNJtMtYRXFMj/Hdgb7JChXAxOrLaLsjKCJEv1FgDO7t/1rAVj5Wob6lWDZZx0J
jLZiXGLAM5yzofEYyuhqSj1zPUs7pLOrwrXw4BtmIbJ4NzpHzMn3bitecAFwAyFDupDL5WPyGjo2
nBejQ3hAVww92MquiSYtTC7tjsI4qqrDFK+cccnmvIuLifSJamTPzXFO0g0BENyI+bEzOFWHynsc
Te609IqroeR3sM36NaAS+q0G++/m+jebK3JoBvUuC/M/TuR/2l3/r+3Lfx2X9o+/4LfNNkChbTki
YJJDNwbqKnXkb5ttYP3iwIEF1fanuVDwC7pwMhUcAcbX9gQF8B/kLJcdmkkVdR4NJsk08j/Za+U3
AfY/zyieb8og8BzXRlTADojS4ceyEeJ1PSULCKpNoA0d+lllN55CmbjBJIgKSes+Tw8FVO1+BW8e
v3zik6YCVCMWR7Qw6ZbpZXuc49JxL2xqGGHgMvBPxfHqI/lNtL4jHxXvFk1FdEI6HOzQbAtz245w
ka4rxykSTqRT/ZFNeMmqtRLEGUxzMcFRNCt/C0bM+6AgNe2sDhz1ClTFlh0QCXDi2zhrpyzbhlgl
1MpAkIRrQQBNWc+Mpu8Cq0+TA7yKYV4LfP7i0GhyXIm2HSSCrXIgqkw0NPrsui7ISiEl9FJS5dxB
balD3jsMZisrHWsHNnXDOEj6hfk1TswK7w9eqm5j24Z9X8ahne8DkKEvjY1Hd+/74YQW1Ohu6zQP
N0oXZQ8/pqZpLVt7+ATbQB8d3ykUWZtu8tE2XHVoQ8Iy12Nlmnd6dJc4YPEt5hWoRonKEZcO1rKV
JE3zsXPF9GKh2CKqBaEFOmOzSg6MGtl75dxm2ICmtHC2tfLkRRTWiGmJzVgWjMeb2U7ma5kUvYUM
ePG8tPbURDv6HDJ4HhCmHIFmkPqdB3R11zOBvg3iR8tAAZJHXZscG6Uc88Zfvpds28wSDX+ae8wE
VIwOEIsaG1bo1vUL20O2Bbu5fFnxse9itAxEHWz5a+yzDGxY7BmSuxsLvG60Lrx4sG4iz4+GJdgC
1PyYNghCkKbYvanvu8T8SmoPMpiMsKRRiZDxI/uzUYdi1TYWGu0ewuCAT+468Dz09hJj2DTb3S7J
rAn1oqMdTo3uaG9k0HsPoFjRRxoWchy4tCcjR2Vqp+EDBhg2g3x4FrWklsGY2PJ8rP3AebOKYolt
Oo46KvdGbhZ7RwVirdmbt3Luygsq8/Lk8tjco1Iwjq4esJ1L8s5zBif7gqhcmsqLrrS5iiMyVV2f
Gm4O/QstODohNqf3ckBpkeOz4le14zcgUvke+1XxnHROeT3IzDn0g0jXwATYJIK4XzmDim6w/JC/
lffVvQef7botNWGqmYOWDIkBgrTYDJ+iXD8AGaDZgYbqOPUjuyq+vVPtxstmWBEtpCWegSp9BRgk
kW9Y2S5aRLVEo4Y7N8zpZpcjzBz8I6shDNaJ1fUXkLAzQSOxiTZ9cvrHPK5vh7rdD9qcweI4cDta
gmdvQlgAa2eeOjQziQRZgaPQEXtUcOtoGu454CJD9YwHwq+/9H1ym41WRx4bIOm8Q5RUpsq7ASIU
vYAMQfy35J82ABFebCuoWYzkoz3w/E+cUJ0ifMstpihw2W+NeTa/EFnAk14t4Qi4RyyCFlfmEgzZ
ZvqrV3bnHhnVuhkNfvkaRR+gktlYkSBM3B9BV1HotOD2mftKrJG7earUVRrD/ijRD6/h9RPT7XmY
GyZnfjH43Ls0DecttrNmT9UzXnwQ+SZqyvEhIz3a7cL0lDuFR0JcPiBgJzrNtzV5BVKXd62CwoyV
AKICQL/ruct6m9kRafMxfmhmBxgSNoiRJGhlu4wQlxE9TMEhpg/E31RLNvp4HQRox1xYGdsgdpzP
XdN+rRspNxBvG+KkQrmLASVsOwtgHoO74tZh7LSKOiVOBMRlrxXxcTvTQYpKs4A6euFQbPKBPjdP
AishbE8Y81Pj/3/qzmvJdevc1q/iF4AKwMREuNkXJMHQbIZms+MNqiNyznj686GPtLe0rH1sXx6X
y1WytLS42MCcfxjjG0+9o/ufRdz14b/ol2g9/9ovMTtTVZNWiemzjvzlZ+jxp4Fwjvk3iAI12Nl6
TbAHKLTUXDVhPp7qLBUPfd4YnHE5G7RelBPyPsYX16xURrbRkAFan+nQ7Zj3mubGjZy2is6wlfRo
fvrL3Na4pnq1Z2MQWFhAXJ0QBZZlthbsZJva/WkwZrRvHk89mjQRX0ZLJWKHlsvs5L4IJ/swTW18
DmwcEkZZEOKAvE2wX9Sb+l0RugLnLzCfCPRG6ZbFo8Akq0iIzGwXe/JbzP7gePDTkMaNG5Jbsj19
y7BO0OwuJgTIWzlYzg0VMMIfHVM/8T4+r73XPDL0KlYmCyRkuk7IZ+yYpzbUIQuQQ7BhwBFBNc7t
RW5MxdLsWb1sbbNSUBJ2Wt8lGyYATNAGm+asUkeZ3lrwh1wCZlAOtp3yZVvWeFPXurFL/BzvamWo
yiWOzcId8kae0rEW51oEKLz60aVfi9dhyCBeyybaoS7S8hPRqRKohWKfZGPKp0wpBC4um5CRpCzW
0NtrJLYjQyP47Wvh2/eBtLNlLV+zaNx3TvMG/mvTBrTiek1gVhG9d111cRTNviVXTINpMtGyRFF9
CdSYNivni6PegFM3V9Z5byhbFrDhm4Z8GLk8NXNrdTeNkl30vg2PARE3kDCFee7CYGsZntxxrcRL
tTFB41kF3Bu2ouVuslpo6mNRdwAjUB04mPSfo5GgLFUv3hlPkCpSGTRmkwPLhWfzVLIOvg99+WHl
xnDJA948wV71WDey9teKHaBDt2nNp52NKQGZDWbu7DMZjeIZLifINDsG4k+mUCePpGx3OoeylMOT
Mw1au0LzUryNdFYvKPKM6Z4AZR3sTGGVwHUB/73g0A6OdtEIJO8wqEm2tfCYdaDWfDb9710QQ8FP
zY52QwM8BridZKEAQb+Oof1eQDz6EInuoG1x0nud3JLAtfx42khkKMukbCXi76A6tHjaaE7DzH+V
qe1fVKMxDowhqAjKnnu+7X36UVQppqnY1zJm/2eEwnyjqo1h+fmDr217tUxuwp59Nj9NxpVQ5JT4
gha175dkgIJ2VyuyumY2SBMtSYfB5cthV5SwyRHE+5xYxWKoJmJ18PX6R/pKh69Tj7j2wai5Gqu+
C7ip9ImrxfiCbNVuKb1QWo8CKh16XlBucYSXZLDbbFtAU+T0sxGJujTP2aMpo/gQj7E45kbaXaDJ
OM+gErRrmBrKGgOdf5mUmJJHqFV2z8eIr9o08dMtQ64mbHnqDeQeOtrSIF9W2rV1G8Qg1FBSlHIO
RqhdvdJfxiIjF8zSWEerYxy9JE1oPY9e/90VLYB1Teu6raZmwJ5Crq5eRiSSxePwinKiCtDntPDG
aghvb7UadPf49Ixnb7BQgugpXNeFX0O9hLPYTVsy5MTrBDp/xaWkvKCxii6h5jlvRV0OV9Tg2W3E
5C/G6q2Dv6AKZ6MbqR0ZUmpCuMycpkn07WR+tKZBpIqCyd4VA+ZgV7YxIFAtD/1+CSpqfCVwTzn2
akFeQAbXzVnomRejnI/Kg9FaPTFbevepphW+ALWp7ScUHtXMjdYVsc9jbIgLMCcIlNueGMWkGMKU
IXNVmVjsVf3Frqr0XvZ2vOs9hD+GDyUSubKhrGrDy5wlDExdLPrOqW849Op2pRLikDCtKtNxIYde
f20sKPfbweiD9zHKUWnADuwOBUjURYk8F7BRbNXwdqmxwShAAhwHjpe16Bvr0w8a7dYLzfYmiMBq
bSyhT48NoYiFqzUoGyRM94eslsG5MTP7PR+05r4jig4wKY8kzROsXx4Cn5cwZePIK1/yjCwrPzNv
p65gySA0h/4HvS+JPo2PlBjrr39upMMgQA2V0xgNHPaWGuCoHKZE+W5aA7JcnRLNs6hrVR4nJwQH
QL5ZdyCyjLynQIh3DDxjveaRL7/Qd8QwKk0vXmI+85+zIfSddRxY/q6l3/jWw67DYAFsyE2bEA17
GVoDGYUdIL8qistHwIhTv1SyIXXJr7BzkDZ27zqxDfOWYQUpBAihm31dRc4pIvj+wveTHftGo+o0
6+olLXvNtT2RsUumeCkQHEG1gxSCdT+1G4y4oPilq0FH2lWG0m8EzI9+FUmpRcvIynkeIzKAT8if
wlMb6v62BBFhk0GAGKHK2CwuEyvpmApFMfPjIDSY2GRV4zwmWYigUObWAyyV8Z0+BtwkFAvDIFdr
JE4p9cDQVBBbsXM0znAeq/5ZV9X7TmnKKwwk5G6wkfNTm6hqfu7iIdh2ky7fmHjO7psxaY4w/YZd
KXu2QINeP2MIq78HX7XTFSHU9n0Oi+d+MiL/cewTbiJQJsEOzUDQLSe4JHsf8WW8phBWDn6O7gqX
tJLtAj8iYTkUZFp1pn4zZgImSRwmasRyjJUy2Be7PyLlq04W8YrwkcvpYobpsCA9t95ZZme/WJo6
3BPQaQ0rDZLFjlbJ9NfaIJJdRr1ZrRnjpqup5emE6zTm1qnUSExdqQw+lpPdjRu17MUbvqRq15Zq
flS1OQ/QsUCqQoYGvkW3RAUW1BWpF06pDGelQgkZJrL/sITffPoFsVmLFnxDtSKYZa5YOSfeaGch
m9DCky8lzXLVZYrOAAIBNGVRND76PbSnBV8x2nvHKSJ66SLokT3g2ehmTxeSeB+V0Eqx7BL3W9tc
DZlE2srwhpzSLBFoHX2FyZoGa/hgY/jbJCBq0L21w3ORCy8+pUpq8gwDTwWEG+KbWHGei33ZDE16
RiZAFdDRCYeboTRG6gsrnzXYVEX4jfXcFWCEeJgTZ8LL0/gfUzWJfW3bsera5YAhwQFt46/IrK32
dZQQri16lFw3gC0Uf2eTWBO4npGPr4VD2aYCOXkYSqf8knFv71TFyZ4k8aqPTtZBkOp0td/0qqLt
YCc3G9Mc2h22b5sEtaz9jrV+pCMWOMyWYZolw7KsbRhhmlevm0EqG66kcuXEI32cSjOW6hZtvs8w
hcRZS34YFvyVhekU8jo5GtQHnSbSJ+bRIntwPSaJcLPame47sMbHhOnMirBownm8ekDUOkT5pTYd
74MsGH0Ryqq8T1QCzFd+XZNkAeGMfrER4WViKLWu8eo+GY7SHWH+Dte8sLIdreM8o1Zy9RRavb1y
sgLsSaLKm44X/jo2lP6VkoxbdFvhcgyH7DsHL36SeiXJ3IYAo0XGjRbWYjdoXvOMv9/Yp8SgwOMk
OC6Qot21PuIPuE3ZRsfJX1vynpq8uust2ANsn4zboBX5NjZD80XlJ/fuCUbi9EByDQimWnmTFt8W
bRaea2g5jKkwp9Qp3pse6hdoLt3/to3gwRuUZGvIwk2rRGyo7XqSdhXfHYWsbpuieSH1N9uUcd1v
HMJW3AD38Mo2HcrTyX5yOLAOWVD0O1mHH5plefO0gmilCq9TI4DjSL290QMv3CKCSfaeHaFyzABi
+9qQEC/aZ4fJwJlK1GXFh0zqLQlAzbaJIqRRDao8/jz1mogVdjnOBtSp858JT5gxSrIo5igoQzM0
TTN/EZ4oHL9Zz0GyIzdSp+ycqzQbpOWx6DOjX0oeITiPLAPRFopiHY8E0PZEWQ//6oOIX3aLfBIQ
FQboC5NXXAr7F1Vc1XrlkKI13I3sG6IO+m3giH66KzrDqU+2TQDPGcudBZZ4SvtLN+b0f0R/Npo7
drzfxEc/9gPL96du1Ct/nUYO8zMBpLZ8M+VkGSujVuRT2ejJ2cGacZhMkTzbJbos8TOQIyNPe7cy
uGFLna7xifEHisCmEfd61ysfVQBhIm4xF+JHaWdVvh8+N6EwZiOfcXDUkKGA3alPGJZ5UMJguEPy
G9krJrGOO05qvDeCplqJMRcUEsI/9Tnm/IYd3wXe47hXhkEc2sTnOmTJClYuedZFrt4R+31DBJG9
1OehpTWPL4ufSWY3NJyQChapwGXkKi+kJTP29H9GoJbUwcv9DEZ1o7Q+Ldu0zwRAV5fJn7Qn7Lwl
iQqshBh/zQX70MhWX/m+HaInS4YHwKQ8p7jRqO61n0rf+an6kf7SAYRdPH7IrOLsVIn5in76BA1/
2hbOM3zOuiSzVPy0E0yTzLdwwjgsAVnsFE9/8OXY7ooBtzASNunGE5A2JXJyEt/nngWOBO2LPXcy
6dzTmHN3Y899DsKPJnBJUUrvI6KpFpHW0xHNvZE9d0lsb8mBLlK50UsoDtE8EV1ymijvyU+TNcz9
FqIy892ZezB97sZGUiJfSjWgRWOWQ7tWOIE+3Zuyjl+knhRvKAzVdpWNjRjQ1JR8SRJuxrGZ6C83
PeJkk19SFs+VB739UwmIiXQD2frfjWjz8vynZcbfLMT1n6H/X5YCFjtqtJSSxEMD5+6va+oMA54I
uE5Caq1DoQz+bd6H5aquRLzLUtXelTZc2qXX5p47VPnJhpl7GwxzorBi9sMN3LCSadoE6psJQFYs
sjTuL3Q9mOAM5qTPVdoRvOqHorzHKNxh7kBb649h75rWcEoT70R62ew5AUp1q9lp07BQGLwP9mhi
bYaFScBFGd/pjsQFOZg4AkztvhDBiQjEs4OU7xZWKzFawlsT13jPOy6OajodaMwc5DCGCvkiVFGc
Ma9rubJL29wG4Qy0bEwKVO4OddsVVnI2iRM4i1zrDDc3pH/VLBOKGmFPLpJCxZ/F16Ro0bbVRw6X
8mzDAljXVDINmvhCYSlvCKdz5ZDEN1Oppmy0Qd0xMiSO+tNq63IumFsKSdmcASWjJ/d7b5ULtu2G
nJKVUw5dioTe8l4Ctgovg0Sds+zB4q29hqT1MEURwK1rWOwsogajxuhvM1vyyhlmD0cQiwKIWGj5
n6nn4E9JMEps6ISzcKbcjxFcqyrFhYg4f2uqlXdHQlnwnmoo9BvLJwQYyNplYDLCpCBktR3K7iaJ
cBDraqgdGS1OPJUUnUnkDPvYCRRoj6Sc8q9rIBXa2SUOifdmzluUD4CWeQN8cqs63BJoEIsuWJsY
oZfWBB15tMrmpdO18KoEtf5YAszeenDSg2XelRxNIGPuJuIwUJ8bYi85pWBLwPHF9FC4WBassxVo
0UOm1iA3EBsAcrX5Zm5CoYKtAr3v3Y7xpAJWCFTea6iTt0WaE1QGO7NLGFCYPzfRFNTGHVATbK8Y
NlPGO2pLmKrIGvucwUIQwGtYImk/+yStmYOgvZ89kzqvnCqmutPSL+ZNlAd6uF444UhkoJnp79rP
1sphfwXCiE1WLaRYt3pvPSY/m64MvTC+obCn+ww5vbMVp1vx4jPdC7fCMDX/OBWFprrzPfYJnmjA
RD0Q4UYhwLYtyrueGIZq4H/pDIR5gJhR7apkJs9DudyVetlQV5cYxBetMzFqIh0ijrYRIHiSXxhg
yFWF13EvWkE9Uf7MdId5vIva+BkHIpSxxr+ywn9GMMoLokdshqyQIO8JR3bnWOtCy9v5U9dryaJ1
PwSsiGoll9siHmtES/+9df2bg+qvekTqCkujsOCQgiwlNGRLf91dqkzmY0ai1s7xJbieUxlXt0V3
9/Ob/EeL8H8vo+yap/z31xiz+Tf6yImkCRkK1P/187fJc52Xyn/5C/dHvnXXflXj5atuk+YPCdX8
T/67f/N3zdd1LBCBvX2mYbYKay6gj+bPcrB5x42Ii+Lov7/tf9pxH8Ipr97+4nb8n1/2+2Zb/GYI
Swcsg4HR4ofz+1pb/w3TOLgvy8J4gCmPlfIffkeDX4Eilv8IFVHLrIj9Y6+t/eYYpkmamG3zo8TY
+5/stf/pBpOI1VUHmRxVozYLyv76aOCenzLAHd0260BxyDgrNr0s000VwTCqamcXeh3vi0Zj7Ldf
umd6B18yqfrTV/Y3DyjAlF8WGPPnYIdvScsiBOZHNPdnRbtwfNjEuYcvKq4TYEDa2hDxGgCN2d4G
QLzKbWmeCYU4tiHTv5EBMWHi3iGiBlmUlbi2pQX8cDtxL4RHoWZ7EQ3FMrQbiLMNMQ6mtS80uI59
Vy8M2dyN7bihw4OHMGcLqu1Dj/J4lL0LbBFmRn0G4XvqY+9GByvAXQ3WiuFo6p/gLKeLSMbXNhSV
W0P5BKudwxxpzZXkXAR8jWfOHfiNVq09jQbH1HNdF1dSENexN24jX5yRV89AHsKX+GJrNiHPgcmy
0M8ndc0CcZEPJqKVVFtLbPejfsiVfG2WAgrAkxJPzFej+3KOsPSHrS6sm4x9cRSzkLDK+2GQL3YD
WXEc4qNjGO3C8Du5HIj+3goZPjl5eqzs6cYc5Bdw362tvuJ/emByzU7LOlSyupgeyfVN7jL1WPU6
tAkYET4zc31JNLbbjMk7YK/PsBQmMgigRJhXvnVn8na11JnNTCLlRET6MFjTnhrhQFxWvUKFlix6
Tae+N+/JkN1V6oWA0yVEPHNF3NZ9OfhnEH3MDZlWXQVk7SQb3ZA1ltnflJF4SG3Ob1UxmIndl9nw
3aX2bqjVlwnq71hwUQV98Yxedz1KAP0lUULpwAjBy93Gch5+0NdyzQFpLAzNSqmxO3dUu6OveM9e
AUfcFJfKQos0WO2DJvKVpn3mKUhNtdu33cBYHeRcPrCnZRsgXNxSy9ij7hgaekfI3kYDtoc2weLR
LAPzgRWZCu04+8xngNwYpOCRIbnpquKmUfOhzqG3noqlgLEGw0+XsTYdXvAUpdrVSJ+sqppOUdzH
T92U7uvYuPOGrtvY4zw3wkS5M3RzZXXx3sqclVlm5BrFz2brfRErC5H9VMiHmoggMFzKTKtW77hJ
KTr7aVf40ZOhZT3L8RyGXnDGsX/bDeXKN+nXpTgZ411lFwdLdaCdBNyzxpjf0vdt2xbcPSShcwMv
y/WjhrsWWlTDmIQYARlv7eDc+RpYL4oBZ0eQFSkCbB44Ds5hyL7L94anYmq2sJDevSkEpZ+xJVS0
6lDCH+PNAbIcmsIdMX3WdvjOKmVdxmdW/su+0O7wva60nMAjdXpkQLjt5sSNBrARYntoOFQ5Cmka
2WCBddXTnchbgy0eKbYekQKw2G8C3aLwnR7CTpersrVemPxay5jhqTlJvEEUGelwsvR6o+vDMpts
a4+91/XL4ANp9lnzmKUZvn5yVIiHJeu90PF3Q+y8kuezC1v5mcdIVMvpblThhoAeSdcgVLZyTk1l
9xytc4uYXK2KLvMduJw89eSjKCUm+VyZwLZqlW+epZyvKju7CA/cW/2KFTQQvKoDbMMCUzHlGQLe
HapP1AlZcUVmtOnQ1SxDGeBoqIt3KEgrIDiPKbNbk/9jpUcxCkuJ8nLIoZNXD9ZUnbyseWnHtGBX
3gbLwrIJrRjvrZ511OAcBqvZA05adGl1ZZ52mkT50iTyVW90plLeLUlLL+UYP8UjRIym4M9h0iMo
5BJ1rDmtUL+MhnJxbL6eVCtdBk43DN7DZRuPSCmMHBaHVUWgcfvdHDev62IzVcW3iOFrtNGb7aN6
ZZ/BpDXQD4B4sBWXBUj80v7SdetxkIQvMZ5x2aquS+GwmTaS2kXIAkhGy7b25Lzp+FQXZQ0N02lU
fE7IFvRIedDp+LF+1i5v2LEZtScyat6xxJauQdzQUk3rtyi2eDFQoAQNaViOd87YzCm9fat2zXHS
1Q6WOYvouooPeu7vJt/4Kn0KUtIUE0K16tuJrxWS1YG6cI3IKEQowix/rNKIjAhIb0Hlsw0dPBdq
3Z5Xb9egv3BZypyrAsEVGkuEs5FyMGaqSeiD/s+LTT0lF5V03tmAc4fAeIPrgjxdPMHsEivTOmCl
3uWTcdPXKIeqGxO2X2wxQsiRJtBR3JjypRXxg5fWGJqrDeMjsmKI2sk5hNTcWzeBtykqc1Xkr/A2
j6ljPXWVtiPtaNWA9STYaNt3BaPSbKVBoGTzaO7UkFi9GOR+bN2XXr8qG2M7hscyb55GpvV9n2wd
nnQ70Z4p5U56321j4qMWlrMJGy9eYczbTkpAwlNXXU2veatieojAQDRsVk+2UxFKxHS1Zzfm6CR7
tDhgbwdm1yiEwgWxGnfKJA7jwMkFVW2BtQ1ttLTOcgi+inHvd5abW+opGL7xxR9VaaI3mRaVKghW
zFnJYaSGDLmnfluiy/gO9ewz8I2TMJujMKttGPtXJHSuClV+ISvn2Z5z0NvvRmrLcuTopMesZXWU
5cBLmD/zijyWZONYyWtnx2RkZa++Eq3qOLpt1fZkReZS5JLjxQsOkkMLsjEqlpyR0nCE+LgcC+hj
Mn1NfSXBeG28OxbMm1bf5sN4oMtMkZqLZeRo21QAbdfat3ZqnwO67ATVBtwtJunZeyrGfaAcbJR5
GX5um6xNiOLFoTbBiSVYsCOWP+E9EATBoRD0K4NjGdA5rISl0bRuM6SbXhymyN71enJSnfCrszs0
Uz5JNjCEANVuzAGRC6adIFYPuU+wSuKAvTHiuyqDJj6ZF+ixywCFGgFBL8EhS271+iFC/S1KZV3U
ETqFeqvhwlqILnwElM7UadJdEsCXfXS2plXWWhvI51uWkp8GLXMQsoQs+QIr/dZIdZrQIcEJHbp+
nezJYluZlvlYDdU77mjPbQyDTLsueJQlKDYJYW85zEsCzTTueub0SzOocdyrRKWbOWsKoNPLHsF8
jHSbJVi+yAx5LgLzhYXKh+61TzVaEGTs6cIyqscqxtreA5+1KhfwzNIEgOAPFDPTtWNp3nLwxoTT
CJleyoL8C6/ejBpRTZ2y1P0DdAZn2QfDLZPPReDlhDZ+JwEIovCuKZ2bPiVIryHniI1sOK7MxFoO
l2EK1nm9DkzysFiHrxS9wrsfBNwfoauo7aXlKiIxql1E/WZyHnxLf/J79RK2KueBvQnpRsNZLo4m
LjTOE/GQpJ3fggy+67Qz5EWih3COh68K/N0BDzDZJYgDove+b7aor2/DAgy7Ug43pAUAgCrNbyd7
DHg3x9y/6ZF/RVW+9RwaCVQHYQNFYyR21L6aPZhMo3kj02YBCqFdSU9l3ED90CrWU9ywUBzLR2Ky
3KlUdq2+dyDfhbOayqAkHQgfIyLpXkuvnXR9UMP9sq3j0plFQfC60vTBRwi3RNkekjmQ3kJ0mkvL
esKJnsWHwjbTD0UGMAb8idBBT1TUkJXTPLNwzB9hN3YL0Mct3oBm/M6AIp+dSLWBEIjus+tzGHGx
o26kJF1lMZkeQo6WAYstCUCUUv2AwBzc2SI192rpSx+RnJluHb2IH3PLsV1MAM6F8TLfpNIErynV
8DYhdJHBpyI1tyn8/CZykCwtkeYEIEEzXtgk3GnzcAp1ovrFb2l/kNAyvbNwU7epHJuNp0bafY5J
bk3kYHOyg7G6UbMo3RMbV93T71EfU5gNi67K6rsyjcUVW9KwVJySuyUK+p2q1cU+7ww22ArLL6vy
ueMmZVh5o2bvfHQmLLe6xGH+VZSHLAfnx13D4pm1+k5xivqgZ5Z3k1RtfeOgFgIeodB6DRVwSYsp
06ExLOjS+njIoXlQzxB/d5/bjfWoVioT8zxjb8SYae3DxjsZgJJfIHA4R2ZHZAyVgvfHrv303Y7M
9llJhOyRbgbRyegaeZVOFFwcoY53NYkeR61n2N4Z0XCqiHuCgPnYoWZlhVdtnKkZLh5LvwfFMMaO
iMVRfwFCRkRcCfXDYGpFBKfVHvtwwtzChfkayNDakilr78mBHN5h8GbnltTPs9Sa+pS0WrRLw5FA
EemQiORDkA5gmRFQNa9MqesXwMLQI3SQPIWna3DGopRtlV9syMXgVIlHSA6BjxCXzHttqbESeYJl
HSzJQ0lfI5nox2JoBWISS9ujx0SrhLAYj094zofXIWihlqCk6ppkPLF05iYt0rG7r3kyR9j79Zhu
yJ7IVm05fbDTZfDa161cFV539RTzwc6mE9FRL2Y4b9rSXZATbDrBrjAaxOXmsC/DyGU3i63DkkvE
Cv7KwIwDoXfBDve5V0pg2ZHKbNb4NBMuMz16M6rYRTu07Px4TdiPm1G5zcFLcmB+j2X5aPuGusm8
6mnQ86ueGbtQtY+J0a4MbVoGkeATt5suPupq9ahpjeMWSv1M3DOZiH5IRZma187oHjxFg2aBxoyJ
4yIMYtxIyg431MkO/W5XaKWxkljCt/BWUVRM+mm00YvoRgK4JnOdMmCo3ddrVE5rlF0k7+rGuqua
dVYr+qpw6/YJER1Yv3oPtgWRr732k+y7yOqH//ewQ/w45f5nbWAbJmwLFcmmKVj4kUH/y9CFPRkV
kzT7rZk80eaH+2loh9PQswFWkBDcqGZWHofcn+5mMOylh1Nz1aI6OlVeCUe0NrPu2UaK+m79vCrx
/NYAuHOOcn6Tgvmdiue3iy1Cudd+3rj53csnP77vSUikdObVbOd3FMpzcRjn9zaZ32Dv52UGSlzf
tEms3Pge7/o4v/X2/P5XTu67KWikQ+rUzqZveyRQnu/Zu8iLx1WmVd5ZZxC5Zk/o77T5lCFUrN/5
HieP2rCoLI1eXC05ci5pNfW5HwTNvRrl9b2a1+ne1k1E1lPVnCD1ibUzn3S6Jznz5tMPJN/0LucT
UfFz7UufT8lqbMJdULBQL8qArM/5MG3nc1VBWOKmP4dtC4huO8Z28JoV1BmFOjoXI4odN4Am8MgG
h4aBuS8DlKA39+XYB3eGk2sfnqMMblo6COAiLvmfSyBvY23TzzcD0dHdpzffFvl8b2A6G78JjWiX
1XyrMM/JH7X5plF+Lh1+mvmOVGvyn+Y7yZ5vp3q+pzwrCXbDkMMc5Q4L5tsM8fxD6CHUWdhTPX0y
JNwjeYCpXepa/dhXqfpsj21TLEY8iE+jtBhqpa0+vvTOQELKKFhWFz4DqJhn023NLl9MKQWcjnVv
gXD6aNVJdgyCIHT1Qg+OBQNqBFAlcEfEoKYSEAhkVJb3ZqSyzbc48yeaG2Sma/wMFlqU5ud3xHyY
Lq0UtR73NN5CHqYsgMyT58k5zyLzzS51fZ9GHBIbsyc3C+ueQaVA6E3WL4iuit+FWtx1AjjfqsCq
Xa4D5NZFRbewbFnXMPBKTXsRoUCbATyDi6DoEtBtbnvFeKkyRjmt2tFJTNSVE4/viDOBy2ZwHcW7
RlF5TRrCEhQCCFZoPVJUdgSm2jTsXzQxTwpr8INoHcetC+MBdSsVkKILSNJ4EboGgQhyr+Ri96Zy
C34zdrno65WnxuHVAva2MJs6IiPSvIZadEXKGBDk5MTbzKLMblP1xhda42ZdMLC7GTqKniaJUfaa
ryH+n62thd8jiUFIRaeAqjhuMbuOt/CsVGi1/OPwDAPkW92zbDW47lIVa3JGSE+rcn1TAkpdaZ2T
EkFsbOyAFPQk6yFhqaVcM0xlrKJWb+yw7qgLIfebA7sPrX8o8uEx19PsvgdId9LtJNgYeDfthd/G
+W1gFcEqif1804wjqyJFI6ksMou1jUoUZV1Xrzuddy23mWt66MnxoY7Wwh/q1x7K9W7UYjYeU/Yq
CW5ZpBJrQ2LZzSZ1BK4A1hA8VmG9KNN0WFbaLI4vsBfgQymXasF8EdoI0hDfSSktCpV2/izL0V75
goppDGj5Axvsae4RYOGMdK3e3A/UTnfl18kdKPWEaxdI4APgr2yP/tqDJEeiMjuV8JB71qdW1OkV
ONPEU8CBooBFpov5hqJxJeNQW5KQgZsEfNaxyItoCdQeorITfIIokoskqrnayzpdURVgTxnD93HU
n/vkBfn/obFVnggdiU1mnScth2IVZ99mPV1GLTcphdsMp2KTIBKwLd2l6fCPdaV3KxFxOGokkiN9
J5M+z40KDaSuPji87XSv2seQq8KVZfRgVcmW/b/jKsLu6YyB3uFiDm59S+xHq0fdKni/sHP2WC8p
BxhIHztPQp9qrbzchk2X7wJdCbZArKfnyJ6bTF+QsDPExIYNtYWAPWq66dULY6jHjhEsQXYrSxa6
+slqouINR63Y+eCN90HvRLukMeqTl1vNuau97IzGeiBeS1A96aW1hfvcvHZzbYU/rD2Kud7qfyqv
uQbTlcbaofFTcNHO1RknrvFgzyVbNRdvLd/4z8X7H22o/n739OfV03/9e0uszVc+IwTq/1/WWGJm
Zv7va6zV22f19o+37PMfxzf/rfrH9q37SsJ/Wob9/Ft+hyOI3/R5R4VAyDJMdkjsqH6HI+i/OZpB
Vj3LLsNGFfGnxZb6mxAE6thSSE2aOsuwP/Za6m+q0E3UTyo7sZ9t2B+Lvd8XSOwE/1c65S/6Japv
1USO6Tiwx/kg6i8VVgQHYRDk3bk9togoGjZkH6wpOPA6G5s/fU9/s7vS/kopmv/s0oRwDvAWCgO7
uV9+Lz8FGlkwx3JJwlgTZngZ03Jbx9Y6y+V6csqXVCUJq39yxFqxppOfTuoyEM9oixZ6OOyHpFiz
897+i0/1y873/34qoc97Xz7ej1H3zws1rwjJXUhLzy2C0W0YTydm/3/YO4/luJU1Wz8RFEDCZGJy
B+UdyaKVxAmCcvAu4fH0/YF773skde9z7pl09I3ooYKiSFUVMn+z1rfa9SDkzkIRNSN6l0a+9nB+
K4gDaFg3U8DIJKBTccmvFdUf6+G/fUdQ+f664lt+IyXAOblITGBW/M50IMKmMnwzDLbN3EV7dCzH
sHCdBwxywd0YYWqoXCO7q0hyJczMm09xuSSHzi4jjbR3Fufsq6EL9z5orYzFuwrOjhMfkUDu6JiQ
chXDqxy/ZuTC9ahgvLK48Zg+wRIakctOcEYFEEbIUVu7YRIc+fSIMcPPeVPTUBXCvTFrY4Ncdlc5
xSbJUJGh4e+i+OQZD4MoH2ZA8AL5pkMWo6vAtqNEAl9JYwQ53kMrUpeXxhMHRKSsJD/hrjsakG7m
/otRnD3O0RW176maVplwDqn/0nf9x75Lq5We4BlWozw67UswdEe8/YgnYa7rdpM3GQqukDSRUyyT
20y5a/KE1sqdtjkduBu1QATh7wXZsr18zPviBJ4Zdp695NowU8rbXZ2oabcwVpmcbwRjE4OVSefo
mz7ydo39Y8RkwN2OvmyAxAPjoi6x9Hz0lH/CG0tWAfL3jIgjhj1W3O8QT64TtzxoAkrDrOHl4cf4
RJLXw0OpXbzEiEAMcEAtBMV56DfSHVeCEsyqv0TyThT1pcA7EMeKiRuTadM/VQ5PZq+2Jrx/I35M
ITYY+havzg5151ufBFvH+QJW9rVpvmJdwygNYB4hQwMRzJ+usaaABwORK7lDw70OCZi6NX23emTG
/BqCGbrBuOtsZJfeGZTyD2LGnLUO+WiJNmDaljvl19CuA6iqEE3XaK4SpmBF9r1BJ3wv5hDuvB1L
igt3eWiAc2AGiY5ycB6l1YlnjyAsCK5h9xkmC3xQ1tn0CBKHAV7t8CWv0gLGoh0Q/VJgACU7GzdC
gHfukYgFpgdeIzetRkC9KoYlyKmqvPHN1VN2KNycifZY9+FN1FfxBcHJnasb717PvXxoRf4n+et/
L8l/rfXg478IYf/+klyuxow78rdr8c/v+1Ps4X4gi5HEOAfpiKDTR2zzp97D5u4TnuPjN/VddKk/
XYseSGwYB0xDBPef7QCt+utedD8Q4ODBo+a2BYQH4uC3e/Cf3Yvwc349hWlplG0rnl3hs5+B0c7X
f3KKzqphf4XE9jjFQEEL+RZKaClxrPPbyJmCC5m37qYw8mdwsSga0s7Y16y130bHlTeJaizKRLVP
XK9YobW+Ip+KVk6hnkMn9zeZ9iX2QfIc1lMaEcfq9Pc9Qq/VIGx8+lWXPTZRarDA0JplscOCpFmL
xruZGk4E5SLWlHAFSb287wwItnhXtyZgFJwpwfMYBWqHnYPYy9y9sOPw3iSsZiZHNHCloDRXPjnK
ZH1z2xJxn2XT4rBkbW2oYUcKGDDsBDw1Ixkm011ub2qYojiN5KYLNTkxiNLqyDnwDn7jnlwNVX7B
+7+dGvEQ5+651BUJuR07zFL8cK14PBlRsCyTUjXvRaQfY17bOxCiVAGzUe3Rez2PTNM9Y7h0Li+m
31b2JZn4L8d2eusU7b42sL8xML+x3Y4lmVnm+3hsv1Zimm+Dl4YzZ9XUmb8jPPPkWFGGQLbFbDdt
sBduM7zOdU62paWKHy25MRvfS3YWgoxRLelVyVPNLDyqcrHRkq1uX9FF039vjDk5GFN3bwi3Z3vS
jM9dPLtHW+Zwz8S4idMSmwbrerLNQoahYfRIlOUDST8wWpZ2r3Gy3ThOijyk3LlzUdivWD9h/iQU
az2x8Nqr1gnWBNq5R4Qh05Odlw92WjvoXWzmfkv26aOZBTMNS9NW+9ZIwrvRA1PuPsPDafdz4hXX
QRtk4PT9TWg6dxF7N1y1H8NsQkFZoY7sqOSSQV9C3RwNElbMOfw4hIM+Y6Wc3CnmrWputW5/pMUj
wmow1tK3D66ssvWUTwmG7q0z9muTUNBV7dsGAdMzNYiob6fevEC/pGiAF6SU2pX1tChN2Jy+CAx2
qyrKjc3oLT87OdamsdJZZT4LEgjX3N1k7EYr0exQ5bBuI+VwX+OlLlzrzcGndZ4t/wca0JsllcAx
c/YU9dVuFc1fssHO96DnyPrcY/QyV3EZb53OV4++V+wI/cC+KCbmsnaujTtsau4VixjQBh8Df2GT
NF05dXduEYi362ZyPZJl7epkB810ThytuFHInYdNGJ4NAPgkFerumCVB9jGxw0Xk3TXxJRLAzqMk
1IeJtcBTI5Gj81FtUFOY02fku+UauHp5jTy7P0pZZK/pFEgcWjG5veSykRNeeOeIEJpzhbGOu20Y
dq1lLauGebxhCp4/zW08Pqkq706JWeXPOQXQru7xCax05eu3Nujlprai/haTlHsDs7+6UB0M9yzJ
7VvXmrtTa2rrs5Vk3VaG+JlHat0zcIX0qCPfvZt1GX23nZGbs8kn/a3KQYli/eZVR8Qc3yQVmXBu
kLXnLFAWQ/q+N6+EzpgPg93XtxaD+0ueltHzxJuFNAX7CR8VebGNwbxQK7QN4tGYGVVekaJBVOAt
/UHI+rSd7hNSoop/Ucz/wXL7eWKsfPISbFZGHmgynz7j11M7TRHv2M2M9SkMs9vK0WV/TJq+uQU5
zbA/ANNdWbAmJ4HzGYAm1G0srKipsc+w0X32+sbYkXGOqFUmy9ylscqNizlhx0SS2ConDrFJd8HI
Zy50r15hJufWzG9BopGzW/vztfKsYuUEKruZQrwVfJKeXexieNhglRPMRVCT1bgrgqmftGZ033VD
fgf2HAD0MHXBUzWAcNr7gBCIvZRzTSpNwT+8EjCEMd7jMd0XcxR0ANWCftybeRglQMCc8jOGZ1In
qYDIbyRA+Jm0LfW5wYcB1GveGUI9dNLYF3FbrCe0ZBVMx3XdShSfZuah+y4uhg3JdMotxLyd/VCN
7SWq9GOgpVpXpdmu+tEFakLAzlyQH0yGcbqyDdTKckgmWNTIr2anPwe6vMiYxz+OJ+QGWNQHAjjX
Saepxd28XNWDF36NenfAWj04OwMPIvgpUHMlumbOGCvbyShNHqrZCzdVF+a33TzIBYfDR2mWfKpm
0zMvQHRYRnVJc4ldw7/pXGLWIjMUlzD26tuU1vehJJj2GqU2CyY/7tsz7/V4wZQY3wwmLiicRXze
1RA138Bt986Ktj76TtRbsR51MO708qRMyzOjlqdHLM9RtzxRWaNw6gajfZtiV72v6rgmvqngfo6a
HhcSV2Xh6eYN4yMqN4p+LLLLE+wvzzJU7/GJ8JfiqV+edBhP4RE1y7Crl3MgXk6EaWa+Xjkl49W6
WD4HtXpEGpS9Ivrqj/NyrszLCeMsZ427nDrtcv7My0kUL2eSb1TmMWV0eilCjyNrbHX+ETkj7OMU
GFzVDuE5a9Ez9a2n3pJMTOcqMCo2Kqm8RrnPwejzt88UIN5XT6poPyZei3Yk9q78beOuI+VybbFn
3saxB8Zs6qZFFBRowGjN7FOhpEwcmp3yUzyWwpXJgEEiQH6APMnL11Zo6+mQO1He3xYyIdvWrV2i
VaXfzBvCuV0f0YMP1ISczrD6CEGSdAwS4ap2nRR22h7KUPfhRdA2kJ/a4J5bda3qO8QXxTTw2MUo
FM2QvMiViqIp3PiERLGTmd2Z+xqTgQmBwstTHoOk3Ku6te9sos1uVDi696OBrjbzbYDciWM9NNDU
UzBIRCztay/Ksi38fAwLQVL6iKuq4AsZZER8Kh+rzUrLOTK2XZ5RAfWYRgnD5Nj8NGcZWZ005xZn
y5QkPh8xq7Yu2m7FQ4qKHgFEfS+DCdJUkqCkaaYK7kdxaABA4sJon9v+4iEv24aBeSOVX904McMA
0RoBbkUbx69G2Ye+FncHARGryg9JqCsrEhgcWI5mn7xWqT/spmT4ahU24dzaBkE0iWtg1sNt2fKM
4qL+EssvSPD80ySCmPNmEowJuAbssnZWAOv2MirZ+lgPCZt7YhMUar8hIKNCevAn8VZ1tSPPrTd6
Bzw8OYlb9omQvgeM/tx5sWVfDO7/rTlXX7OmNJb3CE3EVNkrHQ1XrvPn2ariHy42+mPTsSAiCG8+
4/hjPgGe5cVS5rRJrHr6wRyUz2AXlpWN/rI1ExIHYsCP753L//Z5/6rPY/jE0neZPv19o/fcIjR7
S6Pfe71/fO8fzR7Z4aYD+Jh/0fM8k4nmX82elB9cEgUE49Ffo4xsiyBy2jio3lgxfM/hF/mr1VMf
+AKGVSUx2nggLP+dVs+TSyv3j6JBOpZNIWHRadKMkkdpLiPCn1q9KJgqzTBO7MPEzSHZMAFEY+qW
XMOBdN+aKYCuCcF8VVepucbSV4xrM508sbOdpt0NrhwuCNVj6JMmFJ4EekhUPXdzsSl6OHFSEs8Z
eXV2lG3Vf4nirj2aCQZDFnahEa/9ubBpwJSLZGTKVbpWMjYfgsxij9XW8x3KenChNRbbBBQNRNBO
RSsEHyMt33DADKe/cxZS6ctFEujnMf2lb6lbs+3iS0jC8XYSSYyJvat3ubAjCp083jZtos4JVIi1
H816XSOj3KMx8L8l7HdgGdSTySA4cPbl1JmPco7ju7Ty6v3SeW9ye0zlymmH+cT6RGxMkNQ7McsC
2Tp4HzIyBUs1mO0oG8Ms2eeqZmYa9lM6UEP1WKndTt0PWQLSpa4AHiin+mLmWX1L5vHFmb3XljSm
mexvUk+zwzxll77Hte9O95EBks51uivjthtskHozOhLej473lAuA1FAetrvSWDIoQyOvkDaNIPyj
NPCeWty872nbgblhsnQPnP8Mrkshv8idTVC4gCLUIlNZmJmkJfkaCWtB2vubYRsT638dvPpwMmAB
qOo6N1ZXrkke8p4yICQnnUwNqxzDvGFKm7Gpa22UZqpNOaR9Kz16+SgPPXnFhyzs+mfUTh4GZbJh
oMXMbKZtw7qYUhnHUtTG18ZuA1TALnk3fNLgrhaD/DhknjgXEEyw1EfcJqixJ/z9efwt9ga9NflU
HvyoXPCtblTszdItXnvA66T4snXLWJ590VX5uQWN+9n3Z7mXeZE+5Iwfrs2ELBCnGBmDXCsXak55
od4JaTA8Uv6a8RKU2DZ7cyx2uraNg28OpFOGjriXcOuAhtDQo/dJ+US7hJdzCXW3qojSm2wkrAn4
CUpx/ATWZaLtAJliJfKllSISLCY568s6nh4hhozHfGisqyDkxwEwVPVvtquGU5B6DldwkzDGmNvX
IQ+GS1CgtWepYT81pjIiCrly4BZP9GvmBSDgUqKW63U/Gm5965skWhH+khsaOQ10XJmmBnS0AUxX
MChkyG06Ulkb/BjIk8O197z8xSHhAB2JwVtRp6OMtk0INx6gnl2CkMB7aTc9nWkigq2BWOeO44KC
g4ie+DaJXB9ZgpNdh3ZuLz3xg9fR6imPBLKOR8xy1slJ2wb9Xm2VX01McXdmCyR4JaxEILipUR+P
0mSmY0njnAcp7MTBGkqLH1okd2Im3jzo5/RK7DBS1GAk+iez0FUrZzxIOUBfaI2hulcVsfbE/FWX
KFcUfBWmBNAEyt4xHG80k/4svogkQN5WTt7FiprxbOIW2LOGai+FWQ03UZ7lrwQqoc1GDYwCVEzP
FS0HVJzKDp4ILsOKKGYiWwdEIOlU60e3qBiQOIRqxpkV7xlA8WxNQ56SlJIN94CqxvsJSSjTrFK3
68onV4UjFUpdezBqUx9k2UdMFwLz4Kc4RFtp1FfL8/NrjOLqpcYVjLXBLL8PdhXOK+bU4hDMyniU
Uyfu+ka4L1ZQG+7aIvz9jJOV5KxWJmfXRP5ZFzYRzShPgYMO1Ytbkp1uYO1+iSN80DB6AfRBepm3
tjUhhKbaYQ2TRjuziQbEn2GDPEcnQCXprh4dmQe7KFItKD81TMcyLexLmMek1uaeu8fcrtCo63kT
WgmmB/BqnwoSZHZ1I7qH2kcJxB+DpSSXn+IBGnIe6mhH5VffCo/5PIO8RXcPU9uxRP7KYM1/9VWe
X9GrxHsxGvhuZ/iVKQX6Nu+17a2VIcVRp329tZAQOGs3S6NTiujjhN6oZhmj9NGZrfxasSvAERV/
RSWr1l7RnKpIc8Zzq+EHeq1sMuoo7eUDeWxUd+N0xLIePtVJ1n8vGhPPhbbHfasXe4rsRG1tvWnO
JWiUCNeOdhhpGPSahLVru7pU0mjXswP2Q3dw5zJFzl1gUuK6CUbgnD22Y3/SiDQJajNurLI/5CF4
bBmHNyOgpgNH9daaUJLnCZtDeim9bbWl12ApiFllhIVk0DJdOzuldtuYiCCYbkZJV6BEjTpcZW2S
HaMuWf4vVlhsNTSkVaT1qwkQ9tB3paQoHmysabPJjkg387TpHDFvRT24u8LP+wfil9x8S83pH0ar
op9ldhxiIfNXQ/IgZ9Y0Wd41V7PhPoM9kaL0BepWqyk/jRUvDz23+5SbGAPnsXJuogaG3VQG1cZq
iulsDQLl8Twf8MfN+wJN+SdrDL6lXFpZHrxFo2wOpNhveVWMAwK8VeuE69otYe5YTol3zbAfsK8w
A01K8xGtANJtTSD7XSRBAayQ4+I1diPT2XjFaO1yGEdMykzjxxho72SJUr/wfNQXqaruYIOJ5Jrp
ym95i+9RiUqeWlHNb1id8EFExTVI8SIxPZ63YZ8Hj7wBOa+pUEDlU6ZoSgDjc5o6urVC+j7+og2t
ZbT2lTmXVzS85gV5Yf5p6E0gOEg/zTUpNhgnBsEwWnjtaHI4mf6P3LBt0E2GvxvS1KHDsjWLpVAN
8ZaRrufs8Z5HxwLy+AP2PCzm0eigrx7HzlwbTeEhSPeL8oH6Ii5ustAw4K7nGbMXjoF1dDQba1Yb
UdfJcOePoz4Nvs7Yntrx95wTBxmq4w2k+ZBT19he/GznOXHhlLtrlVoWk7+eKa9gVcefpX3Igyje
2QmDcbA+5taGsbGulYgPZh6LbSeH6qEZhruFnFjQ9fADm6Mux3LTgXZdKXNMVy2lxbohY2/N7nD8
NsTj+APR47cG7s0rBKo3r+rNdOU6YXnnkx98wNyAWUzG8boo7eEiCcKmWMWQNztCwyibAOQ1KOeH
jOupMTv7ZNfqScwDIxsBUUow+t8EqKA3UQM1JatIZHMzt9hFTRefk6IY7lorMPZgxI3HNs3b/eBa
HttvRh5eMgXflF2ztdc63BfRbPM2dPlT7JYYxm0VXsmNH7Hl9O3OwC2EpSDzHkMZ6otdcHWuEzEn
G9dpybkWvR+eJkP2u0a2CNSZrH+xkn7cKqC81zzW3RZMvVxrjija/sS97YB1ro0sgEZYQ4cIMnKY
14MiaDSK49HdzhktswvitFyLeJDbKDCjHUq5IKS6GgxSEErnLJXut5YeybwZ4T4ErR9tdYXqrTNE
cHAnJ8UFNFgQ2UiQqARL49Trh2OcBeVVDhnIo86bhV78aPEnN9btoR7S6sHEsboZRYx0OybVEnGY
88JFx0LC04ruIPbE1gE5d4Iepg4ywFLSYfT/oYpU3XiNmz33aZHvvbYwtzVrNPyAyLd8UqR2MglM
wMEVMKo08LlqpgIY/ZzaTPOK8dKY7b1rNjvqVGb0Er++yvRHIyg39eBEt/1kfGb2Fq3ssGSVUCAH
85RGsFjStMCzbdaVMMdTxdp8qwOWGqvRAaXRQZZfe10O5ZYPBgumvCVJ0Uxd78l0ZheNVBvwPyAS
QgdN8C9iNQCG/Ys+bRGz/NSnGUrNyWAC14RHgLp58eQYIAJwWqh4J9yk3CRI+56huDA1tyz/06T6
6k5Ec3hWk6g/E12YbJ2eAh/rkwj3UTdVTyQXzjvAHfUGtG0MScs3rgCZRcRDGyPvd3gHWJ47lBJQ
YOJPJJoYpL9lBRYHQjX2FWhmEMYpXL/Y+Bp6ZbixDSByRgIYKdfeS1c31tFoKxemuG99El3HeMRC
O4IIstwwyuahTV33lgRB3IcsiQiNr9XMhF7KVyr1cO8u1gBIdW9l7167tnvE8o2fJC3SDePwaePO
0XTfdwUAwXS+QLmRVOAoFlcmulrywPoI/UI26pljOySlS7R1jEcFaAOXe05RuO1JHPw4izxD4B0r
0FXknPeXAGTrMaqpdlFWCO++LJv+rgH+sBCGrIBhZyq+u50Zf6uCud9UjiG3YDjEQzmnDKAQdQCi
9mxzW069d2a8bhxckUIvT+ayxhzCNg1BvDl+75vxUxMRJFt0brxzdJ7t3LHOdijl0QpWLpHwUB1v
gsEFOFbnupWrzkVo2ZV9s0UcH9/NacENHRXiFNC/XmO4I2D6EJM+8KD7x9Efh6MoHWanJhW2FU/N
jypqKQXzYRiRNA6use6oF8CE1hiq1gpOGEYs6uz+veTO3stvsVTi3MIU5aDXYW22tdiZ9PJQpgc8
RvZSyTOc5GxSS30PsIBK3wRkwvlA/T8Yqr34S0+QLt1BtvQJXdYLZ6VDsLZNMli7qvQbiIA0GPq9
1/CozDiMlhbEfu9GuqUxyZcWJX/vVqC2ECOuIy5r/EdrXC7+4terCQqMDGAh7y2Pem9/LKmL6tDW
cmT451mnUbtAnpwKxbFO+eBCeIYCDmfhrUKsgx05IR236NurM2rAHIrtM4cY/dZcz48V89NNZlQP
hojjQ2XwgtkovB5YBTsAIKmUsYGNxqqkFCYSGoU9SdHswHXQktmSdFhRFWUY41kiR6LQtD6K2nXX
HWv5q68G+VLzHkx49WkZAemOayRp9JFpgps0SlsmBTSZICqT9fDeeXrvXai/NKSVZaf7emlSu6Vd
7SwvvNR0sNXSyrK4521f2lt+yaXRpeXVS/MLKq6/ektDzH5c7l0jVJ8Lp/48Nkn6xVsa6G5ppeel
qS6W9ho1MZ02jKzpEC3tt7804tN7T54t7Xm+NOr90rKDK5Mfx6WNb987eoa+AVIq2vx5afgTDuk8
YK/RsmTNkcUsk4F0GRLA85EHdxkciLbzNz/N6v4LRd47z+SXwZcjSIMgnYLxG6wM9VtSUeP7Nk1C
beynVjmnIo2PrQgULhasLGLB8wmf3anptIa1snzmwy7e7X0vpPW5YaoOdraU4bep74YTPGRgYMpq
rtA4/E8UBuWLrapLFxOW2pnQBymehgcN+ROKklGlvKeJvayOp/SASLyhFWgT9iYegT2nRoUFOIKJ
38r2RU9lFczFG1xe/DJgd/CYzstBlr6facn7+Ta/n3XO+7kXLUegvxyG//wFe18f/vKCvU8KKaYB
kgiJavPXG8gHQDk5LPT32Bsf50/2p/rN+FQ/DLfNPQqE4s7Ibv/5T/wtPPx9NmmZKDMXnShHpfzt
Jw4MWHKvjYN976ngS8amg9hkJ5lu05E46TWVdHXWU92yjAnT6IvlzgCwnSD9MVvuiIttioNdkQwo
PISkot7Ogc0dLiAimnuQ0cZHdAXek0fCVIqMBLD5OnWkgl6RThobaVlfWKLjMS7m8Uglw/nEOGXF
RuihG2e17yk/GTbkJBM5Vr2bmqE+K8KMXz0w0cdmCLJjX7tqDwzDeM5jZAhdW6T3bH3Cs8AlBk6C
gvgx8r35zRnihOTiJY0ZdKp+gbq6nF+5yD6+v6j/bSP95Qf9zyPw8IG0eYD/flh/8z2MkGVNb/+F
LItv/FOWJT5IF2WVR4YM+iuqmb8m9conr81lfI/k4X3uzlf+wvB4H5idE/xCUq4HIM//Sa7sfjAF
aB5kWyzkCan+92RZ9m81oGKxu0h1yVVTDv/YshX4uQbsgqgl5UR6B+1rJzwQjU1zrFDM6+WEir6N
aZad2D6N1ZGRPqWSNSnC1AcrmXeA7u3nOkHTVbSex+rPS/uRuYMxBGsmUWO9z8l7f/YbaVNrDCbw
VgOKmu0Wnr2WVJlALRwn8Q84d1S6NydVVxfTINwevzMEDzeMQvjDAK0aVyJL6bExrLvOMp58q+O5
6CRB9w6h0EWi/K1lkshaF+rBnDXJ6rZ5O00l6v60qrnlml5/rSGTAwS0GwaN/GfDi5k0fstYxZov
LqODbEMtjzSoy9TembP8IDuNLV7EjMJcNW5Cd7aBDEwEuTjM5QpjGglFySbvfohs/0mVvtoPVjow
Is/8dTLl/crGL7q1dU6WY+eDlIy8tegROb9QNQ8dHtGxkqu6KR8sNszoUqt4yrclQnXzItgX4nAu
hv6+5tIDnVuUDvdu3OK0DlRPFTkOGV5lv6jhzTRWsBDXDZswZ1yRjLdCawIalnGkWPecXv50p0Ps
KfcWSQEc+GYd6EOaLLOyqFLWfOzMFk5f0A8+oNEksPpt18HM3Nl9lH3qM6qJe0WtKHa090qBLhZO
ugZ2kU4rBsl9twu8pt/L1oy+mWUVynVe5f6+0J314gbMADahGYbYIJsfPrb6zhjqK8nT4lLqqUL4
YBoHA8X0JwCvJD+bwXUYC9qoemghbI85wiU9bHIy3O7RSaAfMbnZyyxIYG24cHYbp2i+2XkvDyVG
k3gfYyq3Nllp0oh4lXpiY044wIRLeKJaadVjZhnTZQiQDwHBhyPTtBmtOEoVVLTAWLGUEQNnlydT
FiChGz/cmrE6IbpYOJ7W/BTAqN71demeQBDazMXIaSssgCRkmKdl0zxOTgJ4Eo3tnRFaAbOWIWQH
YiMOIrViwuheRpLRDuDFcF8aQ3ZBhamIDUGxODEgvujawQ4PJDd+4tPanTHjwNUmtZt9/OTHyXEK
06FalUG3oUbE6UOw6DHsh/TOV8CzWt7bALRTAHchFCOu+GkYGQHNxgBPUS9g3RygCROj+3oq92AF
sm3tm/MLKML4myuMYauVrB7zLmxYUncJr3sy7b2ECAPpt+ROGHN3U7XT97LrYFNVk8hxNwUEeBsk
63laGuknAIve41Diz0LPksrXamrxFpm55xwXpDJqvrHbxKKyt54huq3b193OrBmZkokzQCpxATFS
fNJtYf51wJwcMt84mdQsnDD5eOO5ZvcpMBs4HU2YXUPfrk8Nge0nIBk+jIIaL+HQB+0foNr/thvv
5wvv//z/5ejhWnRY+P79tbh5y9+Kd0fPJu7+89W4fPMfV6Nc7DoCaJ10XDwaP12N0vzAlfiTx4cq
7a+r0fzAV3gQKK+FJZTPP/fXGhuPDwA34towxpCkQhjNv6FY9tFL/7LFdhWIPOERs4I5VIGo+/Vm
rLTBaKewHJYN8Y9OerdSu/vK85+SgOMKg/A2mxAd9zg+45AeafY+Ixfad/5rtIxTLCM8B9H8knbe
vordnUXSfHKZE31qB7Bokqlz0N9Eg/lSwyBK23BXze4+mfXBrNZlhPMgq84M49lO77yB762LS5bo
g8PeO/Xse0+7t9i990Pt3DuBdYvJXxAciQ93N1U+46n6kRnf4wzsh5nB2onKdUp4TtZ+mbPHKSQI
KicyZPR20hluZKVgbecXq3JuC2d8qWxnXbXFlcdrW03TPstZruMKQcPyxPJYbVTgPDUeLughucsD
h6VCtFhCXb1ET/erJMzu21Ae2LQDN3f711b7T6bSnxKHlwxd7d4OvCNO2y3k2K8gYzc1omeHE+in
T95/0ZH9jhl03t/EBZYLSppcXPVbuT/lWjQR7LYt6V6bkPskh9URDvWdO013UlMPk/65Tme5NTro
Brwz//wX+E8ztsUQZkrPRJCPMp9G89dPEUpDygIRs8+ks60wUqhO70YTDVfP6mKbRuKO7sLbd8F8
BeD10hexfcHCxiDVQ4UtV98nu9W72dPeuk/teCetIN8G5XwZM30g0AQRkAqNo7ksF2YMRhD18w27
DgZGKVZXlrjZdrCZuo8MJcsycFmh2OeaAQT8pgB5USO+TjDuV8M433cEUs8NClOevY92Lc6BHG9U
Ql418Rensq7C8/vr828dpP9vvse//Vv/E7sHjoxF60Ox/ffnJCDqt7aNG1yP0S/H5D+++Y9zUgHl
NLEnLp9ldGim93+dHcr8AN3T9xEEgqKjmeArf52TzgfL5HBdnIimC1Sd3+XPc9KSHxZdDppeh4wS
IKD2v3NOyuXE/eWg9EgAcAQdiWJ8wc/7rYUwg4Rkc3YKnCRlJHagPfUaqqWw15NP+OHKrpAZbHVq
UZn2YUDrLOVCfXJGlq0LztlZD74nLgW1M/Qfcs1WXUDCnstk/zGNB+PJXUxP4UjQMuOk6KxzaYY7
7UKAI8TE30qbA7kpmuhbb6sZpTknFDHnsMsBkRMWNYcFlOAgK9Q5tAqH0BThqTUxjdO9N5Y52YTz
Y9jZE7kMhyzPO8XaBCJ5F2t9jhRl+8j1IHZAjpDcBWNI0p3MJvJOCjHUt4SdMUbrstl8DNw4+2SP
Y/hYCkDanimSZVcZ3kxZTULMZPTzF1adLjwVR4Iv7PTbIAa9XtQsbiKIzdA2cJMysdg/k0tJOHLT
YE2c02RbGLw6hRjPIQTHrZWj8wAESjFuZuHa6WLUqqVnfVmykViElR2kl1bF6QUkZPpl8MimYgKW
+d/C0gifBVXm4vEHvkzukCGsTSiQFrQU0ltmWM7KtOMR/2ooTglvAJsd0pjoDvozUZ0vU4wnYCPF
SKzbTPT1OksKE+XOWBcA+JediU17e9Mxs3iLCyf/borgP8g7sx7JjewK/xVjns0GGSSD5MMYcO5Z
a1bWXi9Erdy34M5f74+9yN2aljwawYAM15vU3VmZTDLixr3nfEf3tmiqCMWm/U3XU/dGaHUe6xMO
VuxnsD0E16FrgoGxeUCknWYSZymgOGFw7z1mEnn5GNZ+3ZBenI60sYeoqBAYC8BcWhE+UDGDPjR1
Ee7Mmt9jjGberRLVuygogoYzIKRtiDaFrzxYhB74ZBTz7Vup8j7cmKIYAFRp3tZpHXTcIpAjjIqW
oaJjugT1QSyvbxvLFAdw2daZL9v6JszD4jnQzZCc4CavvFO2PBN/qzuUrxXEpMca7ZCxguyDsNuL
Vflk0K1hGm5IO9nGca6uDboAB8syNH81lb13FnNyOGRhBZYfrQ/UUm9w1RWntuGutghoJW5Y194J
T7btFSMZ9WA5SfYiK4nmdmC3A7Di9Td1npvIw5oMdYxqsM7v8BWFGrVKmJ/ipgcSkop+q3FEB4TS
93eeZIpqN8W0N5Gy8twmFYjEUINxXjKfYvDh6StAU0NF2LZIXgIervmfIqqjAZ2m1U6P6lgxDJLu
vrMRNacajsUFEJxBvw/Qvj3Mh6RxreN7RQWY8QW6bcG7NkfXpt9Q6QFzVNUbC6TZATjdkPA5X777
qZgeCRhfG+DKEJebr0U3T3h02tYvtjOQ7QgJdHgcujhfVW2IB1Or+xsGWshzXNPfJbYlTvIs7XNA
wsxncJ1xzBmH+n6qHStkgE5MiUDpRLxQAw9PnwBDYPEipo7UL6IuTADhg+vvxjEEBsNsvsDTQ6UA
3640Q3ABlWJnF45/5wlcpHmDm2IlSSBcagZ762JsVFktOfpVq3DKrXhhTZFuLLN+yIq18BMroytQ
Re808MPbyQnDUz0xkmCNghrKqGaJ/kHjQTE2lImqXSRV1T5mZhwyHNXmPnISTTzaU2ZXB4KCs5GZ
T1wQeD6hFzJgbSwax2Zh4SjfXlRVMoIRz4ti32R1/VDrhJVgVHhLsi4m3kCxTndpio3GS0Kin1rG
eguc5Ld6I+LzyRUTju1w6O4tfx42+2H4aODroAFjZ9O6FQSEc8OiTiYqNpvH9NXkvNbAJXYBZZ5e
RRYhrXlXnLCVoAAPCNh5s7QANbWmAEdx8fr+PGrbALW8HYw2TQ3iA9EcoNBcWn1MXCKfUzq7lqx3
1ANxYJgrAr3r99GaR6k9k1LybNhlrC7bqUxVJ76McvpOhGEuotKeGEj2adJsGTnXIYg/uhlWJBsA
ZxPiN8IizCAC5i9tfL6tifF48nSrXnFrVh9DP7qYDQBsGDUhOYykBhYnL82vc43HrUbSCZuwr6rH
yKl1C8G46141pRJ3dB2IK4J/Jc70sBC3xBdVD04RuydunAb0DpyGJEq3DMzLsnHzS4k8/7YasTSw
bEhuH6fuUpO63oCOUUfdOfIlsK3WYAV3tMJ0oMLgOj70SjfcU95haK5kB9ILxc7oPjaESOINTkV9
znNrZzvfEjijVc+YmbVJnXWZF1/0foH+1mViMPgCYzoKISaCqRZp4TKdUmOjVUWEi9B37scYWW5a
DNllEnv6ks4QqNO+iA7U3/kynAyDUlYW2BnC6q4N9OS29EwkOaBbS90xb1DtWockRQnfMrPYVXam
35BTpb2LuEBLJwLRrgj8MvexHkMlIhfMR+MTOAeniG6KQtcOfjH6yNtyZw6nj5ODFgtjGRDbjqQP
xz0ufA+O15rRfT7CejHwhI5OPGMGUtxW3AmpWT4DsPVxcLUBphqkvst6KnqgtJ6zJwGBvDDkea9p
CM1Em6pYEVtZhJeFTOuzjBn1GlZZ9ATO9DFDL7cdWm/Y+hGWDUdm0bPfjtaKDh+jL0inW60CkglI
Lt9U0FzRk7lCW+d95a7GNoRVLMjxVOeOnWVPadhhaHQNMeBKTxOsO+SrzBmfJYtLbbrWHjJAc1NN
WNXRuYXAAnRkW6hNeeYCPKxJgc8VvZS5tViAljB3uhubreUKRrEZLJHKJMAfE1euC72vnyfm4Odu
bfrxmhUh3HeFH14EeieudastDwZwUCI3Ats504NOXpt2OFbL1JpZVLUptrE7uBfE2gTNaY4pntwv
5sFIWJz0mbBGH9BvkhwbB+uhqlLTYVemlOB4ywwaLV2CCcEYlVYugbzn6SEaGPwvbBx/7N8ZLghV
NxGcZwK37sXEhBeeTnlISkJGFhYmHuK+a8N8lh1FM4DSILyTVh2qTc+hS7sYbAXAPYinVW2TQbg1
abfBK4/asd8jRK+LXTPG8h4li7gFhtahsqnQeCaZcdkjoyUH1a4bCDYay4PMnWArs7R5JICruFKY
TT2gDG100lZ6dSrDhGcVBWt85owmMCXaluReY+a6ooDtydjxuvAhNNC7LNK+awZkEKF5o8dDdQ+l
qjx4zETXODunC7eVwEvZtqxhZVeEIi+UiqaMhBDnrbAsGm0oAsYLrfPzE4+x8lZNHnZS1Tfa2qkd
+TpNbmOsXGWNzw3MqnFJL11bWyNS+VgQDLLBh9PSjQy9XYwP7KpLGqP98ilxmuRLvJwdiVfOjRmD
FO2n3r7n4QR5VUV5eXB75Ihhld3aSXoEHopYMg3qMy8LATGYPngBpr644jIbpQRy8maVA0ZyFr4v
vfvSAGC08Ms+4NRqCUC6HNnNuxh18ZlnFMXRKwp5hL1VnnN4Sc+YDqYPmuvb8VISNP8KwzncTolm
q+UgHfsCv3EHEzlthic3GvXxpBjMboRxYXTJCeIFAw5CEIy7BlbJq58GsKByHZlNDv0nXQQlIbIL
oVzvIq+CaYc00H3XjFq+B4GPMKqLE7xN7UTfYiUR7kULuzMjsRWFF92SWyk2JK7HD5OmTUfdyyCI
EUflsbeF3Z1B0MoRr096QRLcdJgis3k3P2++ykc6y4UncLgP/OMYjvXLULj1uUOW4I0ijNSogkAu
GOnJ55DgR6JOLTfEj+57jrcUEnpyNwnzEnFcv9L7APBaGI0kF9XpzIbUcytJIKbHc95HVbNoVAUx
3mkr7Ac9MCqkE1WDTFmPUGJXul6+WloFYLlQkKpaVVxFWV/dA+YDPlXhGkuJabgDZo6PamDesfe6
FjWr0ZMltMxICgPLaU3aPskrfSccuDKJMtFv2eMMteSQnC4G1bRnUWhm5TaRbuMuEoPMA44E0U6q
XuzKQa/Q6PnAhA07pA4du47P1OZluTJLoH/L2LcnAysWdDHm4PUJgkFQGB1G93QlfKM4EEs77Vp8
plQ3oJW3SLXinWvnxC/DEhNHQF7Wrjdk/uIWU/Y0n7IbfoOZpQhSTe1ab1V7gFCs7pMBz3VimBml
Khv+0jb9aVniMOVPOp0SQxPFaa2P5VnhBUiCMIoV/rJIi/g5K1IVoitAniaKjI+QJCXi9oSAv6vW
yz5UQ/uSxwXGsUrjg6YiVEOIiIulmmz7NAiRs5NPrulQxQjjHEQ8rS13EhYIj1YmQN46ChLk4gQw
RCBvVnKyrBFXvCx3dUOcU2fnkcbRNKRXnooos3eqqflqKOP1zCOz2e7pPrIjPUdM+eQyj1CVLQY6
vvUiJ87cmp3EfoctsBk2U9+gVklqGc5pok7HmS2R60GzQiSO+GuQQ09vmWtIIF5D1sxlZFaunTZU
7hKbZ7T3EuqyIUiK80BBNobY5nvAFx39FrENZwrmjukqhkOCzdE11KXV4mVjNu/vhN7lOyQH9T5v
x7Ai3z4b7mjVCn1Lylex16rOp6PoRkBu5JSe555Vib1JcEFw77QDfEKG4Iy+/nir6v8jxWvWTOgA
ssCHIJgAiD/PkH+7rXX2/IaB7fuG1k9f4Gtri5Y9rXzATNKzTNOeqSG/sLxs09BnEQ05gCSd/dLZ
Mp1POsE1YAfxlTC2noNtvna2TAHpxHHphTEGYE2nG/sHJgDunHbzXWeLtgeEMZrHn5u63wkjrbQh
TyFpwl3aO9ksdyLqF4Fa4C2BBxCGZtLXOnW03N22pqo5E9jOCUPbkJVZNpTS5Sxcz11S21cObdo7
W8O7U3vueEcV52GIofQsAfRnSbogXds7wgOpr5xEt4alE2cuqaMOZq0KN1OgqWXZGcCrTN0HjxRX
IngBiq6VlGqFdV4L2zyhOdE/d/6Yv5RhYuOyteJyW2Q5Ft/JjuZMsa6GOtiPUj4xeURzaxbeMG5H
vSErRKRpV+3xjvrakrGZBZm+NPBfxa6MrphP28GSsUTFBBVuUOsSSyuTtvPZDpR8FGOSHYbBGLXl
0ImEQiTGmUsSNn0nqEWh/ljF5HMTbsl6t/TgCRyHPAIMaqNWeo1tbTjx4owc0DYIjrZm52BKI3GN
+rS9x/1sH5AQZEcno0WuNZa3YyoybWfTFEHH0vHPOmYgKP5tJHoBaHgaRpq76ZjbtwuOEeGr1xMW
uNPSGgBqKmSHWCrpp9NSk+ZHj+EfREcwvUd9xrAeBln1OInEuvTakflOWMe+WmZkAN861pxT3LZZ
cwgBO15gOB76hTcws1m0wdhtkxSrFXOPrr91DKnd4T1HGCl7lju8OeGI8p7YinWEqO7gylC8xEZf
Ubu5YFREQ4bOoAd0fnKJFpgOaOass9L3MBQmzVmcYyJZVCa0KQezRb23YMMqttG8ecowiJFVYLX1
e5D5w43dFeAYaqsB8IKFxl06gMPPi1LBBg2KPE1XjWeJbVLFtXdJvUB4NFUwPTzb68CkjFpaRMSq
Edm6YNZeWOuYlF9zQ5C9857HbKMrrHi2v2TGWk5rWQmQqZqXEdPe2DS40GKGD/qM6uQYNHDytge7
42SbjfXcdMp6MkmcFq2ur4Z2GSHw4/p1qOWXBOrlOJyoG4424AXCM5kvPWScTD6iuHTGE5UKQmZ8
2ewgurbGK8A2HTuKkkZH8LQ/cUsNtLCAirMlH9ArGGetF+Y+Z77U3dPlql+JkBnwmpMIu9KjjP+u
Ra2dGVoEVbdrmdxZxTTFhybsJNKUwceY2I/ZLUHB1hs5hNEj25mPBYTTQ4nanOaTgSVwE+taYtGH
yvt9GWLnRgsgHU6ZmpSE7uZVihu/oMpeIsZvN6NH9bAIp9F99zolAZDVHr0WJ7UxrQ6Nc0WYXb3v
IGdQDWTtcK2lXv3iKbu+j+NQv4BaPm1sirBihQ0ATG2pvO6KeI/6vle2vVB2j5luQj3WpVh014Mb
QwaPOr9bkz3egE4tQlpeJYnDaw3ITrSY4q68h6yQnOZGYodrGUtiomIMaQh7Ahpdhm9OBFbl2HtS
7AIUZza0mS525FrWRffqTbg5UCoAwV8249Scp5zuj5zBQxg2flH6pESMw3bOKtkaZarvnTKhISf4
Gh+Vl0xvpJEHEvmvPp4z29fOW4Kfzj2sN9hpCss59lkZXXedRtmQdtLY672cdlbtq2Pk9mioUVNj
x+lzbRUUbf4wKyvW3URft/Z9/6ZpWXLoHgbThmCjFK+kV0ZrjnUc16EyxU9oVovLOFX2uq6COXhw
GPatr6a3djQLdzmGtHG3SVJwjpHdyHcPPS8kSKsPykcYjAmR3YHoT4iaNYulPTiKeHS9ueXbGebo
ycC4pHUJ5DcluftEs4e+XvScub1t4SKy9yONuYKOnLPkXo2LF0TreGstOnYU6C3oZAaW8ZNRWOWD
XfXkMFWVmpvjrdXYGwujBPmLScwBtHGQdW9FqZd3dWzEyVG4tLj4SkwWHaauFVJ6hMinYTziNUNr
YUzw9ZuZeFWO3bATaW9apBiMNY2oqlTnpOHAputzb0xW5IN5F6py0pchDMKPUFPFqqz16CYQqkYw
kyJzWjhpAqSr8mOaRkHhrOH6g2YKcifaWbmOUFgriHKwumrAKzH66Unbd3Sy7C7NCIMvGsLKYwFA
2ghwzHSuPxz6sjKnlQaweNtlob43wMUAk2lTa0nCjz2QwmPGZ6YyMBSIojEZn5vhtoPKj6AygJJf
46IlFnw6G2NSKNssy2FKV5aOWExm8YtTJTmdFvO0H6Ie5GPa8q9QtldXZeHU92aKWZY+q26SftrY
qMMSyA+LAt/EKgCOc8JjYxf3GcIhWrtNvXMk6kxE/SR7GukjnjzGAnIenxMeAWM499KT0OzRaeNh
JEY6qn1bp2k55axDtrZVxtF0hythgMJwdUrslN2AjZqeT5qnDLCmYjYZEPKB3qk55n7bfVhsPlty
23EhebDJVE+wGR3S3dSbKPqaur41B9vcuYnt8OimaUrtbRAdFHnQ+4lU8w6tgTmeYIAWFA1mtRPy
uDOsh1HLsNgAHGjCaYOjFsXD2WRWuFiDQl95nY8Z2WYhn/O06AEaQ1CMSwutP7mV0vCTZYgRYlvH
oxeTdlEl+ylC6gaBMz0ZuNXOXLeJTycvsk7bsAWtGJVt/eBxn9Gxyd1XCSggR0VrVZdWlrpHjCPO
Lm6a3GAs4dMoHDTxhh1AkONp5FdV7EG7SafIWmcJ4B3dbspbPWek3bd8/QUk/ocMEdJMhUsm/Ksy
0BeGEzsXOe36VyNi/LVWNDKXUjXlLFmAedlUNNvoz70OgVEeJErI8xxjOlK9JA4uart21mbhkAFs
MwGBs1yaDTWXcJ6IowPiU8wpytKKwKmgVwre/bAKEUxo8Nja0smWacZTCPGtMdhAmS8+dtborJ0O
Po1mmeRbVLofPDqEdDBuibrhSZMEuCYtOGtoBzFKDRrE29AtHbLBpHmCLyP54P2qA+nw44s3tST+
TuVYU55F0MIWnXKbG2/ss2oR170dr2h4u2Ih0UNcuYFyN0y/+rsJdfvGqfLs2ROSUqOsEaktmtrH
X+yrJienvDKDLV9Vf2YEQcPqEPnqKsIsW1G+yCTGc5eyUjFWa1LobqGKsHVrbbFtG1z/+xK+SADg
hfHsJjVC46IuS+teOD04aFHjANhEXdbB/FMu/fGIJs1pFDgQ9gprqJsVGkUVLl2IpOYSmyxoUX/s
1WPfRCpeKWwIxTKaUv8cQxiBejYK9z13iDfRDo2aZ4Jo2dQwvxjHpHO4/tCHrH5B967dCUZKd5YV
VseySutkoTgPHePR8lad0dHRErpzGtW2e2nghnyPjMpNkb3UuViz7+YsgILUDoiAyr7maB/Rgx4p
CRa9qsN8HUQT8R+GxhHmgOq2QxTY2dbOSUVRQJmzSlSVsLiRX7JVdOciqklS4lsIguVAMPZWGo17
TFNRVqvJ691pUXip9RFnmgc6EZnnrWdrI31tTX9z3bRtyQqa2MkTRQeGYhXf4aJqq6FkYBsz0qyb
cEl8WfAhQEwcmwmzyuiVRrShxqTjaLnRenIKddW6GBkVXpczIwdwvhmp2mLG94ZYk1jhsk61ibuQ
svafvb4SRz2nxFhT9XraUmWena6HUmLDxKmufQBAnKjRiL3FFMKIYkJCudH8fFgrx+QxsdiX6eUO
ABCrWC+eTWK1xSHugnRNmh5iz1IMh0JPaWzmZdGDmC+VHy64q8QS1UB48PGd7M3EJYuCmB4F7QEL
JicgUYFMhE/QLR1eMriNI4v3ZCizvCt7x61XFTDbjwIT0ZEpPPpMqHIYcvyqXWmxNgFxHfiS1YBT
2FTNmnQ8sIy+TgVIXIjSURc1zZpuIfdiGSX2wtaD8jlMNXWaDBORCoOBEVlraIWPFliira9lznCO
uEyDW9XxKm5Y2/sAswBHMs6cs3W59U/gCKnXMfUomicgikd2biKBTCIVTmHS5/jcdVC+5DiYW51B
GYArJ94wsx7WgRLVWoowGRBIO9PeihlUawCN1l6hdYt2rNtz3rR1wlRbf6AOmKOuPWaeRmRqPDRp
sXB6fwKBgosGsQAhXEOctMfCatFNZQT71oDwcZDQ+ouumJyma6MkcmZhu559qmeCcspO/LWQ/gt1
qrfVeSbXRdvgMfO84IlY6+Zl1HXsaBpY21UwiuQpqAvnimx6/CucDuKTviBacdKyDL5jM9wMg3+g
swiDD0v8Fc5Qnksx4BrypT2cuFXX76wyDU6lLBOuu4xO3BCOPnq7yN4WiS7uKzUxNSIIXc4VemZu
Ql2nD+d8aa0HMdVsEukvNkvMLqIshbs1xPU5jnySDjqTw7HqAC0LLYqbVWBO6Z4UGYpo3MjFDchK
d0MJJw+SxIRra2KIRSqDdihqBh49vUv6dbHsbiqtDIged4XYy8B1187QhTc8eoSIS4GExfXbkuUx
wAlXtx3z2zSHisdIOgSrGMoDGnJJLIfrjsxApJ6c25rZEpAemheRmAZ34WPkulRpFWBn1KFGInVw
9n4WjARJtHFzTWs6uoWs3B1wnNivPLvGwQiV914xet8QBuGT4ShGRANabxn3xLJS1RtJvGf+Gp87
us4MQ+/oZWQN6xUzWwHkzs0g8+dtuGrzLEOjXhFHRpTJXpSyxElsDadayodNHF5k4Ws5oowmKMj8
wWR8r9jqQn4bPkVdZ64b6QiyfUGUVxO2RKiPbYnfqwx7STRnjNvNFMN5QdwAFhsqF3tpOWF+Y2QG
2mOriw+FJT4cDoPsylVS16uBQc4ZbiMHSaal1l2SkH0OS6W/I6kenHUwVYW7IZu0eUvwJC3/ncN5
Wvq5me7MEWJzk6phWOkyJutsGkNoj2wpLWigWK//d+TF/4eEw0h8qT8YWwprVuba6H5/r4n481SA
f/tPYgJ+U17801/xVWlMZIBwBFwRyyYohrfxS5txVhobCIYd87MHx6UF+E1Bh9IYVBaj9rnradEA
/aXPKHTwWxY8XoOPM7+k+0f6jIZJx/K7PiNv/LPUmJuaFEBhY1H+USTKcamPA7r5kHNu27E4926M
TbDB8UiVB4POnTW0G70+mrf5sPBagHa3dRWBHL/3CayN6Nu5nYUmJnuioiedD3ocgCNtgw1/21FU
kCG9D92XcaB7QwovoOT7tn+iFFpr9PAg2F6bKKZ6MV6iaNmY2knpfihkXTsYT524CN5CeCS5fTYi
Ms3780KRbCs/aFaRCYPIQFtEhkTABh3E040LlsfViGgsDcdtNpeCklbPYMUbjjc8PmoTG00wV8YX
A8FI3kSF37/oXn5bN/pVNofSUOq5jIFJgqkd8o/z1ya9lG7HCsOwkoMTbCdWz5SaWKFbdcQBmch1
kKJeMtVGH8VOs7KThEkfY8Mzc8A1QXl5WbeK80GgVi1SbBnrB+g+i6GM2RTNAt812oW8sh51jBx8
TeuOyClmPPRB+o1VJ5vRGpeqIYVTKqJq6nMzag6NNKG2mq+JIw9IMLDOjiM5T4bAVzHeFtq0EZm3
DjA5LWLa1otQcvpgXB2gnYoOQUbEdwXqay61Liqw9vFw/t1j81MB9Exo/d5i+UWArOuOgc7eoZ/+
470FQq1GKYcBdZiyW9WAbbCs+jB09o6VdG0L/DGpI0+aJN+m5SXW2K1tWKdIx9rVqGMozeqO3dX3
9nN0W6Lpm6glWzZGRND65sHsCjwc9rVp2Xi4Y4ooMzqt8lO9tbaqzE+NEeG7C6alBIM1XdlpuGP+
tFaGd9HwFaJY+rCUfbSTR43L7LOKAwTfBOQGEy+zpG5dVf3sRqrPXI8MAagegdJ25aQflK02nWkd
Rt07k1ZwPjAX9QZoP2FzE5fImgyJieTEMp4kHUi4kSeVJIi1oO+kFUG1cBxaEB53JQOoTdkhzM7P
nQq0CdRvO3NfsmbcpalOYs1MHCWqfJm009k0kOPk+s9jaW+KnGYyL0gW1Hz0M0aIL5xhRHAR5zdC
qXPF0LE2+pt8eJpiezgtxQgdiEnbY+WbMBOwVWmxuQ5LA1cNt0gvLbDF3o5O75s+8B67bLwMgNgS
W1nYYLzN9rRCTFDK6en3bxMx6+B/fZcgTDN1pCc6HubZJvjdxGMqdBepZO6vZZG8B1p773P5fGU8
VZyzpk5hvVfHyk8upra7DGpFY3S4iNBmGEldbXDAg5by4lVcl3v0CJehIIg7ao416lmGiskhDruP
0s7/h7ubEdGv3je+EXqYOgs4G4wBoOrH911zSGM6Qk5D5SjCLQVsTLQ+kw28p0VHo4iP8JGKbRlr
rkrALhrsnUVFfC15JAONlSqkHehodPFVBaSwBCx9Si8PC16E+y8WKFCBn0fdNQvr1kyHQxS31yUn
rQkWHeaCt8AerjOLQth0mxUR15yPI6Y6SpJjP7guS2MnPkjxZRzRNBrmX07Q8YQsLy37Y9h1h95t
T0vpkywoc6IWfKoX6T1VzmQsMJPfSCO97FILNoNdfjDPDte2Wd4g9vjwQpMo5Eh+YNS/rmX8kNH7
U10N68H4KOkIhbgTvZx3EFR7VVuLCSUs+q+7PiNcC03twlEvfagB5HeBCvRrEPuB3gMmD5ecX+5z
stl64CCWP6wzuzkHxXKoG3aPUhfMbb2dZiDWCdv2PlbNbQXfgE7Nw5RUt0E0XLYAfFbdfGjRSGuP
q2UV6Du7yq/tsN/pEMbyJn719fI6DZuTViBYo4upYhv/m3sIcn0PaPWA8GFFAXidGYLzSiZXGN/X
HojFCM1WEOobvvoz3cDg0PXsMtE9begdvcF14yApopdcnDX+tAZJvkGnt0wdtH31Qzxdz46YJHJX
YXvqlck+zv17si1AMnDIYTaB2BJMjJtM63A+00MX+CDyFuivPLTAnlDlPFYZwQGodvKdEKm+nEyL
hop0mvs4c64KYLxUnRWKSoYxXtkBWYuxn1ogzsRH5GZ7X/PuLbqmvla8Yd/YoIeHMUi+ec5jyIGr
ODRVshMTw4UCC14vj0kQn1pi7FcgQBbVZI9Aegz+fbPyinYD6mLlB3XOzvQQi36HCH2XtWTNJIwp
IAFkt4QNPgS1fTYo8y5tXKYl8sGeqpsha5s1d/W+8p2PSZinfhvKdQ+OZpEawemI0GbRksq2wjya
rm1rOgOksEDedwlVRW0dpT9bJISv0bEfC3N8TiqchQDfHuipgt1Hr7EkoPCgrOa2m9yTjqQ3VNq0
35N9AlQOumi+bIwBEWx8g/bmoRXtqU4CajZMIE9y+HupudP6YTXo+iEDYA3D7i5DOOaqBBevd5St
dh4kjyA0iIdrlx76tbqLrkwUqVTpd4xCP6YIHS5XbBi862E0AWMQvNyAhDGqo6+9dIn74U3608AE
LxDDxmi9V3hUqyhzOvAd9tH33jMOjY63trQL5V6UxoVtXubtEafkQWkZllHkneaxGxHdx+5tNtRL
MrGXBQwrvM6LDi2uiN+TCNZ4z/mnfnC8m55mMoI38g8/mBWuDPHYBtdOAJ7IVUTeXc1q76Am2qYV
3C7aeawjCYnmydGZ7oOHGxHGsUdFWCmh39lWtiZoedaLsj9cGv0rMTRIAs2HBj+DHHmuE/Hgeods
6JGIXOmznom18r7yRUICtL0Kopce6mjWfgxxscxK72UwzXTjdfWLVspdpIJdEhlvXR9jwvZCjnaF
RxAEo0vb61cMfBeNVxDISYd1AUaoXrlBdheRGb8exGi9aYrobBcsFlMUd9PDIEaOfxMGlbOaYuPG
S7THYhzvi2S6mYb4MPkNyejQ7pcmcYt7Wozpmv53vnYkh66uz1+Ldtq6k7NjdjQPG9VSh7JGXcXA
zKoAxevkCKLCzeD8NGi4W0PtZe9DPG9Q6knnJeu6E0CZ7yRa3mAuKJdVLHZxDNq6qClNEKkna9+Z
oR2I8+OO/jtDsNKgLz5ZZzCSPxKdroixDRp5YlnFyijUedKXrL5w6Cob93mzRdguSC43catYI6yW
3tZWzPsjnBZKW9aW16xJOx0X/x5OnHSdljKttL1DIshipAK7ifTsAVULVt0CHk1Q+0czNE64NtHa
94iuEyXGrcJxMKTkLdovzeWXEFv9uTr4Qyatnytf/oT36utvXz03z+u8iUgoaN/VeHzHXd/8kiwz
/+mhiPLmpvjX/tI3+cfPX+jf3j//5i/kZm6YvJnfAdm++ff6FWYf31VTv7zS5/f7e6+QPvOx2rf3
v/9NoEuxBR6hubiafzh/Ar0Pvv6x483GVUbCcBg+/3wR2Hx3hX7rGvz+x/tyMX//7/zwAZ7fsgiA
aN2o6LX54RLonNzxL/5z1+FXL/PddXA/SWo4OgHyywelCfD9dXA+GQaiHdc2QF/w8yUU6S90HRh2
6P/kzfCbF8Gk5YBdzvYEX/P3n97+ZBnSxa5HpO788+UX/YU+PTZo8eUrwb8evBe/8yj85qc3vE8W
h0qQI95PbwGJbdH1yA/8cg1m8glas7/QRSBJS355U3/iIoBvN6Shc9r68RZwcXo6M9/lr7cCSGBs
f/LxN6xPjgG33gKT9fnnV48/3z1gJHIaZ/INP3+5B8Dh6Rcmi/cP8sfPi/M/7ga/+QiwG0jGpnjn
v3xMj8bi9+uA8YmkHaYetvjy53+5e2Fupf7ZVVDITzZJBMJ0v652v7oI5qcZuUCEK6OE+ecvtw7w
/Lom4so/eyFwY7s6eAASBH68DbxPNGJcUoy+LoX88V9sJaQD/uVN/esrIbcBumJwHSyGn39+XBIw
uNtS8iS4f9UlAemy8We3AzHf7MxFkDX/cAu4zicP/zLK6K8LxR94CP6JHfOXKhsHXfr2ub6O3uuf
leG/9Re+lZb/+Odfy8r929//NpfPP/zFudz+8rv/u/z+jx9Wy8/7/Xd/+G3///x7vv7zrx/wH3/1
D7/r26f69j930bt6Vq9ED3+u/L++zTlQ++9/Y7oUkkV9UM9v73X4Q/lrz9i2/35Df//bD2/3u/3g
d1+/rp+zby8zX5lZX/7tv7+cQf6Vl11E4bP69jLzy0JwZIv6s+9296zG5/z52wt9/iZN26X++9Ov
HGXPr5DzfnqlYaRwyvizv+Lk+b9Yu76fhIEY/K/syWcRow8mJv5IjOKQKInPZbu4Y2OQGxeDf71f
tx14sAlZ97rAd13b67Vdr0WbhuCMFqubYEToxK09DsHFYOdCusqITI4ANfWZVDlKYmzoabYHfMnX
I6TAr5QWCcXfSq0cWClbvkrhHnRXxpDiZNO8h/iqhnyBt1iDfIdT7iJk/nsQ5sTGNkqUMRsP/GrI
PYWkTJ/YfE4zh1NSXUWSUuB3mhPKtMhLWNT+mRT7Q6ep9gwWPg9xZCIFntJCZ8GYYuuwmCN1YCUF
L0doNZmWYeWuSPE/VbEO7lWOicwe9ZUfIEUPCcYcBmttPB2vI28p+pOdA93L7GxDGjH20qOYcXEh
z7Gou0XBqbxtKDfW0XJGJngueBp24cBZexA3DgYclUjf487YvP14Qjkf2jv3YSj1z9L47gCgz68v
OOklfYepQaW0r0E1eA+7t7k2xxHNsijXQj2Ne9Zd+EcGn//J3nbxnELKmU+OzJp0JDr5hqNUBse6
Awtpf1RZoh2VO8o5RSulvLXCCnLlLHAP5+EDTzjUB53PKvwe9OaU3mpCAZwwqlG4wguOgtZRkD3E
I1MFK/q17+Pv0hpSPTr1JrCQTc32qEut4L+ENMWb28T0YRTqvr00/c0PsfkXUabI3P4CAAD//w==
</cx:binary>
              </cx:geoCache>
            </cx:geography>
          </cx:layoutPr>
          <cx:valueColors>
            <cx:minColor>
              <a:schemeClr val="accent1">
                <a:lumMod val="60000"/>
                <a:lumOff val="40000"/>
              </a:schemeClr>
            </cx:minColor>
            <cx:midColor>
              <a:srgbClr val="92D050"/>
            </cx:midColor>
            <cx:maxColor>
              <a:schemeClr val="tx2">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microsoft.com/office/2014/relationships/chartEx" Target="../charts/chartEx2.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microsoft.com/office/2014/relationships/chartEx" Target="../charts/chartEx4.xml"/><Relationship Id="rId3" Type="http://schemas.openxmlformats.org/officeDocument/2006/relationships/image" Target="../media/image3.emf"/><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0.xml"/><Relationship Id="rId11" Type="http://schemas.microsoft.com/office/2014/relationships/chartEx" Target="../charts/chartEx3.xml"/><Relationship Id="rId5" Type="http://schemas.openxmlformats.org/officeDocument/2006/relationships/image" Target="../media/image5.emf"/><Relationship Id="rId15" Type="http://schemas.openxmlformats.org/officeDocument/2006/relationships/hyperlink" Target="#Data!A1"/><Relationship Id="rId10" Type="http://schemas.openxmlformats.org/officeDocument/2006/relationships/chart" Target="../charts/chart14.xml"/><Relationship Id="rId4" Type="http://schemas.openxmlformats.org/officeDocument/2006/relationships/image" Target="../media/image4.emf"/><Relationship Id="rId9" Type="http://schemas.openxmlformats.org/officeDocument/2006/relationships/chart" Target="../charts/chart13.xml"/><Relationship Id="rId14"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45720</xdr:colOff>
      <xdr:row>0</xdr:row>
      <xdr:rowOff>0</xdr:rowOff>
    </xdr:from>
    <xdr:to>
      <xdr:col>11</xdr:col>
      <xdr:colOff>388620</xdr:colOff>
      <xdr:row>15</xdr:row>
      <xdr:rowOff>0</xdr:rowOff>
    </xdr:to>
    <xdr:graphicFrame macro="">
      <xdr:nvGraphicFramePr>
        <xdr:cNvPr id="3" name="Chart 2">
          <a:extLst>
            <a:ext uri="{FF2B5EF4-FFF2-40B4-BE49-F238E27FC236}">
              <a16:creationId xmlns:a16="http://schemas.microsoft.com/office/drawing/2014/main" id="{8019F8BB-8D9B-7884-337C-D20ACEA23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137160</xdr:colOff>
      <xdr:row>16</xdr:row>
      <xdr:rowOff>72390</xdr:rowOff>
    </xdr:from>
    <xdr:to>
      <xdr:col>9</xdr:col>
      <xdr:colOff>502920</xdr:colOff>
      <xdr:row>31</xdr:row>
      <xdr:rowOff>72390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95EADDF-349E-6F92-8330-2ED1DC5273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113020" y="2998470"/>
              <a:ext cx="57531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76200</xdr:colOff>
      <xdr:row>39</xdr:row>
      <xdr:rowOff>57150</xdr:rowOff>
    </xdr:from>
    <xdr:to>
      <xdr:col>11</xdr:col>
      <xdr:colOff>449580</xdr:colOff>
      <xdr:row>54</xdr:row>
      <xdr:rowOff>57150</xdr:rowOff>
    </xdr:to>
    <xdr:graphicFrame macro="">
      <xdr:nvGraphicFramePr>
        <xdr:cNvPr id="5" name="Chart 4">
          <a:extLst>
            <a:ext uri="{FF2B5EF4-FFF2-40B4-BE49-F238E27FC236}">
              <a16:creationId xmlns:a16="http://schemas.microsoft.com/office/drawing/2014/main" id="{49617BAD-7D4E-27A4-2DF1-CBC85A3BE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396240</xdr:colOff>
      <xdr:row>55</xdr:row>
      <xdr:rowOff>179070</xdr:rowOff>
    </xdr:from>
    <xdr:to>
      <xdr:col>10</xdr:col>
      <xdr:colOff>152400</xdr:colOff>
      <xdr:row>70</xdr:row>
      <xdr:rowOff>179070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203EF4E3-4C24-8F04-D941-26618A0492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372100" y="10237470"/>
              <a:ext cx="57531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175260</xdr:colOff>
      <xdr:row>73</xdr:row>
      <xdr:rowOff>106680</xdr:rowOff>
    </xdr:from>
    <xdr:to>
      <xdr:col>13</xdr:col>
      <xdr:colOff>99060</xdr:colOff>
      <xdr:row>88</xdr:row>
      <xdr:rowOff>106680</xdr:rowOff>
    </xdr:to>
    <xdr:graphicFrame macro="">
      <xdr:nvGraphicFramePr>
        <xdr:cNvPr id="8" name="Chart 7">
          <a:extLst>
            <a:ext uri="{FF2B5EF4-FFF2-40B4-BE49-F238E27FC236}">
              <a16:creationId xmlns:a16="http://schemas.microsoft.com/office/drawing/2014/main" id="{4C42B285-444C-6DC5-E90A-6D1DA02F91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68580</xdr:colOff>
      <xdr:row>114</xdr:row>
      <xdr:rowOff>167640</xdr:rowOff>
    </xdr:from>
    <xdr:to>
      <xdr:col>1</xdr:col>
      <xdr:colOff>1059180</xdr:colOff>
      <xdr:row>118</xdr:row>
      <xdr:rowOff>38100</xdr:rowOff>
    </xdr:to>
    <xdr:graphicFrame macro="">
      <xdr:nvGraphicFramePr>
        <xdr:cNvPr id="9" name="Chart 8">
          <a:extLst>
            <a:ext uri="{FF2B5EF4-FFF2-40B4-BE49-F238E27FC236}">
              <a16:creationId xmlns:a16="http://schemas.microsoft.com/office/drawing/2014/main" id="{4335B12F-D257-55C4-073C-C460DC727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777240</xdr:colOff>
      <xdr:row>114</xdr:row>
      <xdr:rowOff>91440</xdr:rowOff>
    </xdr:from>
    <xdr:to>
      <xdr:col>4</xdr:col>
      <xdr:colOff>426720</xdr:colOff>
      <xdr:row>117</xdr:row>
      <xdr:rowOff>175260</xdr:rowOff>
    </xdr:to>
    <xdr:graphicFrame macro="">
      <xdr:nvGraphicFramePr>
        <xdr:cNvPr id="10" name="Chart 9">
          <a:extLst>
            <a:ext uri="{FF2B5EF4-FFF2-40B4-BE49-F238E27FC236}">
              <a16:creationId xmlns:a16="http://schemas.microsoft.com/office/drawing/2014/main" id="{D1E19F84-5FBF-BDE8-CCE7-81CBD9B884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228600</xdr:colOff>
      <xdr:row>114</xdr:row>
      <xdr:rowOff>99060</xdr:rowOff>
    </xdr:from>
    <xdr:to>
      <xdr:col>7</xdr:col>
      <xdr:colOff>1066800</xdr:colOff>
      <xdr:row>118</xdr:row>
      <xdr:rowOff>30480</xdr:rowOff>
    </xdr:to>
    <xdr:graphicFrame macro="">
      <xdr:nvGraphicFramePr>
        <xdr:cNvPr id="11" name="Chart 10">
          <a:extLst>
            <a:ext uri="{FF2B5EF4-FFF2-40B4-BE49-F238E27FC236}">
              <a16:creationId xmlns:a16="http://schemas.microsoft.com/office/drawing/2014/main" id="{79AFF477-3791-41C9-080D-10E3ED395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136</xdr:row>
      <xdr:rowOff>121920</xdr:rowOff>
    </xdr:from>
    <xdr:to>
      <xdr:col>2</xdr:col>
      <xdr:colOff>30480</xdr:colOff>
      <xdr:row>140</xdr:row>
      <xdr:rowOff>38100</xdr:rowOff>
    </xdr:to>
    <xdr:graphicFrame macro="">
      <xdr:nvGraphicFramePr>
        <xdr:cNvPr id="12" name="Chart 11">
          <a:extLst>
            <a:ext uri="{FF2B5EF4-FFF2-40B4-BE49-F238E27FC236}">
              <a16:creationId xmlns:a16="http://schemas.microsoft.com/office/drawing/2014/main" id="{4CAAD8B0-95BA-BE9D-BF86-BC2752DCE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137160</xdr:colOff>
      <xdr:row>136</xdr:row>
      <xdr:rowOff>121920</xdr:rowOff>
    </xdr:from>
    <xdr:to>
      <xdr:col>4</xdr:col>
      <xdr:colOff>1082040</xdr:colOff>
      <xdr:row>140</xdr:row>
      <xdr:rowOff>137160</xdr:rowOff>
    </xdr:to>
    <xdr:graphicFrame macro="">
      <xdr:nvGraphicFramePr>
        <xdr:cNvPr id="13" name="Chart 12">
          <a:extLst>
            <a:ext uri="{FF2B5EF4-FFF2-40B4-BE49-F238E27FC236}">
              <a16:creationId xmlns:a16="http://schemas.microsoft.com/office/drawing/2014/main" id="{71A88A87-4CC1-595E-32F9-91C08BD74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845820</xdr:colOff>
      <xdr:row>162</xdr:row>
      <xdr:rowOff>137161</xdr:rowOff>
    </xdr:from>
    <xdr:to>
      <xdr:col>6</xdr:col>
      <xdr:colOff>520065</xdr:colOff>
      <xdr:row>169</xdr:row>
      <xdr:rowOff>114301</xdr:rowOff>
    </xdr:to>
    <mc:AlternateContent xmlns:mc="http://schemas.openxmlformats.org/markup-compatibility/2006" xmlns:a14="http://schemas.microsoft.com/office/drawing/2010/main">
      <mc:Choice Requires="a14">
        <xdr:graphicFrame macro="">
          <xdr:nvGraphicFramePr>
            <xdr:cNvPr id="27" name="Year">
              <a:extLst>
                <a:ext uri="{FF2B5EF4-FFF2-40B4-BE49-F238E27FC236}">
                  <a16:creationId xmlns:a16="http://schemas.microsoft.com/office/drawing/2014/main" id="{8517207A-7694-4E69-B2B3-78B41D18190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821680" y="2996946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495300</xdr:colOff>
      <xdr:row>159</xdr:row>
      <xdr:rowOff>38100</xdr:rowOff>
    </xdr:from>
    <xdr:to>
      <xdr:col>5</xdr:col>
      <xdr:colOff>565785</xdr:colOff>
      <xdr:row>172</xdr:row>
      <xdr:rowOff>127635</xdr:rowOff>
    </xdr:to>
    <mc:AlternateContent xmlns:mc="http://schemas.openxmlformats.org/markup-compatibility/2006" xmlns:a14="http://schemas.microsoft.com/office/drawing/2010/main">
      <mc:Choice Requires="a14">
        <xdr:graphicFrame macro="">
          <xdr:nvGraphicFramePr>
            <xdr:cNvPr id="28" name="Region">
              <a:extLst>
                <a:ext uri="{FF2B5EF4-FFF2-40B4-BE49-F238E27FC236}">
                  <a16:creationId xmlns:a16="http://schemas.microsoft.com/office/drawing/2014/main" id="{66466FD2-B4F0-49E8-9FED-E0110F4D54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31920" y="29321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441960</xdr:colOff>
      <xdr:row>159</xdr:row>
      <xdr:rowOff>68580</xdr:rowOff>
    </xdr:from>
    <xdr:to>
      <xdr:col>3</xdr:col>
      <xdr:colOff>323850</xdr:colOff>
      <xdr:row>172</xdr:row>
      <xdr:rowOff>158115</xdr:rowOff>
    </xdr:to>
    <mc:AlternateContent xmlns:mc="http://schemas.openxmlformats.org/markup-compatibility/2006" xmlns:a14="http://schemas.microsoft.com/office/drawing/2010/main">
      <mc:Choice Requires="a14">
        <xdr:graphicFrame macro="">
          <xdr:nvGraphicFramePr>
            <xdr:cNvPr id="29" name="Product Category">
              <a:extLst>
                <a:ext uri="{FF2B5EF4-FFF2-40B4-BE49-F238E27FC236}">
                  <a16:creationId xmlns:a16="http://schemas.microsoft.com/office/drawing/2014/main" id="{6287A0EC-D853-47A4-9966-F988C55C0B2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920240" y="29352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159</xdr:row>
      <xdr:rowOff>76200</xdr:rowOff>
    </xdr:from>
    <xdr:to>
      <xdr:col>1</xdr:col>
      <xdr:colOff>908685</xdr:colOff>
      <xdr:row>172</xdr:row>
      <xdr:rowOff>165735</xdr:rowOff>
    </xdr:to>
    <mc:AlternateContent xmlns:mc="http://schemas.openxmlformats.org/markup-compatibility/2006" xmlns:a14="http://schemas.microsoft.com/office/drawing/2010/main">
      <mc:Choice Requires="a14">
        <xdr:graphicFrame macro="">
          <xdr:nvGraphicFramePr>
            <xdr:cNvPr id="30" name="Brand">
              <a:extLst>
                <a:ext uri="{FF2B5EF4-FFF2-40B4-BE49-F238E27FC236}">
                  <a16:creationId xmlns:a16="http://schemas.microsoft.com/office/drawing/2014/main" id="{3E2E9E1A-C429-4EF1-BBE7-CB68911686C6}"/>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0" y="29359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838200</xdr:colOff>
      <xdr:row>159</xdr:row>
      <xdr:rowOff>22861</xdr:rowOff>
    </xdr:from>
    <xdr:to>
      <xdr:col>6</xdr:col>
      <xdr:colOff>24765</xdr:colOff>
      <xdr:row>162</xdr:row>
      <xdr:rowOff>91441</xdr:rowOff>
    </xdr:to>
    <mc:AlternateContent xmlns:mc="http://schemas.openxmlformats.org/markup-compatibility/2006" xmlns:a14="http://schemas.microsoft.com/office/drawing/2010/main">
      <mc:Choice Requires="a14">
        <xdr:graphicFrame macro="">
          <xdr:nvGraphicFramePr>
            <xdr:cNvPr id="31" name="Country">
              <a:extLst>
                <a:ext uri="{FF2B5EF4-FFF2-40B4-BE49-F238E27FC236}">
                  <a16:creationId xmlns:a16="http://schemas.microsoft.com/office/drawing/2014/main" id="{CD934B51-A37F-4648-B8F8-FED9BF115ED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814060" y="29306521"/>
              <a:ext cx="133350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937260</xdr:colOff>
      <xdr:row>227</xdr:row>
      <xdr:rowOff>53340</xdr:rowOff>
    </xdr:from>
    <xdr:to>
      <xdr:col>5</xdr:col>
      <xdr:colOff>984885</xdr:colOff>
      <xdr:row>240</xdr:row>
      <xdr:rowOff>142875</xdr:rowOff>
    </xdr:to>
    <mc:AlternateContent xmlns:mc="http://schemas.openxmlformats.org/markup-compatibility/2006" xmlns:a14="http://schemas.microsoft.com/office/drawing/2010/main">
      <mc:Choice Requires="a14">
        <xdr:graphicFrame macro="">
          <xdr:nvGraphicFramePr>
            <xdr:cNvPr id="32" name="Customer ID">
              <a:extLst>
                <a:ext uri="{FF2B5EF4-FFF2-40B4-BE49-F238E27FC236}">
                  <a16:creationId xmlns:a16="http://schemas.microsoft.com/office/drawing/2014/main" id="{9E8EC99A-3A1F-4A1C-97BD-F35208AD460B}"/>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mlns="">
        <xdr:sp macro="" textlink="">
          <xdr:nvSpPr>
            <xdr:cNvPr id="0" name=""/>
            <xdr:cNvSpPr>
              <a:spLocks noTextEdit="1"/>
            </xdr:cNvSpPr>
          </xdr:nvSpPr>
          <xdr:spPr>
            <a:xfrm>
              <a:off x="4373880" y="41772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99060</xdr:colOff>
      <xdr:row>220</xdr:row>
      <xdr:rowOff>22860</xdr:rowOff>
    </xdr:from>
    <xdr:to>
      <xdr:col>6</xdr:col>
      <xdr:colOff>621030</xdr:colOff>
      <xdr:row>233</xdr:row>
      <xdr:rowOff>112395</xdr:rowOff>
    </xdr:to>
    <mc:AlternateContent xmlns:mc="http://schemas.openxmlformats.org/markup-compatibility/2006" xmlns:a14="http://schemas.microsoft.com/office/drawing/2010/main">
      <mc:Choice Requires="a14">
        <xdr:graphicFrame macro="">
          <xdr:nvGraphicFramePr>
            <xdr:cNvPr id="33" name="Order Status">
              <a:extLst>
                <a:ext uri="{FF2B5EF4-FFF2-40B4-BE49-F238E27FC236}">
                  <a16:creationId xmlns:a16="http://schemas.microsoft.com/office/drawing/2014/main" id="{5A37CA15-03C7-412A-813F-30E8A2DD3746}"/>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6164580" y="40462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617220</xdr:colOff>
      <xdr:row>217</xdr:row>
      <xdr:rowOff>22860</xdr:rowOff>
    </xdr:from>
    <xdr:to>
      <xdr:col>5</xdr:col>
      <xdr:colOff>687705</xdr:colOff>
      <xdr:row>230</xdr:row>
      <xdr:rowOff>112395</xdr:rowOff>
    </xdr:to>
    <mc:AlternateContent xmlns:mc="http://schemas.openxmlformats.org/markup-compatibility/2006" xmlns:a14="http://schemas.microsoft.com/office/drawing/2010/main">
      <mc:Choice Requires="a14">
        <xdr:graphicFrame macro="">
          <xdr:nvGraphicFramePr>
            <xdr:cNvPr id="34" name="Payment Mode">
              <a:extLst>
                <a:ext uri="{FF2B5EF4-FFF2-40B4-BE49-F238E27FC236}">
                  <a16:creationId xmlns:a16="http://schemas.microsoft.com/office/drawing/2014/main" id="{8DC151E1-0283-4098-B8BD-EE5F76A30A9D}"/>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053840" y="39913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83819</xdr:colOff>
      <xdr:row>0</xdr:row>
      <xdr:rowOff>45720</xdr:rowOff>
    </xdr:from>
    <xdr:to>
      <xdr:col>25</xdr:col>
      <xdr:colOff>446314</xdr:colOff>
      <xdr:row>2</xdr:row>
      <xdr:rowOff>38100</xdr:rowOff>
    </xdr:to>
    <xdr:sp macro="" textlink="">
      <xdr:nvSpPr>
        <xdr:cNvPr id="2" name="Rectangle: Rounded Corners 1">
          <a:extLst>
            <a:ext uri="{FF2B5EF4-FFF2-40B4-BE49-F238E27FC236}">
              <a16:creationId xmlns:a16="http://schemas.microsoft.com/office/drawing/2014/main" id="{050887EB-1722-10D5-9579-9D15EDF323C7}"/>
            </a:ext>
          </a:extLst>
        </xdr:cNvPr>
        <xdr:cNvSpPr/>
      </xdr:nvSpPr>
      <xdr:spPr>
        <a:xfrm>
          <a:off x="83819" y="45720"/>
          <a:ext cx="15602495" cy="362494"/>
        </a:xfrm>
        <a:prstGeom prst="roundRect">
          <a:avLst/>
        </a:prstGeom>
        <a:gradFill>
          <a:gsLst>
            <a:gs pos="2500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mj-lt"/>
            </a:rPr>
            <a:t>CUSTOMER ORDER MANAGEMENT – SALES AND PROFIT ANALYSIS DASHBOARD</a:t>
          </a:r>
          <a:endParaRPr lang="en-IN" sz="2400" b="1">
            <a:ln>
              <a:gradFill>
                <a:gsLst>
                  <a:gs pos="0">
                    <a:schemeClr val="tx1">
                      <a:lumMod val="85000"/>
                      <a:lumOff val="15000"/>
                      <a:alpha val="80000"/>
                    </a:schemeClr>
                  </a:gs>
                  <a:gs pos="100000">
                    <a:schemeClr val="tx1">
                      <a:lumMod val="50000"/>
                      <a:lumOff val="50000"/>
                      <a:alpha val="75000"/>
                    </a:schemeClr>
                  </a:gs>
                </a:gsLst>
                <a:lin ang="5400000" scaled="1"/>
              </a:gradFill>
            </a:ln>
            <a:latin typeface="+mj-lt"/>
          </a:endParaRPr>
        </a:p>
      </xdr:txBody>
    </xdr:sp>
    <xdr:clientData/>
  </xdr:twoCellAnchor>
  <xdr:oneCellAnchor>
    <xdr:from>
      <xdr:col>10</xdr:col>
      <xdr:colOff>0</xdr:colOff>
      <xdr:row>16</xdr:row>
      <xdr:rowOff>53340</xdr:rowOff>
    </xdr:from>
    <xdr:ext cx="184731" cy="264560"/>
    <xdr:sp macro="" textlink="">
      <xdr:nvSpPr>
        <xdr:cNvPr id="4" name="TextBox 3">
          <a:extLst>
            <a:ext uri="{FF2B5EF4-FFF2-40B4-BE49-F238E27FC236}">
              <a16:creationId xmlns:a16="http://schemas.microsoft.com/office/drawing/2014/main" id="{B2869691-C979-F204-DB47-B043978632C6}"/>
            </a:ext>
          </a:extLst>
        </xdr:cNvPr>
        <xdr:cNvSpPr txBox="1"/>
      </xdr:nvSpPr>
      <xdr:spPr>
        <a:xfrm>
          <a:off x="6096000" y="29794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13</xdr:col>
      <xdr:colOff>556260</xdr:colOff>
      <xdr:row>2</xdr:row>
      <xdr:rowOff>121920</xdr:rowOff>
    </xdr:from>
    <xdr:to>
      <xdr:col>18</xdr:col>
      <xdr:colOff>151092</xdr:colOff>
      <xdr:row>12</xdr:row>
      <xdr:rowOff>45720</xdr:rowOff>
    </xdr:to>
    <xdr:grpSp>
      <xdr:nvGrpSpPr>
        <xdr:cNvPr id="101" name="Group 100">
          <a:extLst>
            <a:ext uri="{FF2B5EF4-FFF2-40B4-BE49-F238E27FC236}">
              <a16:creationId xmlns:a16="http://schemas.microsoft.com/office/drawing/2014/main" id="{0F1AFADB-E0DC-227A-84AF-79D269948E06}"/>
            </a:ext>
          </a:extLst>
        </xdr:cNvPr>
        <xdr:cNvGrpSpPr/>
      </xdr:nvGrpSpPr>
      <xdr:grpSpPr>
        <a:xfrm>
          <a:off x="8481060" y="483870"/>
          <a:ext cx="2642832" cy="1733550"/>
          <a:chOff x="121920" y="464820"/>
          <a:chExt cx="2255520" cy="1752600"/>
        </a:xfrm>
      </xdr:grpSpPr>
      <xdr:sp macro="" textlink="">
        <xdr:nvSpPr>
          <xdr:cNvPr id="102" name="Rectangle: Rounded Corners 101">
            <a:extLst>
              <a:ext uri="{FF2B5EF4-FFF2-40B4-BE49-F238E27FC236}">
                <a16:creationId xmlns:a16="http://schemas.microsoft.com/office/drawing/2014/main" id="{D1E7682E-428F-799F-B762-A13A6818F9C6}"/>
              </a:ext>
            </a:extLst>
          </xdr:cNvPr>
          <xdr:cNvSpPr/>
        </xdr:nvSpPr>
        <xdr:spPr>
          <a:xfrm>
            <a:off x="144780" y="464820"/>
            <a:ext cx="2201261" cy="368742"/>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mj-lt"/>
              </a:rPr>
              <a:t>NO</a:t>
            </a:r>
            <a:r>
              <a:rPr lang="en-IN" sz="2000" b="1" baseline="0">
                <a:latin typeface="+mj-lt"/>
              </a:rPr>
              <a:t> OF ORDERS</a:t>
            </a:r>
            <a:endParaRPr lang="en-IN" sz="2000" b="1">
              <a:latin typeface="+mj-lt"/>
            </a:endParaRPr>
          </a:p>
        </xdr:txBody>
      </xdr:sp>
      <xdr:sp macro="" textlink="">
        <xdr:nvSpPr>
          <xdr:cNvPr id="103" name="Rectangle: Rounded Corners 102">
            <a:extLst>
              <a:ext uri="{FF2B5EF4-FFF2-40B4-BE49-F238E27FC236}">
                <a16:creationId xmlns:a16="http://schemas.microsoft.com/office/drawing/2014/main" id="{FD0F7372-E576-ABA8-EDAB-8E05A087EC3B}"/>
              </a:ext>
            </a:extLst>
          </xdr:cNvPr>
          <xdr:cNvSpPr/>
        </xdr:nvSpPr>
        <xdr:spPr>
          <a:xfrm>
            <a:off x="121920" y="883920"/>
            <a:ext cx="2255520" cy="1333500"/>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s'!$B$134">
        <xdr:nvSpPr>
          <xdr:cNvPr id="104" name="Rectangle: Rounded Corners 103">
            <a:extLst>
              <a:ext uri="{FF2B5EF4-FFF2-40B4-BE49-F238E27FC236}">
                <a16:creationId xmlns:a16="http://schemas.microsoft.com/office/drawing/2014/main" id="{4D766B4E-E9F0-9CB9-B087-63E71007203F}"/>
              </a:ext>
            </a:extLst>
          </xdr:cNvPr>
          <xdr:cNvSpPr/>
        </xdr:nvSpPr>
        <xdr:spPr>
          <a:xfrm>
            <a:off x="243840" y="952500"/>
            <a:ext cx="2026920" cy="304800"/>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DD9031A-6F2D-4BF2-9BA0-1AA5E2BC346A}" type="TxLink">
              <a:rPr lang="en-US" sz="1600" b="1" i="0" u="none" strike="noStrike">
                <a:solidFill>
                  <a:schemeClr val="bg1"/>
                </a:solidFill>
                <a:latin typeface="+mj-lt"/>
                <a:ea typeface="Calibri"/>
                <a:cs typeface="Calibri"/>
              </a:rPr>
              <a:pPr algn="ctr"/>
              <a:t># 800</a:t>
            </a:fld>
            <a:endParaRPr lang="en-IN" sz="1600" b="1">
              <a:solidFill>
                <a:schemeClr val="bg1"/>
              </a:solidFill>
              <a:latin typeface="+mj-lt"/>
            </a:endParaRPr>
          </a:p>
        </xdr:txBody>
      </xdr:sp>
      <xdr:sp macro="" textlink="">
        <xdr:nvSpPr>
          <xdr:cNvPr id="106" name="Rectangle: Rounded Corners 105">
            <a:extLst>
              <a:ext uri="{FF2B5EF4-FFF2-40B4-BE49-F238E27FC236}">
                <a16:creationId xmlns:a16="http://schemas.microsoft.com/office/drawing/2014/main" id="{A41B9196-90AE-03BF-0EDD-CA28EF076152}"/>
              </a:ext>
            </a:extLst>
          </xdr:cNvPr>
          <xdr:cNvSpPr/>
        </xdr:nvSpPr>
        <xdr:spPr>
          <a:xfrm>
            <a:off x="243840" y="1783080"/>
            <a:ext cx="2026920" cy="350520"/>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chemeClr val="bg1"/>
                </a:solidFill>
                <a:latin typeface="+mj-lt"/>
                <a:ea typeface="Calibri"/>
                <a:cs typeface="Calibri"/>
              </a:rPr>
              <a:t>YOY GROWTH</a:t>
            </a:r>
          </a:p>
        </xdr:txBody>
      </xdr:sp>
    </xdr:grpSp>
    <xdr:clientData/>
  </xdr:twoCellAnchor>
  <xdr:twoCellAnchor>
    <xdr:from>
      <xdr:col>0</xdr:col>
      <xdr:colOff>121920</xdr:colOff>
      <xdr:row>2</xdr:row>
      <xdr:rowOff>99060</xdr:rowOff>
    </xdr:from>
    <xdr:to>
      <xdr:col>22</xdr:col>
      <xdr:colOff>486372</xdr:colOff>
      <xdr:row>12</xdr:row>
      <xdr:rowOff>45720</xdr:rowOff>
    </xdr:to>
    <xdr:grpSp>
      <xdr:nvGrpSpPr>
        <xdr:cNvPr id="133" name="Group 132">
          <a:extLst>
            <a:ext uri="{FF2B5EF4-FFF2-40B4-BE49-F238E27FC236}">
              <a16:creationId xmlns:a16="http://schemas.microsoft.com/office/drawing/2014/main" id="{957E7915-6ECB-EDEC-F619-AF986F37A42F}"/>
            </a:ext>
          </a:extLst>
        </xdr:cNvPr>
        <xdr:cNvGrpSpPr/>
      </xdr:nvGrpSpPr>
      <xdr:grpSpPr>
        <a:xfrm>
          <a:off x="121920" y="461010"/>
          <a:ext cx="13775652" cy="1756410"/>
          <a:chOff x="121920" y="464820"/>
          <a:chExt cx="13775652" cy="1775460"/>
        </a:xfrm>
      </xdr:grpSpPr>
      <xdr:grpSp>
        <xdr:nvGrpSpPr>
          <xdr:cNvPr id="58" name="Group 57">
            <a:extLst>
              <a:ext uri="{FF2B5EF4-FFF2-40B4-BE49-F238E27FC236}">
                <a16:creationId xmlns:a16="http://schemas.microsoft.com/office/drawing/2014/main" id="{72F8D4F4-2E9E-6515-052A-B3C3384DFE25}"/>
              </a:ext>
            </a:extLst>
          </xdr:cNvPr>
          <xdr:cNvGrpSpPr/>
        </xdr:nvGrpSpPr>
        <xdr:grpSpPr>
          <a:xfrm>
            <a:off x="121920" y="464820"/>
            <a:ext cx="2642832" cy="1752600"/>
            <a:chOff x="121920" y="464820"/>
            <a:chExt cx="2255520" cy="1752600"/>
          </a:xfrm>
        </xdr:grpSpPr>
        <xdr:sp macro="" textlink="">
          <xdr:nvSpPr>
            <xdr:cNvPr id="5" name="Rectangle: Rounded Corners 4">
              <a:extLst>
                <a:ext uri="{FF2B5EF4-FFF2-40B4-BE49-F238E27FC236}">
                  <a16:creationId xmlns:a16="http://schemas.microsoft.com/office/drawing/2014/main" id="{A5F1FF4E-8AD2-3DB2-D197-CCDB396EEDA9}"/>
                </a:ext>
              </a:extLst>
            </xdr:cNvPr>
            <xdr:cNvSpPr/>
          </xdr:nvSpPr>
          <xdr:spPr>
            <a:xfrm>
              <a:off x="144780" y="464820"/>
              <a:ext cx="2194757" cy="368742"/>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mj-lt"/>
                </a:rPr>
                <a:t>TOTAL</a:t>
              </a:r>
              <a:r>
                <a:rPr lang="en-IN" sz="2000" b="1" baseline="0">
                  <a:latin typeface="+mj-lt"/>
                </a:rPr>
                <a:t> </a:t>
              </a:r>
              <a:r>
                <a:rPr lang="en-IN" sz="2000" b="1">
                  <a:latin typeface="+mj-lt"/>
                </a:rPr>
                <a:t>SALES</a:t>
              </a:r>
            </a:p>
          </xdr:txBody>
        </xdr:sp>
        <xdr:sp macro="" textlink="">
          <xdr:nvSpPr>
            <xdr:cNvPr id="7" name="Rectangle: Rounded Corners 6">
              <a:extLst>
                <a:ext uri="{FF2B5EF4-FFF2-40B4-BE49-F238E27FC236}">
                  <a16:creationId xmlns:a16="http://schemas.microsoft.com/office/drawing/2014/main" id="{52E9C854-3569-62A7-0F59-16244106D954}"/>
                </a:ext>
              </a:extLst>
            </xdr:cNvPr>
            <xdr:cNvSpPr/>
          </xdr:nvSpPr>
          <xdr:spPr>
            <a:xfrm>
              <a:off x="121920" y="883920"/>
              <a:ext cx="2255520" cy="1333500"/>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s'!B112">
          <xdr:nvSpPr>
            <xdr:cNvPr id="8" name="Rectangle: Rounded Corners 7">
              <a:extLst>
                <a:ext uri="{FF2B5EF4-FFF2-40B4-BE49-F238E27FC236}">
                  <a16:creationId xmlns:a16="http://schemas.microsoft.com/office/drawing/2014/main" id="{1026A706-A798-2477-7BF1-8F679452C9C1}"/>
                </a:ext>
              </a:extLst>
            </xdr:cNvPr>
            <xdr:cNvSpPr/>
          </xdr:nvSpPr>
          <xdr:spPr>
            <a:xfrm>
              <a:off x="243840" y="952500"/>
              <a:ext cx="2026920" cy="304800"/>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F6B4A83-B49A-4D70-88FC-4A989E661412}" type="TxLink">
                <a:rPr lang="en-US" sz="1600" b="1" i="0" u="none" strike="noStrike">
                  <a:solidFill>
                    <a:schemeClr val="bg1"/>
                  </a:solidFill>
                  <a:latin typeface="+mj-lt"/>
                  <a:ea typeface="Calibri"/>
                  <a:cs typeface="Calibri"/>
                </a:rPr>
                <a:pPr algn="ctr"/>
                <a:t> ₹ 18,98,82,880.00 </a:t>
              </a:fld>
              <a:endParaRPr lang="en-IN" sz="1600" b="1">
                <a:solidFill>
                  <a:schemeClr val="bg1"/>
                </a:solidFill>
                <a:latin typeface="+mj-lt"/>
              </a:endParaRPr>
            </a:p>
          </xdr:txBody>
        </xdr:sp>
        <xdr:sp macro="" textlink="">
          <xdr:nvSpPr>
            <xdr:cNvPr id="10" name="Rectangle: Rounded Corners 9">
              <a:extLst>
                <a:ext uri="{FF2B5EF4-FFF2-40B4-BE49-F238E27FC236}">
                  <a16:creationId xmlns:a16="http://schemas.microsoft.com/office/drawing/2014/main" id="{E0B01ADA-895B-4A08-A612-E081A9F7477D}"/>
                </a:ext>
              </a:extLst>
            </xdr:cNvPr>
            <xdr:cNvSpPr/>
          </xdr:nvSpPr>
          <xdr:spPr>
            <a:xfrm>
              <a:off x="243840" y="1783080"/>
              <a:ext cx="2026920" cy="350520"/>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chemeClr val="bg1"/>
                  </a:solidFill>
                  <a:latin typeface="+mj-lt"/>
                  <a:ea typeface="Calibri"/>
                  <a:cs typeface="Calibri"/>
                </a:rPr>
                <a:t>YOY GROWTH</a:t>
              </a:r>
            </a:p>
          </xdr:txBody>
        </xdr:sp>
      </xdr:grpSp>
      <xdr:grpSp>
        <xdr:nvGrpSpPr>
          <xdr:cNvPr id="83" name="Group 82">
            <a:extLst>
              <a:ext uri="{FF2B5EF4-FFF2-40B4-BE49-F238E27FC236}">
                <a16:creationId xmlns:a16="http://schemas.microsoft.com/office/drawing/2014/main" id="{9B041486-317F-1EE4-6422-E0FC9BEC1EF1}"/>
              </a:ext>
            </a:extLst>
          </xdr:cNvPr>
          <xdr:cNvGrpSpPr/>
        </xdr:nvGrpSpPr>
        <xdr:grpSpPr>
          <a:xfrm>
            <a:off x="2903220" y="480060"/>
            <a:ext cx="2642832" cy="1752600"/>
            <a:chOff x="121920" y="464820"/>
            <a:chExt cx="2255520" cy="1752600"/>
          </a:xfrm>
        </xdr:grpSpPr>
        <xdr:sp macro="" textlink="">
          <xdr:nvSpPr>
            <xdr:cNvPr id="84" name="Rectangle: Rounded Corners 83">
              <a:extLst>
                <a:ext uri="{FF2B5EF4-FFF2-40B4-BE49-F238E27FC236}">
                  <a16:creationId xmlns:a16="http://schemas.microsoft.com/office/drawing/2014/main" id="{ABB34F8F-0AA2-5EE4-290D-F626A787F05D}"/>
                </a:ext>
              </a:extLst>
            </xdr:cNvPr>
            <xdr:cNvSpPr/>
          </xdr:nvSpPr>
          <xdr:spPr>
            <a:xfrm>
              <a:off x="144779" y="464820"/>
              <a:ext cx="2214267" cy="368742"/>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mj-lt"/>
                </a:rPr>
                <a:t>TOTAL PROFIT</a:t>
              </a:r>
            </a:p>
          </xdr:txBody>
        </xdr:sp>
        <xdr:sp macro="" textlink="">
          <xdr:nvSpPr>
            <xdr:cNvPr id="85" name="Rectangle: Rounded Corners 84">
              <a:extLst>
                <a:ext uri="{FF2B5EF4-FFF2-40B4-BE49-F238E27FC236}">
                  <a16:creationId xmlns:a16="http://schemas.microsoft.com/office/drawing/2014/main" id="{0B07ADF7-502A-3D24-84FF-1A801DDAE2C5}"/>
                </a:ext>
              </a:extLst>
            </xdr:cNvPr>
            <xdr:cNvSpPr/>
          </xdr:nvSpPr>
          <xdr:spPr>
            <a:xfrm>
              <a:off x="121920" y="883920"/>
              <a:ext cx="2255520" cy="1333500"/>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s'!$E$112">
          <xdr:nvSpPr>
            <xdr:cNvPr id="86" name="Rectangle: Rounded Corners 85">
              <a:extLst>
                <a:ext uri="{FF2B5EF4-FFF2-40B4-BE49-F238E27FC236}">
                  <a16:creationId xmlns:a16="http://schemas.microsoft.com/office/drawing/2014/main" id="{ADEF7C02-16D8-E738-C27D-6EE01AFE5B3C}"/>
                </a:ext>
              </a:extLst>
            </xdr:cNvPr>
            <xdr:cNvSpPr/>
          </xdr:nvSpPr>
          <xdr:spPr>
            <a:xfrm>
              <a:off x="243840" y="952500"/>
              <a:ext cx="2026920" cy="304800"/>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246F767-3761-4862-89C0-92956A3358F9}" type="TxLink">
                <a:rPr lang="en-US" sz="1600" b="1" i="0" u="none" strike="noStrike">
                  <a:solidFill>
                    <a:schemeClr val="bg1"/>
                  </a:solidFill>
                  <a:latin typeface="+mj-lt"/>
                  <a:ea typeface="Calibri"/>
                  <a:cs typeface="Calibri"/>
                </a:rPr>
                <a:pPr algn="ctr"/>
                <a:t> ₹ 2,84,82,432.00 </a:t>
              </a:fld>
              <a:endParaRPr lang="en-IN" sz="1600" b="1">
                <a:solidFill>
                  <a:schemeClr val="bg1"/>
                </a:solidFill>
                <a:latin typeface="+mj-lt"/>
              </a:endParaRPr>
            </a:p>
          </xdr:txBody>
        </xdr:sp>
        <xdr:sp macro="" textlink="">
          <xdr:nvSpPr>
            <xdr:cNvPr id="88" name="Rectangle: Rounded Corners 87">
              <a:extLst>
                <a:ext uri="{FF2B5EF4-FFF2-40B4-BE49-F238E27FC236}">
                  <a16:creationId xmlns:a16="http://schemas.microsoft.com/office/drawing/2014/main" id="{19FEB6C0-EF41-1A97-E4ED-50BCA0FBFCFF}"/>
                </a:ext>
              </a:extLst>
            </xdr:cNvPr>
            <xdr:cNvSpPr/>
          </xdr:nvSpPr>
          <xdr:spPr>
            <a:xfrm>
              <a:off x="243840" y="1783080"/>
              <a:ext cx="2026920" cy="350520"/>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chemeClr val="bg1"/>
                  </a:solidFill>
                  <a:latin typeface="+mj-lt"/>
                  <a:ea typeface="Calibri"/>
                  <a:cs typeface="Calibri"/>
                </a:rPr>
                <a:t>YOY</a:t>
              </a:r>
              <a:r>
                <a:rPr lang="en-US" sz="1400" b="1" i="0" u="none" strike="noStrike" baseline="0">
                  <a:solidFill>
                    <a:schemeClr val="bg1"/>
                  </a:solidFill>
                  <a:latin typeface="+mj-lt"/>
                  <a:ea typeface="Calibri"/>
                  <a:cs typeface="Calibri"/>
                </a:rPr>
                <a:t> GROWTH</a:t>
              </a:r>
              <a:endParaRPr lang="en-US" sz="1400" b="1" i="0" u="none" strike="noStrike">
                <a:solidFill>
                  <a:schemeClr val="bg1"/>
                </a:solidFill>
                <a:latin typeface="+mj-lt"/>
                <a:ea typeface="Calibri"/>
                <a:cs typeface="Calibri"/>
              </a:endParaRPr>
            </a:p>
          </xdr:txBody>
        </xdr:sp>
      </xdr:grpSp>
      <xdr:grpSp>
        <xdr:nvGrpSpPr>
          <xdr:cNvPr id="95" name="Group 94">
            <a:extLst>
              <a:ext uri="{FF2B5EF4-FFF2-40B4-BE49-F238E27FC236}">
                <a16:creationId xmlns:a16="http://schemas.microsoft.com/office/drawing/2014/main" id="{55E7C0E1-A987-476E-3217-4140C61781D1}"/>
              </a:ext>
            </a:extLst>
          </xdr:cNvPr>
          <xdr:cNvGrpSpPr/>
        </xdr:nvGrpSpPr>
        <xdr:grpSpPr>
          <a:xfrm>
            <a:off x="5684520" y="487680"/>
            <a:ext cx="2642832" cy="1752600"/>
            <a:chOff x="121920" y="464820"/>
            <a:chExt cx="2255520" cy="1752600"/>
          </a:xfrm>
        </xdr:grpSpPr>
        <xdr:sp macro="" textlink="">
          <xdr:nvSpPr>
            <xdr:cNvPr id="96" name="Rectangle: Rounded Corners 95">
              <a:extLst>
                <a:ext uri="{FF2B5EF4-FFF2-40B4-BE49-F238E27FC236}">
                  <a16:creationId xmlns:a16="http://schemas.microsoft.com/office/drawing/2014/main" id="{B4396B97-7B81-7B49-ED6C-7CC77AAFDA3A}"/>
                </a:ext>
              </a:extLst>
            </xdr:cNvPr>
            <xdr:cNvSpPr/>
          </xdr:nvSpPr>
          <xdr:spPr>
            <a:xfrm>
              <a:off x="144780" y="464820"/>
              <a:ext cx="2207764" cy="368742"/>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mj-lt"/>
                </a:rPr>
                <a:t>QUANTITY SOLD</a:t>
              </a:r>
            </a:p>
          </xdr:txBody>
        </xdr:sp>
        <xdr:sp macro="" textlink="">
          <xdr:nvSpPr>
            <xdr:cNvPr id="97" name="Rectangle: Rounded Corners 96">
              <a:extLst>
                <a:ext uri="{FF2B5EF4-FFF2-40B4-BE49-F238E27FC236}">
                  <a16:creationId xmlns:a16="http://schemas.microsoft.com/office/drawing/2014/main" id="{52C31D4F-999F-9B7A-B6C0-74AF0F022B7F}"/>
                </a:ext>
              </a:extLst>
            </xdr:cNvPr>
            <xdr:cNvSpPr/>
          </xdr:nvSpPr>
          <xdr:spPr>
            <a:xfrm>
              <a:off x="121920" y="883920"/>
              <a:ext cx="2255520" cy="1333500"/>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s'!$H$112">
          <xdr:nvSpPr>
            <xdr:cNvPr id="98" name="Rectangle: Rounded Corners 97">
              <a:extLst>
                <a:ext uri="{FF2B5EF4-FFF2-40B4-BE49-F238E27FC236}">
                  <a16:creationId xmlns:a16="http://schemas.microsoft.com/office/drawing/2014/main" id="{416FF30A-7B31-6699-D87D-18669421BFFE}"/>
                </a:ext>
              </a:extLst>
            </xdr:cNvPr>
            <xdr:cNvSpPr/>
          </xdr:nvSpPr>
          <xdr:spPr>
            <a:xfrm>
              <a:off x="243840" y="952500"/>
              <a:ext cx="2026920" cy="304800"/>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AB2C738-FB59-4128-B397-82D3761F82F8}" type="TxLink">
                <a:rPr lang="en-US" sz="1600" b="1" i="0" u="none" strike="noStrike">
                  <a:solidFill>
                    <a:schemeClr val="bg1"/>
                  </a:solidFill>
                  <a:latin typeface="+mj-lt"/>
                  <a:ea typeface="Calibri"/>
                  <a:cs typeface="Calibri"/>
                </a:rPr>
                <a:pPr algn="ctr"/>
                <a:t># 2452</a:t>
              </a:fld>
              <a:endParaRPr lang="en-US" sz="1600" b="1" i="0" u="none" strike="noStrike">
                <a:solidFill>
                  <a:schemeClr val="bg1"/>
                </a:solidFill>
                <a:latin typeface="+mj-lt"/>
                <a:ea typeface="Calibri"/>
                <a:cs typeface="Calibri"/>
              </a:endParaRPr>
            </a:p>
          </xdr:txBody>
        </xdr:sp>
        <xdr:sp macro="" textlink="">
          <xdr:nvSpPr>
            <xdr:cNvPr id="100" name="Rectangle: Rounded Corners 99">
              <a:extLst>
                <a:ext uri="{FF2B5EF4-FFF2-40B4-BE49-F238E27FC236}">
                  <a16:creationId xmlns:a16="http://schemas.microsoft.com/office/drawing/2014/main" id="{FA518C71-04F6-59B1-2C80-9E32D8502796}"/>
                </a:ext>
              </a:extLst>
            </xdr:cNvPr>
            <xdr:cNvSpPr/>
          </xdr:nvSpPr>
          <xdr:spPr>
            <a:xfrm>
              <a:off x="243840" y="1783080"/>
              <a:ext cx="2026920" cy="350520"/>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chemeClr val="bg1"/>
                  </a:solidFill>
                  <a:latin typeface="+mj-lt"/>
                  <a:ea typeface="Calibri"/>
                  <a:cs typeface="Calibri"/>
                </a:rPr>
                <a:t>YOY GROWTH</a:t>
              </a:r>
            </a:p>
          </xdr:txBody>
        </xdr:sp>
      </xdr:grpSp>
      <xdr:grpSp>
        <xdr:nvGrpSpPr>
          <xdr:cNvPr id="107" name="Group 106">
            <a:extLst>
              <a:ext uri="{FF2B5EF4-FFF2-40B4-BE49-F238E27FC236}">
                <a16:creationId xmlns:a16="http://schemas.microsoft.com/office/drawing/2014/main" id="{D583AA3D-89EF-4FDA-EF3F-B24921237FC3}"/>
              </a:ext>
            </a:extLst>
          </xdr:cNvPr>
          <xdr:cNvGrpSpPr/>
        </xdr:nvGrpSpPr>
        <xdr:grpSpPr>
          <a:xfrm>
            <a:off x="11254740" y="472440"/>
            <a:ext cx="2642832" cy="1752600"/>
            <a:chOff x="121920" y="464820"/>
            <a:chExt cx="2255520" cy="1752600"/>
          </a:xfrm>
        </xdr:grpSpPr>
        <xdr:sp macro="" textlink="">
          <xdr:nvSpPr>
            <xdr:cNvPr id="108" name="Rectangle: Rounded Corners 107">
              <a:extLst>
                <a:ext uri="{FF2B5EF4-FFF2-40B4-BE49-F238E27FC236}">
                  <a16:creationId xmlns:a16="http://schemas.microsoft.com/office/drawing/2014/main" id="{A6355C2E-B6D8-E8F2-9C35-9878F5E22026}"/>
                </a:ext>
              </a:extLst>
            </xdr:cNvPr>
            <xdr:cNvSpPr/>
          </xdr:nvSpPr>
          <xdr:spPr>
            <a:xfrm>
              <a:off x="144780" y="464820"/>
              <a:ext cx="2207764" cy="368742"/>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mj-lt"/>
                </a:rPr>
                <a:t>PROFIT</a:t>
              </a:r>
              <a:r>
                <a:rPr lang="en-IN" sz="2000" b="1" baseline="0">
                  <a:latin typeface="+mj-lt"/>
                </a:rPr>
                <a:t> MARGIN</a:t>
              </a:r>
              <a:endParaRPr lang="en-IN" sz="2000" b="1">
                <a:latin typeface="+mj-lt"/>
              </a:endParaRPr>
            </a:p>
          </xdr:txBody>
        </xdr:sp>
        <xdr:sp macro="" textlink="">
          <xdr:nvSpPr>
            <xdr:cNvPr id="109" name="Rectangle: Rounded Corners 108">
              <a:extLst>
                <a:ext uri="{FF2B5EF4-FFF2-40B4-BE49-F238E27FC236}">
                  <a16:creationId xmlns:a16="http://schemas.microsoft.com/office/drawing/2014/main" id="{B1F187EE-A7F0-F5BE-4558-D338192B43AF}"/>
                </a:ext>
              </a:extLst>
            </xdr:cNvPr>
            <xdr:cNvSpPr/>
          </xdr:nvSpPr>
          <xdr:spPr>
            <a:xfrm>
              <a:off x="121920" y="883920"/>
              <a:ext cx="2255520" cy="1333500"/>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s'!$E$134">
          <xdr:nvSpPr>
            <xdr:cNvPr id="110" name="Rectangle: Rounded Corners 109">
              <a:extLst>
                <a:ext uri="{FF2B5EF4-FFF2-40B4-BE49-F238E27FC236}">
                  <a16:creationId xmlns:a16="http://schemas.microsoft.com/office/drawing/2014/main" id="{CE1F72BE-332E-1E4F-9061-C31B9C9FD1A2}"/>
                </a:ext>
              </a:extLst>
            </xdr:cNvPr>
            <xdr:cNvSpPr/>
          </xdr:nvSpPr>
          <xdr:spPr>
            <a:xfrm>
              <a:off x="243840" y="952500"/>
              <a:ext cx="2026920" cy="304800"/>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31599FD-68BC-4DE6-8082-4CEA72B86331}" type="TxLink">
                <a:rPr lang="en-US" sz="1600" b="1" i="0" u="none" strike="noStrike">
                  <a:solidFill>
                    <a:schemeClr val="bg1"/>
                  </a:solidFill>
                  <a:latin typeface="+mj-lt"/>
                  <a:ea typeface="Calibri"/>
                  <a:cs typeface="Calibri"/>
                </a:rPr>
                <a:pPr algn="ctr"/>
                <a:t>15.00%</a:t>
              </a:fld>
              <a:endParaRPr lang="en-IN" sz="1600" b="1">
                <a:solidFill>
                  <a:schemeClr val="bg1"/>
                </a:solidFill>
                <a:latin typeface="+mj-lt"/>
              </a:endParaRPr>
            </a:p>
          </xdr:txBody>
        </xdr:sp>
        <xdr:sp macro="" textlink="">
          <xdr:nvSpPr>
            <xdr:cNvPr id="112" name="Rectangle: Rounded Corners 111">
              <a:extLst>
                <a:ext uri="{FF2B5EF4-FFF2-40B4-BE49-F238E27FC236}">
                  <a16:creationId xmlns:a16="http://schemas.microsoft.com/office/drawing/2014/main" id="{81835D47-EBFA-470A-C9FA-0B658C95061F}"/>
                </a:ext>
              </a:extLst>
            </xdr:cNvPr>
            <xdr:cNvSpPr/>
          </xdr:nvSpPr>
          <xdr:spPr>
            <a:xfrm>
              <a:off x="243840" y="1783080"/>
              <a:ext cx="2026920" cy="350520"/>
            </a:xfrm>
            <a:prstGeom prst="roundRect">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chemeClr val="bg1"/>
                  </a:solidFill>
                  <a:latin typeface="+mj-lt"/>
                  <a:ea typeface="Calibri"/>
                  <a:cs typeface="Calibri"/>
                </a:rPr>
                <a:t>YOY GROWTH</a:t>
              </a:r>
            </a:p>
          </xdr:txBody>
        </xdr:sp>
      </xdr:grpSp>
    </xdr:grpSp>
    <xdr:clientData/>
  </xdr:twoCellAnchor>
  <xdr:twoCellAnchor>
    <xdr:from>
      <xdr:col>5</xdr:col>
      <xdr:colOff>76200</xdr:colOff>
      <xdr:row>7</xdr:row>
      <xdr:rowOff>45720</xdr:rowOff>
    </xdr:from>
    <xdr:to>
      <xdr:col>8</xdr:col>
      <xdr:colOff>396240</xdr:colOff>
      <xdr:row>9</xdr:row>
      <xdr:rowOff>76200</xdr:rowOff>
    </xdr:to>
    <xdr:graphicFrame macro="">
      <xdr:nvGraphicFramePr>
        <xdr:cNvPr id="113" name="Chart 112">
          <a:extLst>
            <a:ext uri="{FF2B5EF4-FFF2-40B4-BE49-F238E27FC236}">
              <a16:creationId xmlns:a16="http://schemas.microsoft.com/office/drawing/2014/main" id="{B84EBF8A-6A75-456B-ADD8-B1DCFDFDA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352425</xdr:colOff>
          <xdr:row>9</xdr:row>
          <xdr:rowOff>175260</xdr:rowOff>
        </xdr:from>
        <xdr:to>
          <xdr:col>4</xdr:col>
          <xdr:colOff>285750</xdr:colOff>
          <xdr:row>11</xdr:row>
          <xdr:rowOff>114300</xdr:rowOff>
        </xdr:to>
        <xdr:pic>
          <xdr:nvPicPr>
            <xdr:cNvPr id="121" name="Picture 120">
              <a:extLst>
                <a:ext uri="{FF2B5EF4-FFF2-40B4-BE49-F238E27FC236}">
                  <a16:creationId xmlns:a16="http://schemas.microsoft.com/office/drawing/2014/main" id="{D8A02473-A1C0-51BE-1FF8-16DFFF931631}"/>
                </a:ext>
              </a:extLst>
            </xdr:cNvPr>
            <xdr:cNvPicPr>
              <a:picLocks noChangeAspect="1" noChangeArrowheads="1"/>
              <a:extLst>
                <a:ext uri="{84589F7E-364E-4C9E-8A38-B11213B215E9}">
                  <a14:cameraTool cellRange="'pivot tables'!$B$152" spid="_x0000_s3225"/>
                </a:ext>
              </a:extLst>
            </xdr:cNvPicPr>
          </xdr:nvPicPr>
          <xdr:blipFill>
            <a:blip xmlns:r="http://schemas.openxmlformats.org/officeDocument/2006/relationships" r:embed="rId2"/>
            <a:srcRect/>
            <a:stretch>
              <a:fillRect/>
            </a:stretch>
          </xdr:blipFill>
          <xdr:spPr bwMode="auto">
            <a:xfrm>
              <a:off x="1571625" y="1804035"/>
              <a:ext cx="1152525" cy="30099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68581</xdr:colOff>
          <xdr:row>10</xdr:row>
          <xdr:rowOff>22860</xdr:rowOff>
        </xdr:from>
        <xdr:to>
          <xdr:col>9</xdr:col>
          <xdr:colOff>57150</xdr:colOff>
          <xdr:row>11</xdr:row>
          <xdr:rowOff>152400</xdr:rowOff>
        </xdr:to>
        <xdr:pic>
          <xdr:nvPicPr>
            <xdr:cNvPr id="123" name="Picture 122">
              <a:extLst>
                <a:ext uri="{FF2B5EF4-FFF2-40B4-BE49-F238E27FC236}">
                  <a16:creationId xmlns:a16="http://schemas.microsoft.com/office/drawing/2014/main" id="{3BCB6DF4-55C7-F5CD-D4EC-24684D270746}"/>
                </a:ext>
              </a:extLst>
            </xdr:cNvPr>
            <xdr:cNvPicPr>
              <a:picLocks noChangeAspect="1" noChangeArrowheads="1"/>
              <a:extLst>
                <a:ext uri="{84589F7E-364E-4C9E-8A38-B11213B215E9}">
                  <a14:cameraTool cellRange="'pivot tables'!$B$153" spid="_x0000_s3226"/>
                </a:ext>
              </a:extLst>
            </xdr:cNvPicPr>
          </xdr:nvPicPr>
          <xdr:blipFill>
            <a:blip xmlns:r="http://schemas.openxmlformats.org/officeDocument/2006/relationships" r:embed="rId3"/>
            <a:srcRect/>
            <a:stretch>
              <a:fillRect/>
            </a:stretch>
          </xdr:blipFill>
          <xdr:spPr bwMode="auto">
            <a:xfrm>
              <a:off x="4335781" y="1832610"/>
              <a:ext cx="1207769" cy="31051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438151</xdr:colOff>
          <xdr:row>10</xdr:row>
          <xdr:rowOff>17144</xdr:rowOff>
        </xdr:from>
        <xdr:to>
          <xdr:col>13</xdr:col>
          <xdr:colOff>400050</xdr:colOff>
          <xdr:row>11</xdr:row>
          <xdr:rowOff>142875</xdr:rowOff>
        </xdr:to>
        <xdr:pic>
          <xdr:nvPicPr>
            <xdr:cNvPr id="124" name="Picture 123">
              <a:extLst>
                <a:ext uri="{FF2B5EF4-FFF2-40B4-BE49-F238E27FC236}">
                  <a16:creationId xmlns:a16="http://schemas.microsoft.com/office/drawing/2014/main" id="{6AED6FFA-9462-8184-07DD-12E452A7BEC0}"/>
                </a:ext>
              </a:extLst>
            </xdr:cNvPr>
            <xdr:cNvPicPr>
              <a:picLocks noChangeAspect="1" noChangeArrowheads="1"/>
              <a:extLst>
                <a:ext uri="{84589F7E-364E-4C9E-8A38-B11213B215E9}">
                  <a14:cameraTool cellRange="'pivot tables'!$B$154" spid="_x0000_s3227"/>
                </a:ext>
              </a:extLst>
            </xdr:cNvPicPr>
          </xdr:nvPicPr>
          <xdr:blipFill>
            <a:blip xmlns:r="http://schemas.openxmlformats.org/officeDocument/2006/relationships" r:embed="rId3"/>
            <a:srcRect/>
            <a:stretch>
              <a:fillRect/>
            </a:stretch>
          </xdr:blipFill>
          <xdr:spPr bwMode="auto">
            <a:xfrm>
              <a:off x="7143751" y="1826894"/>
              <a:ext cx="1181099" cy="30670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160021</xdr:colOff>
          <xdr:row>10</xdr:row>
          <xdr:rowOff>38100</xdr:rowOff>
        </xdr:from>
        <xdr:to>
          <xdr:col>18</xdr:col>
          <xdr:colOff>95250</xdr:colOff>
          <xdr:row>11</xdr:row>
          <xdr:rowOff>171450</xdr:rowOff>
        </xdr:to>
        <xdr:pic>
          <xdr:nvPicPr>
            <xdr:cNvPr id="126" name="Picture 125">
              <a:extLst>
                <a:ext uri="{FF2B5EF4-FFF2-40B4-BE49-F238E27FC236}">
                  <a16:creationId xmlns:a16="http://schemas.microsoft.com/office/drawing/2014/main" id="{F88109FD-FDA9-0ACA-C5BD-E21A890DFD30}"/>
                </a:ext>
              </a:extLst>
            </xdr:cNvPr>
            <xdr:cNvPicPr>
              <a:picLocks noChangeAspect="1" noChangeArrowheads="1"/>
              <a:extLst>
                <a:ext uri="{84589F7E-364E-4C9E-8A38-B11213B215E9}">
                  <a14:cameraTool cellRange="'pivot tables'!$B$155" spid="_x0000_s3228"/>
                </a:ext>
              </a:extLst>
            </xdr:cNvPicPr>
          </xdr:nvPicPr>
          <xdr:blipFill>
            <a:blip xmlns:r="http://schemas.openxmlformats.org/officeDocument/2006/relationships" r:embed="rId4"/>
            <a:srcRect/>
            <a:stretch>
              <a:fillRect/>
            </a:stretch>
          </xdr:blipFill>
          <xdr:spPr bwMode="auto">
            <a:xfrm>
              <a:off x="9913621" y="1847850"/>
              <a:ext cx="1154429" cy="3143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487681</xdr:colOff>
          <xdr:row>9</xdr:row>
          <xdr:rowOff>177166</xdr:rowOff>
        </xdr:from>
        <xdr:to>
          <xdr:col>22</xdr:col>
          <xdr:colOff>419101</xdr:colOff>
          <xdr:row>11</xdr:row>
          <xdr:rowOff>152400</xdr:rowOff>
        </xdr:to>
        <xdr:pic>
          <xdr:nvPicPr>
            <xdr:cNvPr id="128" name="Picture 127">
              <a:extLst>
                <a:ext uri="{FF2B5EF4-FFF2-40B4-BE49-F238E27FC236}">
                  <a16:creationId xmlns:a16="http://schemas.microsoft.com/office/drawing/2014/main" id="{B18F9CF1-0B53-BDA4-6E26-10948D9E28B3}"/>
                </a:ext>
              </a:extLst>
            </xdr:cNvPr>
            <xdr:cNvPicPr>
              <a:picLocks noChangeAspect="1" noChangeArrowheads="1"/>
              <a:extLst>
                <a:ext uri="{84589F7E-364E-4C9E-8A38-B11213B215E9}">
                  <a14:cameraTool cellRange="'pivot tables'!$B$156" spid="_x0000_s3229"/>
                </a:ext>
              </a:extLst>
            </xdr:cNvPicPr>
          </xdr:nvPicPr>
          <xdr:blipFill>
            <a:blip xmlns:r="http://schemas.openxmlformats.org/officeDocument/2006/relationships" r:embed="rId5"/>
            <a:srcRect/>
            <a:stretch>
              <a:fillRect/>
            </a:stretch>
          </xdr:blipFill>
          <xdr:spPr bwMode="auto">
            <a:xfrm>
              <a:off x="12679681" y="1805941"/>
              <a:ext cx="1150620" cy="337184"/>
            </a:xfrm>
            <a:prstGeom prst="rect">
              <a:avLst/>
            </a:prstGeom>
            <a:noFill/>
            <a:ln>
              <a:solidFill>
                <a:schemeClr val="tx1">
                  <a:lumMod val="85000"/>
                  <a:lumOff val="15000"/>
                </a:schemeClr>
              </a:solidFill>
            </a:ln>
            <a:extLst>
              <a:ext uri="{909E8E84-426E-40DD-AFC4-6F175D3DCCD1}">
                <a14:hiddenFill>
                  <a:solidFill>
                    <a:srgbClr val="FFFFFF"/>
                  </a:solidFill>
                </a14:hiddenFill>
              </a:ext>
            </a:extLst>
          </xdr:spPr>
        </xdr:pic>
        <xdr:clientData/>
      </xdr:twoCellAnchor>
    </mc:Choice>
    <mc:Fallback/>
  </mc:AlternateContent>
  <xdr:twoCellAnchor>
    <xdr:from>
      <xdr:col>9</xdr:col>
      <xdr:colOff>464820</xdr:colOff>
      <xdr:row>7</xdr:row>
      <xdr:rowOff>60960</xdr:rowOff>
    </xdr:from>
    <xdr:to>
      <xdr:col>13</xdr:col>
      <xdr:colOff>144780</xdr:colOff>
      <xdr:row>9</xdr:row>
      <xdr:rowOff>121920</xdr:rowOff>
    </xdr:to>
    <xdr:graphicFrame macro="">
      <xdr:nvGraphicFramePr>
        <xdr:cNvPr id="129" name="Chart 128">
          <a:extLst>
            <a:ext uri="{FF2B5EF4-FFF2-40B4-BE49-F238E27FC236}">
              <a16:creationId xmlns:a16="http://schemas.microsoft.com/office/drawing/2014/main" id="{1C40F189-1171-46E7-96DA-6ABD44221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220980</xdr:colOff>
      <xdr:row>7</xdr:row>
      <xdr:rowOff>60960</xdr:rowOff>
    </xdr:from>
    <xdr:to>
      <xdr:col>17</xdr:col>
      <xdr:colOff>518160</xdr:colOff>
      <xdr:row>9</xdr:row>
      <xdr:rowOff>160020</xdr:rowOff>
    </xdr:to>
    <xdr:graphicFrame macro="">
      <xdr:nvGraphicFramePr>
        <xdr:cNvPr id="130" name="Chart 129">
          <a:extLst>
            <a:ext uri="{FF2B5EF4-FFF2-40B4-BE49-F238E27FC236}">
              <a16:creationId xmlns:a16="http://schemas.microsoft.com/office/drawing/2014/main" id="{53C3DD5E-6B8A-46A2-A364-6D1877595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533400</xdr:colOff>
      <xdr:row>7</xdr:row>
      <xdr:rowOff>38100</xdr:rowOff>
    </xdr:from>
    <xdr:to>
      <xdr:col>22</xdr:col>
      <xdr:colOff>274320</xdr:colOff>
      <xdr:row>9</xdr:row>
      <xdr:rowOff>99060</xdr:rowOff>
    </xdr:to>
    <xdr:graphicFrame macro="">
      <xdr:nvGraphicFramePr>
        <xdr:cNvPr id="131" name="Chart 130">
          <a:extLst>
            <a:ext uri="{FF2B5EF4-FFF2-40B4-BE49-F238E27FC236}">
              <a16:creationId xmlns:a16="http://schemas.microsoft.com/office/drawing/2014/main" id="{A9185192-C80F-465C-92E1-296331E9F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396240</xdr:colOff>
      <xdr:row>7</xdr:row>
      <xdr:rowOff>7620</xdr:rowOff>
    </xdr:from>
    <xdr:to>
      <xdr:col>4</xdr:col>
      <xdr:colOff>83820</xdr:colOff>
      <xdr:row>9</xdr:row>
      <xdr:rowOff>106680</xdr:rowOff>
    </xdr:to>
    <xdr:graphicFrame macro="">
      <xdr:nvGraphicFramePr>
        <xdr:cNvPr id="132" name="Chart 131">
          <a:extLst>
            <a:ext uri="{FF2B5EF4-FFF2-40B4-BE49-F238E27FC236}">
              <a16:creationId xmlns:a16="http://schemas.microsoft.com/office/drawing/2014/main" id="{D1112CA5-11DE-4606-B706-0314409EB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121920</xdr:colOff>
      <xdr:row>27</xdr:row>
      <xdr:rowOff>114300</xdr:rowOff>
    </xdr:from>
    <xdr:to>
      <xdr:col>22</xdr:col>
      <xdr:colOff>518160</xdr:colOff>
      <xdr:row>43</xdr:row>
      <xdr:rowOff>53340</xdr:rowOff>
    </xdr:to>
    <xdr:grpSp>
      <xdr:nvGrpSpPr>
        <xdr:cNvPr id="18" name="Group 17">
          <a:extLst>
            <a:ext uri="{FF2B5EF4-FFF2-40B4-BE49-F238E27FC236}">
              <a16:creationId xmlns:a16="http://schemas.microsoft.com/office/drawing/2014/main" id="{11091C31-F4CB-06D0-B301-B3CFADADEB55}"/>
            </a:ext>
          </a:extLst>
        </xdr:cNvPr>
        <xdr:cNvGrpSpPr/>
      </xdr:nvGrpSpPr>
      <xdr:grpSpPr>
        <a:xfrm>
          <a:off x="121920" y="5000625"/>
          <a:ext cx="13807440" cy="2834640"/>
          <a:chOff x="121920" y="5052060"/>
          <a:chExt cx="13807440" cy="2697480"/>
        </a:xfrm>
      </xdr:grpSpPr>
      <xdr:sp macro="" textlink="">
        <xdr:nvSpPr>
          <xdr:cNvPr id="138" name="Rectangle: Rounded Corners 137">
            <a:extLst>
              <a:ext uri="{FF2B5EF4-FFF2-40B4-BE49-F238E27FC236}">
                <a16:creationId xmlns:a16="http://schemas.microsoft.com/office/drawing/2014/main" id="{FE7CC4EE-4F8F-DA63-278F-D6B80DE41B1E}"/>
              </a:ext>
            </a:extLst>
          </xdr:cNvPr>
          <xdr:cNvSpPr/>
        </xdr:nvSpPr>
        <xdr:spPr>
          <a:xfrm>
            <a:off x="121920" y="5067300"/>
            <a:ext cx="5516880" cy="2682240"/>
          </a:xfrm>
          <a:prstGeom prst="roundRect">
            <a:avLst>
              <a:gd name="adj" fmla="val 5256"/>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9" name="Rectangle: Rounded Corners 138">
            <a:extLst>
              <a:ext uri="{FF2B5EF4-FFF2-40B4-BE49-F238E27FC236}">
                <a16:creationId xmlns:a16="http://schemas.microsoft.com/office/drawing/2014/main" id="{F8BEF8CB-9368-9C35-9B27-1DAE3443CC7E}"/>
              </a:ext>
            </a:extLst>
          </xdr:cNvPr>
          <xdr:cNvSpPr/>
        </xdr:nvSpPr>
        <xdr:spPr>
          <a:xfrm>
            <a:off x="9974580" y="5052060"/>
            <a:ext cx="3954780" cy="2682240"/>
          </a:xfrm>
          <a:prstGeom prst="roundRect">
            <a:avLst>
              <a:gd name="adj" fmla="val 5256"/>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0" name="Rectangle: Rounded Corners 139">
            <a:extLst>
              <a:ext uri="{FF2B5EF4-FFF2-40B4-BE49-F238E27FC236}">
                <a16:creationId xmlns:a16="http://schemas.microsoft.com/office/drawing/2014/main" id="{E1274C5E-FAE3-FD3F-0715-AC38F6F0D0AB}"/>
              </a:ext>
            </a:extLst>
          </xdr:cNvPr>
          <xdr:cNvSpPr/>
        </xdr:nvSpPr>
        <xdr:spPr>
          <a:xfrm>
            <a:off x="5730240" y="5059680"/>
            <a:ext cx="4168140" cy="2682240"/>
          </a:xfrm>
          <a:prstGeom prst="roundRect">
            <a:avLst>
              <a:gd name="adj" fmla="val 5256"/>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49E7ADF3-352A-6387-0865-32823B3AAA93}"/>
              </a:ext>
            </a:extLst>
          </xdr:cNvPr>
          <xdr:cNvSpPr/>
        </xdr:nvSpPr>
        <xdr:spPr>
          <a:xfrm>
            <a:off x="198120" y="5143500"/>
            <a:ext cx="4236720" cy="327660"/>
          </a:xfrm>
          <a:prstGeom prst="roundRect">
            <a:avLst/>
          </a:prstGeom>
          <a:gradFill>
            <a:gsLst>
              <a:gs pos="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latin typeface="+mj-lt"/>
              </a:rPr>
              <a:t>TOP</a:t>
            </a:r>
            <a:r>
              <a:rPr lang="en-IN" sz="1400" b="1" baseline="0">
                <a:solidFill>
                  <a:schemeClr val="bg1"/>
                </a:solidFill>
                <a:latin typeface="+mj-lt"/>
              </a:rPr>
              <a:t> 5 PRODUCTS</a:t>
            </a:r>
            <a:endParaRPr lang="en-IN" sz="1400" b="1">
              <a:solidFill>
                <a:schemeClr val="bg1"/>
              </a:solidFill>
              <a:latin typeface="+mj-lt"/>
            </a:endParaRPr>
          </a:p>
        </xdr:txBody>
      </xdr:sp>
      <xdr:sp macro="" textlink="">
        <xdr:nvSpPr>
          <xdr:cNvPr id="14" name="Rectangle: Rounded Corners 13">
            <a:extLst>
              <a:ext uri="{FF2B5EF4-FFF2-40B4-BE49-F238E27FC236}">
                <a16:creationId xmlns:a16="http://schemas.microsoft.com/office/drawing/2014/main" id="{33EFB4D4-8BEF-01BF-F7C0-70BF9C7F299D}"/>
              </a:ext>
            </a:extLst>
          </xdr:cNvPr>
          <xdr:cNvSpPr/>
        </xdr:nvSpPr>
        <xdr:spPr>
          <a:xfrm>
            <a:off x="5783580" y="5120640"/>
            <a:ext cx="4015740" cy="327660"/>
          </a:xfrm>
          <a:prstGeom prst="roundRect">
            <a:avLst/>
          </a:prstGeom>
          <a:gradFill>
            <a:gsLst>
              <a:gs pos="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latin typeface="+mj-lt"/>
              </a:rPr>
              <a:t>SALES BY STATE</a:t>
            </a:r>
          </a:p>
        </xdr:txBody>
      </xdr:sp>
      <xdr:sp macro="" textlink="">
        <xdr:nvSpPr>
          <xdr:cNvPr id="15" name="Rectangle: Rounded Corners 14">
            <a:extLst>
              <a:ext uri="{FF2B5EF4-FFF2-40B4-BE49-F238E27FC236}">
                <a16:creationId xmlns:a16="http://schemas.microsoft.com/office/drawing/2014/main" id="{7203F9D9-F5ED-2374-037C-CDCFE9B870D3}"/>
              </a:ext>
            </a:extLst>
          </xdr:cNvPr>
          <xdr:cNvSpPr/>
        </xdr:nvSpPr>
        <xdr:spPr>
          <a:xfrm>
            <a:off x="10043160" y="5120640"/>
            <a:ext cx="3794760" cy="327660"/>
          </a:xfrm>
          <a:prstGeom prst="roundRect">
            <a:avLst/>
          </a:prstGeom>
          <a:gradFill>
            <a:gsLst>
              <a:gs pos="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latin typeface="+mj-lt"/>
              </a:rPr>
              <a:t>FILTERS</a:t>
            </a:r>
          </a:p>
        </xdr:txBody>
      </xdr:sp>
    </xdr:grpSp>
    <xdr:clientData/>
  </xdr:twoCellAnchor>
  <xdr:twoCellAnchor>
    <xdr:from>
      <xdr:col>0</xdr:col>
      <xdr:colOff>114299</xdr:colOff>
      <xdr:row>12</xdr:row>
      <xdr:rowOff>91440</xdr:rowOff>
    </xdr:from>
    <xdr:to>
      <xdr:col>22</xdr:col>
      <xdr:colOff>511628</xdr:colOff>
      <xdr:row>27</xdr:row>
      <xdr:rowOff>68580</xdr:rowOff>
    </xdr:to>
    <xdr:grpSp>
      <xdr:nvGrpSpPr>
        <xdr:cNvPr id="17" name="Group 16">
          <a:extLst>
            <a:ext uri="{FF2B5EF4-FFF2-40B4-BE49-F238E27FC236}">
              <a16:creationId xmlns:a16="http://schemas.microsoft.com/office/drawing/2014/main" id="{5B413B31-4DCB-8898-2922-0724777996F1}"/>
            </a:ext>
          </a:extLst>
        </xdr:cNvPr>
        <xdr:cNvGrpSpPr/>
      </xdr:nvGrpSpPr>
      <xdr:grpSpPr>
        <a:xfrm>
          <a:off x="114299" y="2263140"/>
          <a:ext cx="13808529" cy="2691765"/>
          <a:chOff x="114300" y="2286000"/>
          <a:chExt cx="13776960" cy="2720340"/>
        </a:xfrm>
      </xdr:grpSpPr>
      <xdr:sp macro="" textlink="">
        <xdr:nvSpPr>
          <xdr:cNvPr id="135" name="Rectangle: Rounded Corners 134">
            <a:extLst>
              <a:ext uri="{FF2B5EF4-FFF2-40B4-BE49-F238E27FC236}">
                <a16:creationId xmlns:a16="http://schemas.microsoft.com/office/drawing/2014/main" id="{6953D747-96C1-D647-33D1-7A9D8904232F}"/>
              </a:ext>
            </a:extLst>
          </xdr:cNvPr>
          <xdr:cNvSpPr/>
        </xdr:nvSpPr>
        <xdr:spPr>
          <a:xfrm>
            <a:off x="114300" y="2324100"/>
            <a:ext cx="5417820" cy="2682240"/>
          </a:xfrm>
          <a:prstGeom prst="roundRect">
            <a:avLst>
              <a:gd name="adj" fmla="val 5256"/>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6" name="Rectangle: Rounded Corners 135">
            <a:extLst>
              <a:ext uri="{FF2B5EF4-FFF2-40B4-BE49-F238E27FC236}">
                <a16:creationId xmlns:a16="http://schemas.microsoft.com/office/drawing/2014/main" id="{BE6637D0-650D-D28E-2150-B2FC7BE88EEE}"/>
              </a:ext>
            </a:extLst>
          </xdr:cNvPr>
          <xdr:cNvSpPr/>
        </xdr:nvSpPr>
        <xdr:spPr>
          <a:xfrm>
            <a:off x="5608320" y="2301240"/>
            <a:ext cx="5295900" cy="2682240"/>
          </a:xfrm>
          <a:prstGeom prst="roundRect">
            <a:avLst>
              <a:gd name="adj" fmla="val 5256"/>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7" name="Rectangle: Rounded Corners 136">
            <a:extLst>
              <a:ext uri="{FF2B5EF4-FFF2-40B4-BE49-F238E27FC236}">
                <a16:creationId xmlns:a16="http://schemas.microsoft.com/office/drawing/2014/main" id="{4BECC523-FE68-9C82-C62D-5270F8E61E51}"/>
              </a:ext>
            </a:extLst>
          </xdr:cNvPr>
          <xdr:cNvSpPr/>
        </xdr:nvSpPr>
        <xdr:spPr>
          <a:xfrm>
            <a:off x="11003280" y="2286000"/>
            <a:ext cx="2887980" cy="2682240"/>
          </a:xfrm>
          <a:prstGeom prst="roundRect">
            <a:avLst>
              <a:gd name="adj" fmla="val 5256"/>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D9965A99-9E7A-1540-5883-44F91071E45D}"/>
              </a:ext>
            </a:extLst>
          </xdr:cNvPr>
          <xdr:cNvSpPr/>
        </xdr:nvSpPr>
        <xdr:spPr>
          <a:xfrm>
            <a:off x="167640" y="2377440"/>
            <a:ext cx="3992880" cy="327660"/>
          </a:xfrm>
          <a:prstGeom prst="roundRect">
            <a:avLst/>
          </a:prstGeom>
          <a:gradFill>
            <a:gsLst>
              <a:gs pos="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bg1"/>
                </a:solidFill>
                <a:latin typeface="+mj-lt"/>
              </a:rPr>
              <a:t>SALES</a:t>
            </a:r>
            <a:r>
              <a:rPr lang="en-IN" sz="1400" b="1" baseline="0">
                <a:solidFill>
                  <a:schemeClr val="bg1"/>
                </a:solidFill>
                <a:latin typeface="+mj-lt"/>
              </a:rPr>
              <a:t> AND PROFIT ANALYSIS</a:t>
            </a:r>
            <a:endParaRPr lang="en-IN" sz="1400" b="1">
              <a:solidFill>
                <a:schemeClr val="bg1"/>
              </a:solidFill>
              <a:latin typeface="+mj-lt"/>
            </a:endParaRPr>
          </a:p>
        </xdr:txBody>
      </xdr:sp>
      <xdr:sp macro="" textlink="">
        <xdr:nvSpPr>
          <xdr:cNvPr id="9" name="Rectangle: Rounded Corners 8">
            <a:extLst>
              <a:ext uri="{FF2B5EF4-FFF2-40B4-BE49-F238E27FC236}">
                <a16:creationId xmlns:a16="http://schemas.microsoft.com/office/drawing/2014/main" id="{AF3AB2EA-46C1-9667-F1DA-DF56CEDCAA97}"/>
              </a:ext>
            </a:extLst>
          </xdr:cNvPr>
          <xdr:cNvSpPr/>
        </xdr:nvSpPr>
        <xdr:spPr>
          <a:xfrm>
            <a:off x="5692140" y="2362200"/>
            <a:ext cx="3878580" cy="327660"/>
          </a:xfrm>
          <a:prstGeom prst="roundRect">
            <a:avLst/>
          </a:prstGeom>
          <a:gradFill>
            <a:gsLst>
              <a:gs pos="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latin typeface="+mj-lt"/>
              </a:rPr>
              <a:t>CATEGORY</a:t>
            </a:r>
            <a:r>
              <a:rPr lang="en-IN" sz="1400" b="1" baseline="0">
                <a:latin typeface="+mj-lt"/>
              </a:rPr>
              <a:t> WISE PROFIT</a:t>
            </a:r>
            <a:endParaRPr lang="en-IN" sz="1400" b="1">
              <a:latin typeface="+mj-lt"/>
            </a:endParaRPr>
          </a:p>
        </xdr:txBody>
      </xdr:sp>
      <xdr:sp macro="" textlink="">
        <xdr:nvSpPr>
          <xdr:cNvPr id="16" name="Rectangle: Rounded Corners 15">
            <a:extLst>
              <a:ext uri="{FF2B5EF4-FFF2-40B4-BE49-F238E27FC236}">
                <a16:creationId xmlns:a16="http://schemas.microsoft.com/office/drawing/2014/main" id="{EA7B2C17-D90C-CED1-C2DC-A3AE50BFE932}"/>
              </a:ext>
            </a:extLst>
          </xdr:cNvPr>
          <xdr:cNvSpPr/>
        </xdr:nvSpPr>
        <xdr:spPr>
          <a:xfrm>
            <a:off x="11064240" y="2354580"/>
            <a:ext cx="2750820" cy="327660"/>
          </a:xfrm>
          <a:prstGeom prst="roundRect">
            <a:avLst/>
          </a:prstGeom>
          <a:gradFill>
            <a:gsLst>
              <a:gs pos="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50" b="1">
                <a:solidFill>
                  <a:schemeClr val="bg1"/>
                </a:solidFill>
                <a:latin typeface="+mj-lt"/>
              </a:rPr>
              <a:t>CATEGORY WISE SALES SHARE  %</a:t>
            </a:r>
          </a:p>
        </xdr:txBody>
      </xdr:sp>
    </xdr:grpSp>
    <xdr:clientData/>
  </xdr:twoCellAnchor>
  <xdr:twoCellAnchor>
    <xdr:from>
      <xdr:col>0</xdr:col>
      <xdr:colOff>114300</xdr:colOff>
      <xdr:row>14</xdr:row>
      <xdr:rowOff>129540</xdr:rowOff>
    </xdr:from>
    <xdr:to>
      <xdr:col>9</xdr:col>
      <xdr:colOff>45720</xdr:colOff>
      <xdr:row>27</xdr:row>
      <xdr:rowOff>45720</xdr:rowOff>
    </xdr:to>
    <xdr:graphicFrame macro="">
      <xdr:nvGraphicFramePr>
        <xdr:cNvPr id="19" name="Chart 18">
          <a:extLst>
            <a:ext uri="{FF2B5EF4-FFF2-40B4-BE49-F238E27FC236}">
              <a16:creationId xmlns:a16="http://schemas.microsoft.com/office/drawing/2014/main" id="{4FFCFFE4-774B-43A6-A5A4-C1FB3F20B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167640</xdr:colOff>
      <xdr:row>14</xdr:row>
      <xdr:rowOff>160020</xdr:rowOff>
    </xdr:from>
    <xdr:to>
      <xdr:col>17</xdr:col>
      <xdr:colOff>502920</xdr:colOff>
      <xdr:row>26</xdr:row>
      <xdr:rowOff>175260</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BF2A7CD5-7F7A-4487-95B8-F0EA73B8FA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5654040" y="2720340"/>
              <a:ext cx="5212080" cy="2209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60960</xdr:colOff>
      <xdr:row>14</xdr:row>
      <xdr:rowOff>175260</xdr:rowOff>
    </xdr:from>
    <xdr:to>
      <xdr:col>22</xdr:col>
      <xdr:colOff>480060</xdr:colOff>
      <xdr:row>26</xdr:row>
      <xdr:rowOff>137160</xdr:rowOff>
    </xdr:to>
    <xdr:graphicFrame macro="">
      <xdr:nvGraphicFramePr>
        <xdr:cNvPr id="21" name="Chart 20">
          <a:extLst>
            <a:ext uri="{FF2B5EF4-FFF2-40B4-BE49-F238E27FC236}">
              <a16:creationId xmlns:a16="http://schemas.microsoft.com/office/drawing/2014/main" id="{834A12AA-5467-479C-96AF-6AA98034D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297180</xdr:colOff>
      <xdr:row>30</xdr:row>
      <xdr:rowOff>7620</xdr:rowOff>
    </xdr:from>
    <xdr:to>
      <xdr:col>16</xdr:col>
      <xdr:colOff>129540</xdr:colOff>
      <xdr:row>41</xdr:row>
      <xdr:rowOff>167640</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D2A9DE5C-35C8-465F-81D6-C0BE5C47DB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5783580" y="5494020"/>
              <a:ext cx="4099560" cy="2171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167640</xdr:colOff>
      <xdr:row>30</xdr:row>
      <xdr:rowOff>15240</xdr:rowOff>
    </xdr:from>
    <xdr:to>
      <xdr:col>9</xdr:col>
      <xdr:colOff>137160</xdr:colOff>
      <xdr:row>42</xdr:row>
      <xdr:rowOff>15240</xdr:rowOff>
    </xdr:to>
    <xdr:graphicFrame macro="">
      <xdr:nvGraphicFramePr>
        <xdr:cNvPr id="23" name="Chart 22">
          <a:extLst>
            <a:ext uri="{FF2B5EF4-FFF2-40B4-BE49-F238E27FC236}">
              <a16:creationId xmlns:a16="http://schemas.microsoft.com/office/drawing/2014/main" id="{6FB3057A-6C32-4EA6-901D-F1D751C0F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18</xdr:col>
      <xdr:colOff>297180</xdr:colOff>
      <xdr:row>30</xdr:row>
      <xdr:rowOff>30481</xdr:rowOff>
    </xdr:from>
    <xdr:to>
      <xdr:col>20</xdr:col>
      <xdr:colOff>441960</xdr:colOff>
      <xdr:row>41</xdr:row>
      <xdr:rowOff>30480</xdr:rowOff>
    </xdr:to>
    <mc:AlternateContent xmlns:mc="http://schemas.openxmlformats.org/markup-compatibility/2006">
      <mc:Choice xmlns:a14="http://schemas.microsoft.com/office/drawing/2010/main" Requires="a14">
        <xdr:graphicFrame macro="">
          <xdr:nvGraphicFramePr>
            <xdr:cNvPr id="26" name="Product Category 1">
              <a:extLst>
                <a:ext uri="{FF2B5EF4-FFF2-40B4-BE49-F238E27FC236}">
                  <a16:creationId xmlns:a16="http://schemas.microsoft.com/office/drawing/2014/main" id="{5BCB9563-6CB6-48CD-8211-ACDD9CB17056}"/>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1269980" y="5459731"/>
              <a:ext cx="1363980" cy="1990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297180</xdr:colOff>
      <xdr:row>35</xdr:row>
      <xdr:rowOff>30481</xdr:rowOff>
    </xdr:from>
    <xdr:to>
      <xdr:col>18</xdr:col>
      <xdr:colOff>297180</xdr:colOff>
      <xdr:row>42</xdr:row>
      <xdr:rowOff>175260</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E93E9184-A0DC-48C9-A370-652209DA9A0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050780" y="6364606"/>
              <a:ext cx="1219200" cy="14116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220980</xdr:colOff>
      <xdr:row>30</xdr:row>
      <xdr:rowOff>22860</xdr:rowOff>
    </xdr:from>
    <xdr:to>
      <xdr:col>18</xdr:col>
      <xdr:colOff>281940</xdr:colOff>
      <xdr:row>35</xdr:row>
      <xdr:rowOff>15240</xdr:rowOff>
    </xdr:to>
    <mc:AlternateContent xmlns:mc="http://schemas.openxmlformats.org/markup-compatibility/2006" xmlns:a14="http://schemas.microsoft.com/office/drawing/2010/main">
      <mc:Choice Requires="a14">
        <xdr:graphicFrame macro="">
          <xdr:nvGraphicFramePr>
            <xdr:cNvPr id="28" name="Year 1">
              <a:extLst>
                <a:ext uri="{FF2B5EF4-FFF2-40B4-BE49-F238E27FC236}">
                  <a16:creationId xmlns:a16="http://schemas.microsoft.com/office/drawing/2014/main" id="{3324183E-CEA3-4F6B-B40B-1C5534C835E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974580" y="5452110"/>
              <a:ext cx="1280160" cy="897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464820</xdr:colOff>
      <xdr:row>30</xdr:row>
      <xdr:rowOff>22861</xdr:rowOff>
    </xdr:from>
    <xdr:to>
      <xdr:col>22</xdr:col>
      <xdr:colOff>533400</xdr:colOff>
      <xdr:row>42</xdr:row>
      <xdr:rowOff>160020</xdr:rowOff>
    </xdr:to>
    <mc:AlternateContent xmlns:mc="http://schemas.openxmlformats.org/markup-compatibility/2006" xmlns:a14="http://schemas.microsoft.com/office/drawing/2010/main">
      <mc:Choice Requires="a14">
        <xdr:graphicFrame macro="">
          <xdr:nvGraphicFramePr>
            <xdr:cNvPr id="29" name="Brand 1">
              <a:extLst>
                <a:ext uri="{FF2B5EF4-FFF2-40B4-BE49-F238E27FC236}">
                  <a16:creationId xmlns:a16="http://schemas.microsoft.com/office/drawing/2014/main" id="{7F3D5F8E-FBA0-45F8-8619-7A8F8D49C8DC}"/>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2656820" y="5452111"/>
              <a:ext cx="1287780" cy="2308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566057</xdr:colOff>
      <xdr:row>2</xdr:row>
      <xdr:rowOff>76200</xdr:rowOff>
    </xdr:from>
    <xdr:to>
      <xdr:col>25</xdr:col>
      <xdr:colOff>522514</xdr:colOff>
      <xdr:row>43</xdr:row>
      <xdr:rowOff>0</xdr:rowOff>
    </xdr:to>
    <xdr:sp macro="" textlink="">
      <xdr:nvSpPr>
        <xdr:cNvPr id="35" name="Rectangle: Rounded Corners 34">
          <a:extLst>
            <a:ext uri="{FF2B5EF4-FFF2-40B4-BE49-F238E27FC236}">
              <a16:creationId xmlns:a16="http://schemas.microsoft.com/office/drawing/2014/main" id="{B82754D0-215C-63E4-0FE4-B380B5F6CCF3}"/>
            </a:ext>
          </a:extLst>
        </xdr:cNvPr>
        <xdr:cNvSpPr/>
      </xdr:nvSpPr>
      <xdr:spPr>
        <a:xfrm>
          <a:off x="13977257" y="446314"/>
          <a:ext cx="1785257" cy="7511143"/>
        </a:xfrm>
        <a:prstGeom prst="roundRect">
          <a:avLst>
            <a:gd name="adj" fmla="val 6614"/>
          </a:avLst>
        </a:prstGeom>
        <a:gradFill>
          <a:gsLst>
            <a:gs pos="0">
              <a:schemeClr val="tx1">
                <a:lumMod val="75000"/>
                <a:lumOff val="2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21772</xdr:colOff>
      <xdr:row>2</xdr:row>
      <xdr:rowOff>130629</xdr:rowOff>
    </xdr:from>
    <xdr:to>
      <xdr:col>25</xdr:col>
      <xdr:colOff>500743</xdr:colOff>
      <xdr:row>4</xdr:row>
      <xdr:rowOff>141514</xdr:rowOff>
    </xdr:to>
    <xdr:sp macro="" textlink="">
      <xdr:nvSpPr>
        <xdr:cNvPr id="36" name="Rectangle: Rounded Corners 35">
          <a:extLst>
            <a:ext uri="{FF2B5EF4-FFF2-40B4-BE49-F238E27FC236}">
              <a16:creationId xmlns:a16="http://schemas.microsoft.com/office/drawing/2014/main" id="{7DDBFE6A-E603-E9E8-0081-55CF06486116}"/>
            </a:ext>
          </a:extLst>
        </xdr:cNvPr>
        <xdr:cNvSpPr/>
      </xdr:nvSpPr>
      <xdr:spPr>
        <a:xfrm>
          <a:off x="14042572" y="500743"/>
          <a:ext cx="1698171" cy="381000"/>
        </a:xfrm>
        <a:prstGeom prst="roundRect">
          <a:avLst/>
        </a:prstGeom>
        <a:gradFill flip="none" rotWithShape="1">
          <a:gsLst>
            <a:gs pos="0">
              <a:schemeClr val="tx1">
                <a:lumMod val="65000"/>
                <a:lumOff val="35000"/>
              </a:schemeClr>
            </a:gs>
            <a:gs pos="100000">
              <a:schemeClr val="tx1">
                <a:lumMod val="50000"/>
                <a:lumOff val="5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b="1">
            <a:solidFill>
              <a:schemeClr val="tx1">
                <a:lumMod val="95000"/>
                <a:lumOff val="5000"/>
              </a:schemeClr>
            </a:solidFill>
            <a:latin typeface="+mj-lt"/>
          </a:endParaRPr>
        </a:p>
      </xdr:txBody>
    </xdr:sp>
    <xdr:clientData/>
  </xdr:twoCellAnchor>
  <xdr:twoCellAnchor editAs="oneCell">
    <xdr:from>
      <xdr:col>23</xdr:col>
      <xdr:colOff>54428</xdr:colOff>
      <xdr:row>5</xdr:row>
      <xdr:rowOff>21771</xdr:rowOff>
    </xdr:from>
    <xdr:to>
      <xdr:col>25</xdr:col>
      <xdr:colOff>468086</xdr:colOff>
      <xdr:row>27</xdr:row>
      <xdr:rowOff>108857</xdr:rowOff>
    </xdr:to>
    <mc:AlternateContent xmlns:mc="http://schemas.openxmlformats.org/markup-compatibility/2006" xmlns:a14="http://schemas.microsoft.com/office/drawing/2010/main">
      <mc:Choice Requires="a14">
        <xdr:graphicFrame macro="">
          <xdr:nvGraphicFramePr>
            <xdr:cNvPr id="42" name="Customer ID 2">
              <a:extLst>
                <a:ext uri="{FF2B5EF4-FFF2-40B4-BE49-F238E27FC236}">
                  <a16:creationId xmlns:a16="http://schemas.microsoft.com/office/drawing/2014/main" id="{37BEE1D4-9D47-4DDC-9B92-283A5F4DC3F6}"/>
                </a:ext>
              </a:extLst>
            </xdr:cNvPr>
            <xdr:cNvGraphicFramePr/>
          </xdr:nvGraphicFramePr>
          <xdr:xfrm>
            <a:off x="0" y="0"/>
            <a:ext cx="0" cy="0"/>
          </xdr:xfrm>
          <a:graphic>
            <a:graphicData uri="http://schemas.microsoft.com/office/drawing/2010/slicer">
              <sle:slicer xmlns:sle="http://schemas.microsoft.com/office/drawing/2010/slicer" name="Customer ID 2"/>
            </a:graphicData>
          </a:graphic>
        </xdr:graphicFrame>
      </mc:Choice>
      <mc:Fallback xmlns="">
        <xdr:sp macro="" textlink="">
          <xdr:nvSpPr>
            <xdr:cNvPr id="0" name=""/>
            <xdr:cNvSpPr>
              <a:spLocks noTextEdit="1"/>
            </xdr:cNvSpPr>
          </xdr:nvSpPr>
          <xdr:spPr>
            <a:xfrm>
              <a:off x="14075228" y="926646"/>
              <a:ext cx="1632858" cy="4068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32657</xdr:colOff>
      <xdr:row>27</xdr:row>
      <xdr:rowOff>141514</xdr:rowOff>
    </xdr:from>
    <xdr:to>
      <xdr:col>25</xdr:col>
      <xdr:colOff>522514</xdr:colOff>
      <xdr:row>34</xdr:row>
      <xdr:rowOff>32657</xdr:rowOff>
    </xdr:to>
    <mc:AlternateContent xmlns:mc="http://schemas.openxmlformats.org/markup-compatibility/2006" xmlns:a14="http://schemas.microsoft.com/office/drawing/2010/main">
      <mc:Choice Requires="a14">
        <xdr:graphicFrame macro="">
          <xdr:nvGraphicFramePr>
            <xdr:cNvPr id="43" name="Order Status 1">
              <a:extLst>
                <a:ext uri="{FF2B5EF4-FFF2-40B4-BE49-F238E27FC236}">
                  <a16:creationId xmlns:a16="http://schemas.microsoft.com/office/drawing/2014/main" id="{27FACB0F-02A9-40B2-9305-10505E148083}"/>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14053457" y="5027839"/>
              <a:ext cx="1709057" cy="1157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43543</xdr:colOff>
      <xdr:row>34</xdr:row>
      <xdr:rowOff>76198</xdr:rowOff>
    </xdr:from>
    <xdr:to>
      <xdr:col>25</xdr:col>
      <xdr:colOff>457200</xdr:colOff>
      <xdr:row>42</xdr:row>
      <xdr:rowOff>97970</xdr:rowOff>
    </xdr:to>
    <mc:AlternateContent xmlns:mc="http://schemas.openxmlformats.org/markup-compatibility/2006" xmlns:a14="http://schemas.microsoft.com/office/drawing/2010/main">
      <mc:Choice Requires="a14">
        <xdr:graphicFrame macro="">
          <xdr:nvGraphicFramePr>
            <xdr:cNvPr id="46" name="Payment Mode 1">
              <a:extLst>
                <a:ext uri="{FF2B5EF4-FFF2-40B4-BE49-F238E27FC236}">
                  <a16:creationId xmlns:a16="http://schemas.microsoft.com/office/drawing/2014/main" id="{D0FE039F-5B49-49E6-A7F8-AF8516E507B3}"/>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4064343" y="6229348"/>
              <a:ext cx="1632857" cy="1469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131233</xdr:colOff>
      <xdr:row>2</xdr:row>
      <xdr:rowOff>169333</xdr:rowOff>
    </xdr:from>
    <xdr:to>
      <xdr:col>24</xdr:col>
      <xdr:colOff>416983</xdr:colOff>
      <xdr:row>4</xdr:row>
      <xdr:rowOff>83607</xdr:rowOff>
    </xdr:to>
    <xdr:grpSp>
      <xdr:nvGrpSpPr>
        <xdr:cNvPr id="50" name="Group 49">
          <a:extLst>
            <a:ext uri="{FF2B5EF4-FFF2-40B4-BE49-F238E27FC236}">
              <a16:creationId xmlns:a16="http://schemas.microsoft.com/office/drawing/2014/main" id="{71DA77E1-34D9-D786-79B7-A8F499A75F94}"/>
            </a:ext>
          </a:extLst>
        </xdr:cNvPr>
        <xdr:cNvGrpSpPr/>
      </xdr:nvGrpSpPr>
      <xdr:grpSpPr>
        <a:xfrm>
          <a:off x="14761633" y="531283"/>
          <a:ext cx="285750" cy="276224"/>
          <a:chOff x="14761633" y="541866"/>
          <a:chExt cx="285750" cy="286808"/>
        </a:xfrm>
      </xdr:grpSpPr>
      <xdr:sp macro="" textlink="">
        <xdr:nvSpPr>
          <xdr:cNvPr id="48" name="Rectangle: Rounded Corners 47">
            <a:extLst>
              <a:ext uri="{FF2B5EF4-FFF2-40B4-BE49-F238E27FC236}">
                <a16:creationId xmlns:a16="http://schemas.microsoft.com/office/drawing/2014/main" id="{740330CC-AF74-56C6-B397-732DE7F43B0F}"/>
              </a:ext>
            </a:extLst>
          </xdr:cNvPr>
          <xdr:cNvSpPr/>
        </xdr:nvSpPr>
        <xdr:spPr>
          <a:xfrm>
            <a:off x="14761633" y="541866"/>
            <a:ext cx="285750" cy="286808"/>
          </a:xfrm>
          <a:prstGeom prst="roundRect">
            <a:avLst/>
          </a:prstGeom>
          <a:solidFill>
            <a:schemeClr val="tx1"/>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Flowchart: Merge 48">
            <a:extLst>
              <a:ext uri="{FF2B5EF4-FFF2-40B4-BE49-F238E27FC236}">
                <a16:creationId xmlns:a16="http://schemas.microsoft.com/office/drawing/2014/main" id="{598CE48E-A372-449D-A1E7-5AF5A022DD7A}"/>
              </a:ext>
            </a:extLst>
          </xdr:cNvPr>
          <xdr:cNvSpPr/>
        </xdr:nvSpPr>
        <xdr:spPr>
          <a:xfrm>
            <a:off x="14782800" y="618067"/>
            <a:ext cx="262467" cy="194736"/>
          </a:xfrm>
          <a:prstGeom prst="flowChartMerge">
            <a:avLst/>
          </a:prstGeom>
          <a:solidFill>
            <a:schemeClr val="bg1"/>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18</xdr:col>
      <xdr:colOff>323850</xdr:colOff>
      <xdr:row>41</xdr:row>
      <xdr:rowOff>66675</xdr:rowOff>
    </xdr:from>
    <xdr:to>
      <xdr:col>20</xdr:col>
      <xdr:colOff>419100</xdr:colOff>
      <xdr:row>43</xdr:row>
      <xdr:rowOff>9525</xdr:rowOff>
    </xdr:to>
    <xdr:sp macro="" textlink="">
      <xdr:nvSpPr>
        <xdr:cNvPr id="51" name="Rectangle: Rounded Corners 50">
          <a:hlinkClick xmlns:r="http://schemas.openxmlformats.org/officeDocument/2006/relationships" r:id="rId15"/>
          <a:extLst>
            <a:ext uri="{FF2B5EF4-FFF2-40B4-BE49-F238E27FC236}">
              <a16:creationId xmlns:a16="http://schemas.microsoft.com/office/drawing/2014/main" id="{9E97CFF6-AD5D-C4A6-660C-DACBC9B1AB2C}"/>
            </a:ext>
          </a:extLst>
        </xdr:cNvPr>
        <xdr:cNvSpPr/>
      </xdr:nvSpPr>
      <xdr:spPr>
        <a:xfrm>
          <a:off x="11296650" y="7486650"/>
          <a:ext cx="1314450" cy="304800"/>
        </a:xfrm>
        <a:prstGeom prst="roundRect">
          <a:avLst/>
        </a:prstGeom>
        <a:gradFill>
          <a:gsLst>
            <a:gs pos="1399">
              <a:schemeClr val="tx1">
                <a:lumMod val="65000"/>
                <a:lumOff val="35000"/>
              </a:schemeClr>
            </a:gs>
            <a:gs pos="0">
              <a:schemeClr val="tx1">
                <a:lumMod val="65000"/>
                <a:lumOff val="3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latin typeface="+mj-lt"/>
            </a:rPr>
            <a:t>Data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es2" refreshedDate="45883.712016435187" createdVersion="8" refreshedVersion="8" minRefreshableVersion="3" recordCount="800" xr:uid="{E598A1FC-00B7-40A8-BFB2-8ECA1DE267D0}">
  <cacheSource type="worksheet">
    <worksheetSource name="Data"/>
  </cacheSource>
  <cacheFields count="26">
    <cacheField name="Order ID" numFmtId="0">
      <sharedItems count="8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 v="ORD0351"/>
        <s v="ORD0352"/>
        <s v="ORD0353"/>
        <s v="ORD0354"/>
        <s v="ORD0355"/>
        <s v="ORD0356"/>
        <s v="ORD0357"/>
        <s v="ORD0358"/>
        <s v="ORD0359"/>
        <s v="ORD0360"/>
        <s v="ORD0361"/>
        <s v="ORD0362"/>
        <s v="ORD0363"/>
        <s v="ORD0364"/>
        <s v="ORD0365"/>
        <s v="ORD0366"/>
        <s v="ORD0367"/>
        <s v="ORD0368"/>
        <s v="ORD0369"/>
        <s v="ORD0370"/>
        <s v="ORD0371"/>
        <s v="ORD0372"/>
        <s v="ORD0373"/>
        <s v="ORD0374"/>
        <s v="ORD0375"/>
        <s v="ORD0376"/>
        <s v="ORD0377"/>
        <s v="ORD0378"/>
        <s v="ORD0379"/>
        <s v="ORD0380"/>
        <s v="ORD0381"/>
        <s v="ORD0382"/>
        <s v="ORD0383"/>
        <s v="ORD0384"/>
        <s v="ORD0385"/>
        <s v="ORD0386"/>
        <s v="ORD0387"/>
        <s v="ORD0388"/>
        <s v="ORD0389"/>
        <s v="ORD0390"/>
        <s v="ORD0391"/>
        <s v="ORD0392"/>
        <s v="ORD0393"/>
        <s v="ORD0394"/>
        <s v="ORD0395"/>
        <s v="ORD0396"/>
        <s v="ORD0397"/>
        <s v="ORD0398"/>
        <s v="ORD0399"/>
        <s v="ORD0400"/>
        <s v="ORD0401"/>
        <s v="ORD0402"/>
        <s v="ORD0403"/>
        <s v="ORD0404"/>
        <s v="ORD0405"/>
        <s v="ORD0406"/>
        <s v="ORD0407"/>
        <s v="ORD0408"/>
        <s v="ORD0409"/>
        <s v="ORD0410"/>
        <s v="ORD0411"/>
        <s v="ORD0412"/>
        <s v="ORD0413"/>
        <s v="ORD0414"/>
        <s v="ORD0415"/>
        <s v="ORD0416"/>
        <s v="ORD0417"/>
        <s v="ORD0418"/>
        <s v="ORD0419"/>
        <s v="ORD0420"/>
        <s v="ORD0421"/>
        <s v="ORD0422"/>
        <s v="ORD0423"/>
        <s v="ORD0424"/>
        <s v="ORD0425"/>
        <s v="ORD0426"/>
        <s v="ORD0427"/>
        <s v="ORD0428"/>
        <s v="ORD0429"/>
        <s v="ORD0430"/>
        <s v="ORD0431"/>
        <s v="ORD0432"/>
        <s v="ORD0433"/>
        <s v="ORD0434"/>
        <s v="ORD0435"/>
        <s v="ORD0436"/>
        <s v="ORD0437"/>
        <s v="ORD0438"/>
        <s v="ORD0439"/>
        <s v="ORD0440"/>
        <s v="ORD0441"/>
        <s v="ORD0442"/>
        <s v="ORD0443"/>
        <s v="ORD0444"/>
        <s v="ORD0445"/>
        <s v="ORD0446"/>
        <s v="ORD0447"/>
        <s v="ORD0448"/>
        <s v="ORD0449"/>
        <s v="ORD0450"/>
        <s v="ORD0451"/>
        <s v="ORD0452"/>
        <s v="ORD0453"/>
        <s v="ORD0454"/>
        <s v="ORD0455"/>
        <s v="ORD0456"/>
        <s v="ORD0457"/>
        <s v="ORD0458"/>
        <s v="ORD0459"/>
        <s v="ORD0460"/>
        <s v="ORD0461"/>
        <s v="ORD0462"/>
        <s v="ORD0463"/>
        <s v="ORD0464"/>
        <s v="ORD0465"/>
        <s v="ORD0466"/>
        <s v="ORD0467"/>
        <s v="ORD0468"/>
        <s v="ORD0469"/>
        <s v="ORD0470"/>
        <s v="ORD0471"/>
        <s v="ORD0472"/>
        <s v="ORD0473"/>
        <s v="ORD0474"/>
        <s v="ORD0475"/>
        <s v="ORD0476"/>
        <s v="ORD0477"/>
        <s v="ORD0478"/>
        <s v="ORD0479"/>
        <s v="ORD0480"/>
        <s v="ORD0481"/>
        <s v="ORD0482"/>
        <s v="ORD0483"/>
        <s v="ORD0484"/>
        <s v="ORD0485"/>
        <s v="ORD0486"/>
        <s v="ORD0487"/>
        <s v="ORD0488"/>
        <s v="ORD0489"/>
        <s v="ORD0490"/>
        <s v="ORD0491"/>
        <s v="ORD0492"/>
        <s v="ORD0493"/>
        <s v="ORD0494"/>
        <s v="ORD0495"/>
        <s v="ORD0496"/>
        <s v="ORD0497"/>
        <s v="ORD0498"/>
        <s v="ORD0499"/>
        <s v="ORD0500"/>
        <s v="ORD0501"/>
        <s v="ORD0502"/>
        <s v="ORD0503"/>
        <s v="ORD0504"/>
        <s v="ORD0505"/>
        <s v="ORD0506"/>
        <s v="ORD0507"/>
        <s v="ORD0508"/>
        <s v="ORD0509"/>
        <s v="ORD0510"/>
        <s v="ORD0511"/>
        <s v="ORD0512"/>
        <s v="ORD0513"/>
        <s v="ORD0514"/>
        <s v="ORD0515"/>
        <s v="ORD0516"/>
        <s v="ORD0517"/>
        <s v="ORD0518"/>
        <s v="ORD0519"/>
        <s v="ORD0520"/>
        <s v="ORD0521"/>
        <s v="ORD0522"/>
        <s v="ORD0523"/>
        <s v="ORD0524"/>
        <s v="ORD0525"/>
        <s v="ORD0526"/>
        <s v="ORD0527"/>
        <s v="ORD0528"/>
        <s v="ORD0529"/>
        <s v="ORD0530"/>
        <s v="ORD0531"/>
        <s v="ORD0532"/>
        <s v="ORD0533"/>
        <s v="ORD0534"/>
        <s v="ORD0535"/>
        <s v="ORD0536"/>
        <s v="ORD0537"/>
        <s v="ORD0538"/>
        <s v="ORD0539"/>
        <s v="ORD0540"/>
        <s v="ORD0541"/>
        <s v="ORD0542"/>
        <s v="ORD0543"/>
        <s v="ORD0544"/>
        <s v="ORD0545"/>
        <s v="ORD0546"/>
        <s v="ORD0547"/>
        <s v="ORD0548"/>
        <s v="ORD0549"/>
        <s v="ORD0550"/>
        <s v="ORD0551"/>
        <s v="ORD0552"/>
        <s v="ORD0553"/>
        <s v="ORD0554"/>
        <s v="ORD0555"/>
        <s v="ORD0556"/>
        <s v="ORD0557"/>
        <s v="ORD0558"/>
        <s v="ORD0559"/>
        <s v="ORD0560"/>
        <s v="ORD0561"/>
        <s v="ORD0562"/>
        <s v="ORD0563"/>
        <s v="ORD0564"/>
        <s v="ORD0565"/>
        <s v="ORD0566"/>
        <s v="ORD0567"/>
        <s v="ORD0568"/>
        <s v="ORD0569"/>
        <s v="ORD0570"/>
        <s v="ORD0571"/>
        <s v="ORD0572"/>
        <s v="ORD0573"/>
        <s v="ORD0574"/>
        <s v="ORD0575"/>
        <s v="ORD0576"/>
        <s v="ORD0577"/>
        <s v="ORD0578"/>
        <s v="ORD0579"/>
        <s v="ORD0580"/>
        <s v="ORD0581"/>
        <s v="ORD0582"/>
        <s v="ORD0583"/>
        <s v="ORD0584"/>
        <s v="ORD0585"/>
        <s v="ORD0586"/>
        <s v="ORD0587"/>
        <s v="ORD0588"/>
        <s v="ORD0589"/>
        <s v="ORD0590"/>
        <s v="ORD0591"/>
        <s v="ORD0592"/>
        <s v="ORD0593"/>
        <s v="ORD0594"/>
        <s v="ORD0595"/>
        <s v="ORD0596"/>
        <s v="ORD0597"/>
        <s v="ORD0598"/>
        <s v="ORD0599"/>
        <s v="ORD0600"/>
        <s v="ORD0601"/>
        <s v="ORD0602"/>
        <s v="ORD0603"/>
        <s v="ORD0604"/>
        <s v="ORD0605"/>
        <s v="ORD0606"/>
        <s v="ORD0607"/>
        <s v="ORD0608"/>
        <s v="ORD0609"/>
        <s v="ORD0610"/>
        <s v="ORD0611"/>
        <s v="ORD0612"/>
        <s v="ORD0613"/>
        <s v="ORD0614"/>
        <s v="ORD0615"/>
        <s v="ORD0616"/>
        <s v="ORD0617"/>
        <s v="ORD0618"/>
        <s v="ORD0619"/>
        <s v="ORD0620"/>
        <s v="ORD0621"/>
        <s v="ORD0622"/>
        <s v="ORD0623"/>
        <s v="ORD0624"/>
        <s v="ORD0625"/>
        <s v="ORD0626"/>
        <s v="ORD0627"/>
        <s v="ORD0628"/>
        <s v="ORD0629"/>
        <s v="ORD0630"/>
        <s v="ORD0631"/>
        <s v="ORD0632"/>
        <s v="ORD0633"/>
        <s v="ORD0634"/>
        <s v="ORD0635"/>
        <s v="ORD0636"/>
        <s v="ORD0637"/>
        <s v="ORD0638"/>
        <s v="ORD0639"/>
        <s v="ORD0640"/>
        <s v="ORD0641"/>
        <s v="ORD0642"/>
        <s v="ORD0643"/>
        <s v="ORD0644"/>
        <s v="ORD0645"/>
        <s v="ORD0646"/>
        <s v="ORD0647"/>
        <s v="ORD0648"/>
        <s v="ORD0649"/>
        <s v="ORD0650"/>
        <s v="ORD0651"/>
        <s v="ORD0652"/>
        <s v="ORD0653"/>
        <s v="ORD0654"/>
        <s v="ORD0655"/>
        <s v="ORD0656"/>
        <s v="ORD0657"/>
        <s v="ORD0658"/>
        <s v="ORD0659"/>
        <s v="ORD0660"/>
        <s v="ORD0661"/>
        <s v="ORD0662"/>
        <s v="ORD0663"/>
        <s v="ORD0664"/>
        <s v="ORD0665"/>
        <s v="ORD0666"/>
        <s v="ORD0667"/>
        <s v="ORD0668"/>
        <s v="ORD0669"/>
        <s v="ORD0670"/>
        <s v="ORD0671"/>
        <s v="ORD0672"/>
        <s v="ORD0673"/>
        <s v="ORD0674"/>
        <s v="ORD0675"/>
        <s v="ORD0676"/>
        <s v="ORD0677"/>
        <s v="ORD0678"/>
        <s v="ORD0679"/>
        <s v="ORD0680"/>
        <s v="ORD0681"/>
        <s v="ORD0682"/>
        <s v="ORD0683"/>
        <s v="ORD0684"/>
        <s v="ORD0685"/>
        <s v="ORD0686"/>
        <s v="ORD0687"/>
        <s v="ORD0688"/>
        <s v="ORD0689"/>
        <s v="ORD0690"/>
        <s v="ORD0691"/>
        <s v="ORD0692"/>
        <s v="ORD0693"/>
        <s v="ORD0694"/>
        <s v="ORD0695"/>
        <s v="ORD0696"/>
        <s v="ORD0697"/>
        <s v="ORD0698"/>
        <s v="ORD0699"/>
        <s v="ORD0700"/>
        <s v="ORD0701"/>
        <s v="ORD0702"/>
        <s v="ORD0703"/>
        <s v="ORD0704"/>
        <s v="ORD0705"/>
        <s v="ORD0706"/>
        <s v="ORD0707"/>
        <s v="ORD0708"/>
        <s v="ORD0709"/>
        <s v="ORD0710"/>
        <s v="ORD0711"/>
        <s v="ORD0712"/>
        <s v="ORD0713"/>
        <s v="ORD0714"/>
        <s v="ORD0715"/>
        <s v="ORD0716"/>
        <s v="ORD0717"/>
        <s v="ORD0718"/>
        <s v="ORD0719"/>
        <s v="ORD0720"/>
        <s v="ORD0721"/>
        <s v="ORD0722"/>
        <s v="ORD0723"/>
        <s v="ORD0724"/>
        <s v="ORD0725"/>
        <s v="ORD0726"/>
        <s v="ORD0727"/>
        <s v="ORD0728"/>
        <s v="ORD0729"/>
        <s v="ORD0730"/>
        <s v="ORD0731"/>
        <s v="ORD0732"/>
        <s v="ORD0733"/>
        <s v="ORD0734"/>
        <s v="ORD0735"/>
        <s v="ORD0736"/>
        <s v="ORD0737"/>
        <s v="ORD0738"/>
        <s v="ORD0739"/>
        <s v="ORD0740"/>
        <s v="ORD0741"/>
        <s v="ORD0742"/>
        <s v="ORD0743"/>
        <s v="ORD0744"/>
        <s v="ORD0745"/>
        <s v="ORD0746"/>
        <s v="ORD0747"/>
        <s v="ORD0748"/>
        <s v="ORD0749"/>
        <s v="ORD0750"/>
        <s v="ORD0751"/>
        <s v="ORD0752"/>
        <s v="ORD0753"/>
        <s v="ORD0754"/>
        <s v="ORD0755"/>
        <s v="ORD0756"/>
        <s v="ORD0757"/>
        <s v="ORD0758"/>
        <s v="ORD0759"/>
        <s v="ORD0760"/>
        <s v="ORD0761"/>
        <s v="ORD0762"/>
        <s v="ORD0763"/>
        <s v="ORD0764"/>
        <s v="ORD0765"/>
        <s v="ORD0766"/>
        <s v="ORD0767"/>
        <s v="ORD0768"/>
        <s v="ORD0769"/>
        <s v="ORD0770"/>
        <s v="ORD0771"/>
        <s v="ORD0772"/>
        <s v="ORD0773"/>
        <s v="ORD0774"/>
        <s v="ORD0775"/>
        <s v="ORD0776"/>
        <s v="ORD0777"/>
        <s v="ORD0778"/>
        <s v="ORD0779"/>
        <s v="ORD0780"/>
        <s v="ORD0781"/>
        <s v="ORD0782"/>
        <s v="ORD0783"/>
        <s v="ORD0784"/>
        <s v="ORD0785"/>
        <s v="ORD0786"/>
        <s v="ORD0787"/>
        <s v="ORD0788"/>
        <s v="ORD0789"/>
        <s v="ORD0790"/>
        <s v="ORD0791"/>
        <s v="ORD0792"/>
        <s v="ORD0793"/>
        <s v="ORD0794"/>
        <s v="ORD0795"/>
        <s v="ORD0796"/>
        <s v="ORD0797"/>
        <s v="ORD0798"/>
        <s v="ORD0799"/>
        <s v="ORD0800"/>
      </sharedItems>
    </cacheField>
    <cacheField name="Year" numFmtId="0">
      <sharedItems containsSemiMixedTypes="0" containsString="0" containsNumber="1" containsInteger="1" minValue="2024" maxValue="2025" count="2">
        <n v="2024"/>
        <n v="2025"/>
      </sharedItems>
    </cacheField>
    <cacheField name="Order Date" numFmtId="14">
      <sharedItems containsSemiMixedTypes="0" containsNonDate="0" containsDate="1" containsString="0" minDate="2024-01-01T00:00:00" maxDate="2025-08-02T00:00:00" count="431">
        <d v="2024-11-04T00:00:00"/>
        <d v="2024-10-26T00:00:00"/>
        <d v="2024-11-01T00:00:00"/>
        <d v="2024-06-30T00:00:00"/>
        <d v="2024-05-08T00:00:00"/>
        <d v="2024-01-16T00:00:00"/>
        <d v="2024-04-09T00:00:00"/>
        <d v="2024-09-09T00:00:00"/>
        <d v="2025-05-02T00:00:00"/>
        <d v="2024-04-24T00:00:00"/>
        <d v="2025-06-17T00:00:00"/>
        <d v="2024-03-08T00:00:00"/>
        <d v="2025-07-19T00:00:00"/>
        <d v="2025-01-25T00:00:00"/>
        <d v="2024-06-23T00:00:00"/>
        <d v="2024-02-26T00:00:00"/>
        <d v="2025-06-20T00:00:00"/>
        <d v="2025-04-20T00:00:00"/>
        <d v="2024-06-11T00:00:00"/>
        <d v="2024-12-05T00:00:00"/>
        <d v="2024-01-01T00:00:00"/>
        <d v="2024-04-15T00:00:00"/>
        <d v="2024-03-04T00:00:00"/>
        <d v="2024-01-24T00:00:00"/>
        <d v="2025-07-04T00:00:00"/>
        <d v="2024-11-22T00:00:00"/>
        <d v="2024-02-19T00:00:00"/>
        <d v="2024-02-13T00:00:00"/>
        <d v="2024-03-13T00:00:00"/>
        <d v="2024-02-18T00:00:00"/>
        <d v="2024-11-02T00:00:00"/>
        <d v="2024-05-27T00:00:00"/>
        <d v="2025-04-21T00:00:00"/>
        <d v="2024-02-10T00:00:00"/>
        <d v="2025-02-06T00:00:00"/>
        <d v="2024-04-08T00:00:00"/>
        <d v="2025-07-11T00:00:00"/>
        <d v="2024-08-06T00:00:00"/>
        <d v="2024-07-22T00:00:00"/>
        <d v="2024-09-02T00:00:00"/>
        <d v="2024-04-25T00:00:00"/>
        <d v="2024-07-11T00:00:00"/>
        <d v="2025-06-19T00:00:00"/>
        <d v="2025-06-03T00:00:00"/>
        <d v="2025-07-18T00:00:00"/>
        <d v="2024-08-12T00:00:00"/>
        <d v="2024-11-10T00:00:00"/>
        <d v="2024-04-12T00:00:00"/>
        <d v="2025-05-28T00:00:00"/>
        <d v="2024-03-27T00:00:00"/>
        <d v="2024-05-31T00:00:00"/>
        <d v="2024-02-08T00:00:00"/>
        <d v="2024-06-19T00:00:00"/>
        <d v="2024-01-19T00:00:00"/>
        <d v="2025-01-04T00:00:00"/>
        <d v="2025-01-02T00:00:00"/>
        <d v="2024-10-19T00:00:00"/>
        <d v="2024-08-10T00:00:00"/>
        <d v="2024-09-20T00:00:00"/>
        <d v="2025-04-05T00:00:00"/>
        <d v="2025-03-06T00:00:00"/>
        <d v="2025-07-28T00:00:00"/>
        <d v="2024-02-01T00:00:00"/>
        <d v="2024-10-08T00:00:00"/>
        <d v="2025-04-06T00:00:00"/>
        <d v="2025-05-04T00:00:00"/>
        <d v="2024-05-28T00:00:00"/>
        <d v="2025-02-21T00:00:00"/>
        <d v="2024-09-25T00:00:00"/>
        <d v="2025-06-16T00:00:00"/>
        <d v="2024-06-03T00:00:00"/>
        <d v="2024-05-06T00:00:00"/>
        <d v="2025-05-31T00:00:00"/>
        <d v="2024-01-05T00:00:00"/>
        <d v="2025-02-05T00:00:00"/>
        <d v="2024-04-23T00:00:00"/>
        <d v="2024-06-17T00:00:00"/>
        <d v="2024-06-10T00:00:00"/>
        <d v="2024-05-02T00:00:00"/>
        <d v="2024-02-07T00:00:00"/>
        <d v="2024-11-05T00:00:00"/>
        <d v="2025-01-23T00:00:00"/>
        <d v="2025-07-12T00:00:00"/>
        <d v="2025-01-14T00:00:00"/>
        <d v="2025-06-22T00:00:00"/>
        <d v="2025-03-02T00:00:00"/>
        <d v="2024-04-06T00:00:00"/>
        <d v="2025-02-18T00:00:00"/>
        <d v="2024-08-29T00:00:00"/>
        <d v="2024-09-28T00:00:00"/>
        <d v="2025-02-10T00:00:00"/>
        <d v="2024-01-27T00:00:00"/>
        <d v="2024-12-06T00:00:00"/>
        <d v="2024-11-14T00:00:00"/>
        <d v="2025-04-25T00:00:00"/>
        <d v="2025-03-05T00:00:00"/>
        <d v="2025-07-16T00:00:00"/>
        <d v="2024-11-13T00:00:00"/>
        <d v="2024-12-15T00:00:00"/>
        <d v="2025-07-03T00:00:00"/>
        <d v="2024-06-21T00:00:00"/>
        <d v="2024-12-09T00:00:00"/>
        <d v="2024-10-12T00:00:00"/>
        <d v="2024-03-30T00:00:00"/>
        <d v="2024-05-19T00:00:00"/>
        <d v="2024-11-07T00:00:00"/>
        <d v="2024-09-13T00:00:00"/>
        <d v="2024-02-11T00:00:00"/>
        <d v="2024-07-12T00:00:00"/>
        <d v="2024-10-10T00:00:00"/>
        <d v="2024-06-13T00:00:00"/>
        <d v="2025-01-12T00:00:00"/>
        <d v="2025-07-24T00:00:00"/>
        <d v="2024-07-20T00:00:00"/>
        <d v="2024-03-01T00:00:00"/>
        <d v="2024-06-15T00:00:00"/>
        <d v="2024-10-13T00:00:00"/>
        <d v="2025-05-25T00:00:00"/>
        <d v="2024-02-28T00:00:00"/>
        <d v="2024-09-14T00:00:00"/>
        <d v="2025-04-24T00:00:00"/>
        <d v="2024-01-12T00:00:00"/>
        <d v="2025-07-21T00:00:00"/>
        <d v="2024-06-24T00:00:00"/>
        <d v="2025-05-23T00:00:00"/>
        <d v="2024-11-12T00:00:00"/>
        <d v="2024-01-08T00:00:00"/>
        <d v="2025-03-10T00:00:00"/>
        <d v="2025-01-29T00:00:00"/>
        <d v="2024-12-30T00:00:00"/>
        <d v="2024-12-23T00:00:00"/>
        <d v="2024-12-29T00:00:00"/>
        <d v="2025-02-20T00:00:00"/>
        <d v="2024-09-10T00:00:00"/>
        <d v="2025-01-03T00:00:00"/>
        <d v="2024-08-21T00:00:00"/>
        <d v="2025-07-06T00:00:00"/>
        <d v="2024-03-12T00:00:00"/>
        <d v="2025-05-08T00:00:00"/>
        <d v="2024-05-20T00:00:00"/>
        <d v="2025-05-29T00:00:00"/>
        <d v="2025-02-14T00:00:00"/>
        <d v="2025-01-06T00:00:00"/>
        <d v="2025-06-24T00:00:00"/>
        <d v="2024-06-20T00:00:00"/>
        <d v="2024-10-16T00:00:00"/>
        <d v="2024-05-25T00:00:00"/>
        <d v="2024-02-20T00:00:00"/>
        <d v="2025-06-09T00:00:00"/>
        <d v="2024-07-21T00:00:00"/>
        <d v="2025-07-23T00:00:00"/>
        <d v="2024-11-03T00:00:00"/>
        <d v="2025-05-01T00:00:00"/>
        <d v="2025-02-25T00:00:00"/>
        <d v="2025-02-27T00:00:00"/>
        <d v="2025-01-30T00:00:00"/>
        <d v="2025-01-27T00:00:00"/>
        <d v="2024-02-04T00:00:00"/>
        <d v="2025-03-15T00:00:00"/>
        <d v="2024-05-23T00:00:00"/>
        <d v="2024-11-30T00:00:00"/>
        <d v="2025-01-10T00:00:00"/>
        <d v="2024-03-20T00:00:00"/>
        <d v="2024-04-26T00:00:00"/>
        <d v="2024-12-04T00:00:00"/>
        <d v="2025-03-23T00:00:00"/>
        <d v="2024-03-14T00:00:00"/>
        <d v="2024-08-04T00:00:00"/>
        <d v="2024-07-31T00:00:00"/>
        <d v="2024-12-07T00:00:00"/>
        <d v="2024-04-20T00:00:00"/>
        <d v="2024-03-19T00:00:00"/>
        <d v="2025-04-11T00:00:00"/>
        <d v="2024-02-25T00:00:00"/>
        <d v="2024-04-02T00:00:00"/>
        <d v="2025-05-12T00:00:00"/>
        <d v="2025-04-03T00:00:00"/>
        <d v="2024-02-17T00:00:00"/>
        <d v="2025-06-28T00:00:00"/>
        <d v="2025-02-11T00:00:00"/>
        <d v="2024-05-21T00:00:00"/>
        <d v="2024-07-09T00:00:00"/>
        <d v="2025-06-08T00:00:00"/>
        <d v="2025-05-03T00:00:00"/>
        <d v="2024-10-20T00:00:00"/>
        <d v="2024-05-15T00:00:00"/>
        <d v="2025-02-17T00:00:00"/>
        <d v="2024-08-05T00:00:00"/>
        <d v="2024-10-15T00:00:00"/>
        <d v="2024-04-21T00:00:00"/>
        <d v="2025-01-16T00:00:00"/>
        <d v="2024-10-21T00:00:00"/>
        <d v="2025-01-20T00:00:00"/>
        <d v="2025-05-10T00:00:00"/>
        <d v="2025-03-18T00:00:00"/>
        <d v="2024-07-10T00:00:00"/>
        <d v="2024-04-30T00:00:00"/>
        <d v="2024-09-07T00:00:00"/>
        <d v="2025-06-15T00:00:00"/>
        <d v="2024-07-29T00:00:00"/>
        <d v="2024-04-13T00:00:00"/>
        <d v="2024-12-10T00:00:00"/>
        <d v="2024-04-11T00:00:00"/>
        <d v="2024-07-16T00:00:00"/>
        <d v="2025-04-29T00:00:00"/>
        <d v="2025-01-19T00:00:00"/>
        <d v="2025-03-14T00:00:00"/>
        <d v="2025-07-01T00:00:00"/>
        <d v="2024-10-01T00:00:00"/>
        <d v="2024-06-07T00:00:00"/>
        <d v="2024-05-29T00:00:00"/>
        <d v="2024-01-10T00:00:00"/>
        <d v="2024-08-22T00:00:00"/>
        <d v="2024-10-27T00:00:00"/>
        <d v="2025-05-09T00:00:00"/>
        <d v="2024-10-05T00:00:00"/>
        <d v="2024-12-20T00:00:00"/>
        <d v="2024-04-05T00:00:00"/>
        <d v="2024-03-16T00:00:00"/>
        <d v="2024-09-06T00:00:00"/>
        <d v="2025-06-04T00:00:00"/>
        <d v="2025-02-15T00:00:00"/>
        <d v="2024-12-03T00:00:00"/>
        <d v="2024-09-19T00:00:00"/>
        <d v="2024-05-17T00:00:00"/>
        <d v="2024-02-22T00:00:00"/>
        <d v="2024-06-22T00:00:00"/>
        <d v="2025-04-01T00:00:00"/>
        <d v="2025-02-23T00:00:00"/>
        <d v="2024-08-01T00:00:00"/>
        <d v="2025-01-09T00:00:00"/>
        <d v="2025-05-22T00:00:00"/>
        <d v="2024-03-15T00:00:00"/>
        <d v="2024-03-02T00:00:00"/>
        <d v="2024-12-22T00:00:00"/>
        <d v="2024-06-26T00:00:00"/>
        <d v="2025-03-13T00:00:00"/>
        <d v="2024-09-24T00:00:00"/>
        <d v="2024-12-24T00:00:00"/>
        <d v="2024-07-05T00:00:00"/>
        <d v="2024-11-26T00:00:00"/>
        <d v="2024-06-01T00:00:00"/>
        <d v="2025-03-27T00:00:00"/>
        <d v="2024-05-05T00:00:00"/>
        <d v="2025-02-07T00:00:00"/>
        <d v="2024-08-13T00:00:00"/>
        <d v="2024-08-20T00:00:00"/>
        <d v="2025-03-12T00:00:00"/>
        <d v="2024-02-14T00:00:00"/>
        <d v="2024-06-02T00:00:00"/>
        <d v="2024-09-03T00:00:00"/>
        <d v="2024-07-30T00:00:00"/>
        <d v="2025-01-08T00:00:00"/>
        <d v="2024-07-27T00:00:00"/>
        <d v="2025-07-08T00:00:00"/>
        <d v="2024-07-19T00:00:00"/>
        <d v="2024-03-06T00:00:00"/>
        <d v="2025-06-26T00:00:00"/>
        <d v="2025-04-12T00:00:00"/>
        <d v="2025-07-27T00:00:00"/>
        <d v="2025-03-07T00:00:00"/>
        <d v="2024-03-25T00:00:00"/>
        <d v="2025-06-02T00:00:00"/>
        <d v="2024-10-24T00:00:00"/>
        <d v="2025-04-17T00:00:00"/>
        <d v="2024-09-01T00:00:00"/>
        <d v="2024-09-29T00:00:00"/>
        <d v="2024-07-26T00:00:00"/>
        <d v="2024-10-11T00:00:00"/>
        <d v="2024-06-08T00:00:00"/>
        <d v="2025-08-01T00:00:00"/>
        <d v="2025-01-28T00:00:00"/>
        <d v="2024-04-19T00:00:00"/>
        <d v="2024-01-11T00:00:00"/>
        <d v="2024-01-20T00:00:00"/>
        <d v="2024-08-31T00:00:00"/>
        <d v="2025-03-31T00:00:00"/>
        <d v="2025-05-07T00:00:00"/>
        <d v="2024-07-17T00:00:00"/>
        <d v="2025-07-10T00:00:00"/>
        <d v="2024-10-07T00:00:00"/>
        <d v="2024-05-12T00:00:00"/>
        <d v="2024-04-01T00:00:00"/>
        <d v="2025-07-26T00:00:00"/>
        <d v="2024-02-16T00:00:00"/>
        <d v="2024-09-16T00:00:00"/>
        <d v="2024-06-04T00:00:00"/>
        <d v="2025-03-19T00:00:00"/>
        <d v="2025-03-08T00:00:00"/>
        <d v="2025-06-29T00:00:00"/>
        <d v="2024-11-16T00:00:00"/>
        <d v="2025-03-20T00:00:00"/>
        <d v="2025-02-02T00:00:00"/>
        <d v="2025-04-30T00:00:00"/>
        <d v="2025-04-10T00:00:00"/>
        <d v="2024-06-06T00:00:00"/>
        <d v="2024-08-11T00:00:00"/>
        <d v="2025-05-24T00:00:00"/>
        <d v="2025-06-18T00:00:00"/>
        <d v="2024-06-12T00:00:00"/>
        <d v="2024-08-03T00:00:00"/>
        <d v="2024-10-02T00:00:00"/>
        <d v="2024-12-27T00:00:00"/>
        <d v="2024-02-27T00:00:00"/>
        <d v="2024-08-23T00:00:00"/>
        <d v="2024-09-30T00:00:00"/>
        <d v="2025-02-16T00:00:00"/>
        <d v="2024-10-29T00:00:00"/>
        <d v="2025-07-13T00:00:00"/>
        <d v="2025-06-07T00:00:00"/>
        <d v="2025-05-27T00:00:00"/>
        <d v="2024-12-18T00:00:00"/>
        <d v="2024-11-27T00:00:00"/>
        <d v="2025-07-02T00:00:00"/>
        <d v="2025-07-15T00:00:00"/>
        <d v="2024-01-25T00:00:00"/>
        <d v="2024-07-01T00:00:00"/>
        <d v="2025-06-25T00:00:00"/>
        <d v="2024-12-26T00:00:00"/>
        <d v="2024-08-02T00:00:00"/>
        <d v="2025-06-06T00:00:00"/>
        <d v="2024-12-02T00:00:00"/>
        <d v="2025-03-09T00:00:00"/>
        <d v="2024-01-30T00:00:00"/>
        <d v="2024-09-05T00:00:00"/>
        <d v="2024-09-26T00:00:00"/>
        <d v="2024-08-30T00:00:00"/>
        <d v="2025-05-05T00:00:00"/>
        <d v="2025-03-04T00:00:00"/>
        <d v="2025-04-02T00:00:00"/>
        <d v="2024-02-03T00:00:00"/>
        <d v="2025-05-14T00:00:00"/>
        <d v="2025-03-30T00:00:00"/>
        <d v="2025-01-07T00:00:00"/>
        <d v="2025-05-16T00:00:00"/>
        <d v="2024-04-07T00:00:00"/>
        <d v="2024-08-16T00:00:00"/>
        <d v="2024-12-08T00:00:00"/>
        <d v="2025-04-23T00:00:00"/>
        <d v="2024-03-03T00:00:00"/>
        <d v="2025-04-19T00:00:00"/>
        <d v="2025-05-06T00:00:00"/>
        <d v="2024-04-18T00:00:00"/>
        <d v="2025-03-03T00:00:00"/>
        <d v="2024-05-11T00:00:00"/>
        <d v="2025-04-16T00:00:00"/>
        <d v="2024-11-17T00:00:00"/>
        <d v="2024-01-18T00:00:00"/>
        <d v="2024-07-06T00:00:00"/>
        <d v="2024-08-26T00:00:00"/>
        <d v="2025-03-24T00:00:00"/>
        <d v="2025-07-20T00:00:00"/>
        <d v="2024-05-10T00:00:00"/>
        <d v="2025-03-17T00:00:00"/>
        <d v="2024-05-22T00:00:00"/>
        <d v="2025-06-30T00:00:00"/>
        <d v="2024-01-22T00:00:00"/>
        <d v="2024-04-16T00:00:00"/>
        <d v="2024-07-18T00:00:00"/>
        <d v="2024-12-01T00:00:00"/>
        <d v="2024-11-29T00:00:00"/>
        <d v="2025-03-28T00:00:00"/>
        <d v="2024-07-23T00:00:00"/>
        <d v="2024-01-07T00:00:00"/>
        <d v="2024-12-19T00:00:00"/>
        <d v="2024-01-04T00:00:00"/>
        <d v="2024-04-03T00:00:00"/>
        <d v="2025-03-25T00:00:00"/>
        <d v="2024-03-11T00:00:00"/>
        <d v="2024-04-29T00:00:00"/>
        <d v="2024-10-17T00:00:00"/>
        <d v="2024-05-03T00:00:00"/>
        <d v="2024-12-13T00:00:00"/>
        <d v="2024-10-28T00:00:00"/>
        <d v="2024-06-16T00:00:00"/>
        <d v="2025-01-18T00:00:00"/>
        <d v="2024-01-14T00:00:00"/>
        <d v="2025-03-21T00:00:00"/>
        <d v="2025-02-22T00:00:00"/>
        <d v="2024-12-14T00:00:00"/>
        <d v="2024-01-15T00:00:00"/>
        <d v="2024-11-06T00:00:00"/>
        <d v="2025-01-17T00:00:00"/>
        <d v="2024-08-15T00:00:00"/>
        <d v="2024-10-14T00:00:00"/>
        <d v="2024-12-17T00:00:00"/>
        <d v="2025-06-13T00:00:00"/>
        <d v="2024-11-09T00:00:00"/>
        <d v="2024-08-17T00:00:00"/>
        <d v="2024-01-29T00:00:00"/>
        <d v="2024-12-28T00:00:00"/>
        <d v="2025-04-28T00:00:00"/>
        <d v="2024-12-11T00:00:00"/>
        <d v="2024-09-18T00:00:00"/>
        <d v="2024-01-06T00:00:00"/>
        <d v="2024-03-29T00:00:00"/>
        <d v="2024-09-04T00:00:00"/>
        <d v="2025-02-19T00:00:00"/>
        <d v="2025-07-31T00:00:00"/>
        <d v="2024-09-21T00:00:00"/>
        <d v="2025-06-10T00:00:00"/>
        <d v="2024-11-28T00:00:00"/>
        <d v="2025-04-18T00:00:00"/>
        <d v="2024-12-25T00:00:00"/>
        <d v="2024-01-03T00:00:00"/>
        <d v="2024-02-15T00:00:00"/>
        <d v="2025-07-09T00:00:00"/>
        <d v="2024-03-09T00:00:00"/>
        <d v="2024-02-23T00:00:00"/>
        <d v="2024-02-05T00:00:00"/>
        <d v="2025-03-11T00:00:00"/>
        <d v="2025-01-22T00:00:00"/>
        <d v="2024-08-07T00:00:00"/>
        <d v="2025-05-19T00:00:00"/>
        <d v="2024-03-07T00:00:00"/>
        <d v="2024-10-04T00:00:00"/>
        <d v="2024-02-02T00:00:00"/>
        <d v="2025-03-22T00:00:00"/>
        <d v="2024-09-08T00:00:00"/>
        <d v="2025-03-01T00:00:00"/>
        <d v="2024-01-31T00:00:00"/>
        <d v="2025-04-07T00:00:00"/>
        <d v="2024-03-10T00:00:00"/>
        <d v="2025-07-05T00:00:00"/>
        <d v="2024-10-06T00:00:00"/>
        <d v="2024-01-09T00:00:00"/>
        <d v="2025-04-14T00:00:00"/>
        <d v="2024-04-10T00:00:00"/>
        <d v="2024-04-14T00:00:00"/>
        <d v="2025-01-21T00:00:00"/>
        <d v="2024-10-25T00:00:00"/>
      </sharedItems>
      <fieldGroup par="24"/>
    </cacheField>
    <cacheField name="Customer Name" numFmtId="0">
      <sharedItems count="10">
        <s v="Amit Sharma"/>
        <s v="Ravi Kumar"/>
        <s v="Vikram Joshi"/>
        <s v="Meera Nair"/>
        <s v="Pooja Reddy"/>
        <s v="Sanya Mehra"/>
        <s v="Priya Singh"/>
        <s v="Arjun Verma"/>
        <s v="Karan Gupta"/>
        <s v="Neha Patel"/>
      </sharedItems>
    </cacheField>
    <cacheField name="Customer ID" numFmtId="0">
      <sharedItems count="537">
        <s v="CUST353"/>
        <s v="CUST812"/>
        <s v="CUST285"/>
        <s v="CUST656"/>
        <s v="CUST299"/>
        <s v="CUST152"/>
        <s v="CUST153"/>
        <s v="CUST600"/>
        <s v="CUST676"/>
        <s v="CUST112"/>
        <s v="CUST120"/>
        <s v="CUST448"/>
        <s v="CUST916"/>
        <s v="CUST788"/>
        <s v="CUST962"/>
        <s v="CUST814"/>
        <s v="CUST752"/>
        <s v="CUST484"/>
        <s v="CUST919"/>
        <s v="CUST546"/>
        <s v="CUST645"/>
        <s v="CUST494"/>
        <s v="CUST602"/>
        <s v="CUST899"/>
        <s v="CUST366"/>
        <s v="CUST662"/>
        <s v="CUST351"/>
        <s v="CUST435"/>
        <s v="CUST324"/>
        <s v="CUST718"/>
        <s v="CUST736"/>
        <s v="CUST277"/>
        <s v="CUST517"/>
        <s v="CUST850"/>
        <s v="CUST219"/>
        <s v="CUST867"/>
        <s v="CUST818"/>
        <s v="CUST476"/>
        <s v="CUST592"/>
        <s v="CUST580"/>
        <s v="CUST846"/>
        <s v="CUST278"/>
        <s v="CUST614"/>
        <s v="CUST640"/>
        <s v="CUST141"/>
        <s v="CUST800"/>
        <s v="CUST586"/>
        <s v="CUST493"/>
        <s v="CUST155"/>
        <s v="CUST920"/>
        <s v="CUST547"/>
        <s v="CUST852"/>
        <s v="CUST609"/>
        <s v="CUST140"/>
        <s v="CUST827"/>
        <s v="CUST668"/>
        <s v="CUST598"/>
        <s v="CUST471"/>
        <s v="CUST666"/>
        <s v="CUST255"/>
        <s v="CUST785"/>
        <s v="CUST849"/>
        <s v="CUST896"/>
        <s v="CUST224"/>
        <s v="CUST591"/>
        <s v="CUST389"/>
        <s v="CUST696"/>
        <s v="CUST513"/>
        <s v="CUST857"/>
        <s v="CUST957"/>
        <s v="CUST402"/>
        <s v="CUST750"/>
        <s v="CUST503"/>
        <s v="CUST447"/>
        <s v="CUST954"/>
        <s v="CUST427"/>
        <s v="CUST496"/>
        <s v="CUST130"/>
        <s v="CUST771"/>
        <s v="CUST502"/>
        <s v="CUST803"/>
        <s v="CUST237"/>
        <s v="CUST615"/>
        <s v="CUST103"/>
        <s v="CUST176"/>
        <s v="CUST281"/>
        <s v="CUST127"/>
        <s v="CUST927"/>
        <s v="CUST769"/>
        <s v="CUST571"/>
        <s v="CUST511"/>
        <s v="CUST457"/>
        <s v="CUST832"/>
        <s v="CUST859"/>
        <s v="CUST934"/>
        <s v="CUST253"/>
        <s v="CUST734"/>
        <s v="CUST380"/>
        <s v="CUST594"/>
        <s v="CUST661"/>
        <s v="CUST669"/>
        <s v="CUST843"/>
        <s v="CUST365"/>
        <s v="CUST282"/>
        <s v="CUST765"/>
        <s v="CUST332"/>
        <s v="CUST300"/>
        <s v="CUST686"/>
        <s v="CUST648"/>
        <s v="CUST998"/>
        <s v="CUST139"/>
        <s v="CUST702"/>
        <s v="CUST350"/>
        <s v="CUST455"/>
        <s v="CUST316"/>
        <s v="CUST879"/>
        <s v="CUST116"/>
        <s v="CUST202"/>
        <s v="CUST942"/>
        <s v="CUST551"/>
        <s v="CUST118"/>
        <s v="CUST104"/>
        <s v="CUST423"/>
        <s v="CUST993"/>
        <s v="CUST719"/>
        <s v="CUST650"/>
        <s v="CUST938"/>
        <s v="CUST315"/>
        <s v="CUST722"/>
        <s v="CUST623"/>
        <s v="CUST178"/>
        <s v="CUST888"/>
        <s v="CUST523"/>
        <s v="CUST930"/>
        <s v="CUST188"/>
        <s v="CUST739"/>
        <s v="CUST628"/>
        <s v="CUST287"/>
        <s v="CUST612"/>
        <s v="CUST740"/>
        <s v="CUST480"/>
        <s v="CUST653"/>
        <s v="CUST646"/>
        <s v="CUST167"/>
        <s v="CUST970"/>
        <s v="CUST488"/>
        <s v="CUST449"/>
        <s v="CUST893"/>
        <s v="CUST590"/>
        <s v="CUST618"/>
        <s v="CUST717"/>
        <s v="CUST387"/>
        <s v="CUST102"/>
        <s v="CUST394"/>
        <s v="CUST225"/>
        <s v="CUST725"/>
        <s v="CUST420"/>
        <s v="CUST143"/>
        <s v="CUST436"/>
        <s v="CUST692"/>
        <s v="CUST267"/>
        <s v="CUST797"/>
        <s v="CUST983"/>
        <s v="CUST464"/>
        <s v="CUST608"/>
        <s v="CUST312"/>
        <s v="CUST305"/>
        <s v="CUST500"/>
        <s v="CUST147"/>
        <s v="CUST296"/>
        <s v="CUST616"/>
        <s v="CUST593"/>
        <s v="CUST985"/>
        <s v="CUST909"/>
        <s v="CUST767"/>
        <s v="CUST313"/>
        <s v="CUST912"/>
        <s v="CUST144"/>
        <s v="CUST940"/>
        <s v="CUST492"/>
        <s v="CUST460"/>
        <s v="CUST565"/>
        <s v="CUST160"/>
        <s v="CUST805"/>
        <s v="CUST660"/>
        <s v="CUST759"/>
        <s v="CUST989"/>
        <s v="CUST342"/>
        <s v="CUST833"/>
        <s v="CUST848"/>
        <s v="CUST828"/>
        <s v="CUST138"/>
        <s v="CUST223"/>
        <s v="CUST416"/>
        <s v="CUST601"/>
        <s v="CUST337"/>
        <s v="CUST619"/>
        <s v="CUST869"/>
        <s v="CUST988"/>
        <s v="CUST269"/>
        <s v="CUST508"/>
        <s v="CUST693"/>
        <s v="CUST226"/>
        <s v="CUST999"/>
        <s v="CUST451"/>
        <s v="CUST136"/>
        <s v="CUST691"/>
        <s v="CUST858"/>
        <s v="CUST367"/>
        <s v="CUST528"/>
        <s v="CUST440"/>
        <s v="CUST649"/>
        <s v="CUST163"/>
        <s v="CUST773"/>
        <s v="CUST341"/>
        <s v="CUST711"/>
        <s v="CUST290"/>
        <s v="CUST206"/>
        <s v="CUST195"/>
        <s v="CUST929"/>
        <s v="CUST543"/>
        <s v="CUST728"/>
        <s v="CUST322"/>
        <s v="CUST466"/>
        <s v="CUST634"/>
        <s v="CUST872"/>
        <s v="CUST642"/>
        <s v="CUST795"/>
        <s v="CUST583"/>
        <s v="CUST746"/>
        <s v="CUST169"/>
        <s v="CUST437"/>
        <s v="CUST475"/>
        <s v="CUST129"/>
        <s v="CUST228"/>
        <s v="CUST346"/>
        <s v="CUST215"/>
        <s v="CUST314"/>
        <s v="CUST994"/>
        <s v="CUST976"/>
        <s v="CUST689"/>
        <s v="CUST507"/>
        <s v="CUST604"/>
        <s v="CUST411"/>
        <s v="CUST963"/>
        <s v="CUST777"/>
        <s v="CUST844"/>
        <s v="CUST399"/>
        <s v="CUST732"/>
        <s v="CUST400"/>
        <s v="CUST809"/>
        <s v="CUST553"/>
        <s v="CUST935"/>
        <s v="CUST961"/>
        <s v="CUST473"/>
        <s v="CUST294"/>
        <s v="CUST358"/>
        <s v="CUST236"/>
        <s v="CUST196"/>
        <s v="CUST945"/>
        <s v="CUST573"/>
        <s v="CUST854"/>
        <s v="CUST823"/>
        <s v="CUST624"/>
        <s v="CUST705"/>
        <s v="CUST498"/>
        <s v="CUST824"/>
        <s v="CUST751"/>
        <s v="CUST157"/>
        <s v="CUST159"/>
        <s v="CUST712"/>
        <s v="CUST644"/>
        <s v="CUST113"/>
        <s v="CUST520"/>
        <s v="CUST820"/>
        <s v="CUST674"/>
        <s v="CUST946"/>
        <s v="CUST429"/>
        <s v="CUST637"/>
        <s v="CUST522"/>
        <s v="CUST544"/>
        <s v="CUST978"/>
        <s v="CUST684"/>
        <s v="CUST860"/>
        <s v="CUST941"/>
        <s v="CUST504"/>
        <s v="CUST796"/>
        <s v="CUST768"/>
        <s v="CUST631"/>
        <s v="CUST552"/>
        <s v="CUST863"/>
        <s v="CUST620"/>
        <s v="CUST956"/>
        <s v="CUST906"/>
        <s v="CUST900"/>
        <s v="CUST576"/>
        <s v="CUST246"/>
        <s v="CUST895"/>
        <s v="CUST780"/>
        <s v="CUST841"/>
        <s v="CUST939"/>
        <s v="CUST688"/>
        <s v="CUST882"/>
        <s v="CUST891"/>
        <s v="CUST789"/>
        <s v="CUST419"/>
        <s v="CUST519"/>
        <s v="CUST151"/>
        <s v="CUST678"/>
        <s v="CUST412"/>
        <s v="CUST174"/>
        <s v="CUST996"/>
        <s v="CUST926"/>
        <s v="CUST227"/>
        <s v="CUST231"/>
        <s v="CUST108"/>
        <s v="CUST911"/>
        <s v="CUST659"/>
        <s v="CUST802"/>
        <s v="CUST901"/>
        <s v="CUST531"/>
        <s v="CUST467"/>
        <s v="CUST677"/>
        <s v="CUST683"/>
        <s v="CUST723"/>
        <s v="CUST792"/>
        <s v="CUST434"/>
        <s v="CUST274"/>
        <s v="CUST980"/>
        <s v="CUST126"/>
        <s v="CUST257"/>
        <s v="CUST898"/>
        <s v="CUST704"/>
        <s v="CUST887"/>
        <s v="CUST625"/>
        <s v="CUST572"/>
        <s v="CUST441"/>
        <s v="CUST910"/>
        <s v="CUST428"/>
        <s v="CUST949"/>
        <s v="CUST485"/>
        <s v="CUST525"/>
        <s v="CUST545"/>
        <s v="CUST981"/>
        <s v="CUST589"/>
        <s v="CUST170"/>
        <s v="CUST680"/>
        <s v="CUST588"/>
        <s v="CUST512"/>
        <s v="CUST241"/>
        <s v="CUST885"/>
        <s v="CUST349"/>
        <s v="CUST745"/>
        <s v="CUST286"/>
        <s v="CUST868"/>
        <s v="CUST459"/>
        <s v="CUST221"/>
        <s v="CUST923"/>
        <s v="CUST426"/>
        <s v="CUST398"/>
        <s v="CUST191"/>
        <s v="CUST372"/>
        <s v="CUST335"/>
        <s v="CUST742"/>
        <s v="CUST729"/>
        <s v="CUST404"/>
        <s v="CUST537"/>
        <s v="CUST638"/>
        <s v="CUST292"/>
        <s v="CUST761"/>
        <s v="CUST190"/>
        <s v="CUST156"/>
        <s v="CUST164"/>
        <s v="CUST873"/>
        <s v="CUST465"/>
        <s v="CUST821"/>
        <s v="CUST779"/>
        <s v="CUST181"/>
        <s v="CUST362"/>
        <s v="CUST110"/>
        <s v="CUST866"/>
        <s v="CUST474"/>
        <s v="CUST377"/>
        <s v="CUST518"/>
        <s v="CUST672"/>
        <s v="CUST148"/>
        <s v="CUST254"/>
        <s v="CUST397"/>
        <s v="CUST808"/>
        <s v="CUST123"/>
        <s v="CUST550"/>
        <s v="CUST813"/>
        <s v="CUST422"/>
        <s v="CUST433"/>
        <s v="CUST291"/>
        <s v="CUST418"/>
        <s v="CUST714"/>
        <s v="CUST306"/>
        <s v="CUST487"/>
        <s v="CUST107"/>
        <s v="CUST726"/>
        <s v="CUST690"/>
        <s v="CUST890"/>
        <s v="CUST555"/>
        <s v="CUST577"/>
        <s v="CUST371"/>
        <s v="CUST878"/>
        <s v="CUST233"/>
        <s v="CUST359"/>
        <s v="CUST378"/>
        <s v="CUST320"/>
        <s v="CUST695"/>
        <s v="CUST756"/>
        <s v="CUST951"/>
        <s v="CUST431"/>
        <s v="CUST799"/>
        <s v="CUST472"/>
        <s v="CUST210"/>
        <s v="CUST922"/>
        <s v="CUST532"/>
        <s v="CUST288"/>
        <s v="CUST443"/>
        <s v="CUST497"/>
        <s v="CUST438"/>
        <s v="CUST302"/>
        <s v="CUST921"/>
        <s v="CUST238"/>
        <s v="CUST539"/>
        <s v="CUST856"/>
        <s v="CUST270"/>
        <s v="CUST117"/>
        <s v="CUST984"/>
        <s v="CUST563"/>
        <s v="CUST720"/>
        <s v="CUST357"/>
        <s v="CUST199"/>
        <s v="CUST486"/>
        <s v="CUST673"/>
        <s v="CUST724"/>
        <s v="CUST596"/>
        <s v="CUST880"/>
        <s v="CUST794"/>
        <s v="CUST778"/>
        <s v="CUST937"/>
        <s v="CUST211"/>
        <s v="CUST840"/>
        <s v="CUST414"/>
        <s v="CUST538"/>
        <s v="CUST864"/>
        <s v="CUST364"/>
        <s v="CUST990"/>
        <s v="CUST541"/>
        <s v="CUST242"/>
        <s v="CUST822"/>
        <s v="CUST220"/>
        <s v="CUST406"/>
        <s v="CUST709"/>
        <s v="CUST904"/>
        <s v="CUST425"/>
        <s v="CUST708"/>
        <s v="CUST766"/>
        <s v="CUST825"/>
        <s v="CUST570"/>
        <s v="CUST249"/>
        <s v="CUST469"/>
        <s v="CUST700"/>
        <s v="CUST842"/>
        <s v="CUST636"/>
        <s v="CUST150"/>
        <s v="CUST239"/>
        <s v="CUST770"/>
        <s v="CUST979"/>
        <s v="CUST913"/>
        <s v="CUST318"/>
        <s v="CUST339"/>
        <s v="CUST450"/>
        <s v="CUST297"/>
        <s v="CUST189"/>
        <s v="CUST182"/>
        <s v="CUST356"/>
        <s v="CUST903"/>
        <s v="CUST966"/>
        <s v="CUST578"/>
        <s v="CUST667"/>
        <s v="CUST505"/>
        <s v="CUST534"/>
        <s v="CUST177"/>
        <s v="CUST772"/>
        <s v="CUST247"/>
        <s v="CUST477"/>
        <s v="CUST482"/>
        <s v="CUST235"/>
        <s v="CUST948"/>
        <s v="CUST392"/>
        <s v="CUST454"/>
        <s v="CUST383"/>
        <s v="CUST208"/>
        <s v="CUST557"/>
        <s v="CUST515"/>
        <s v="CUST308"/>
        <s v="CUST964"/>
        <s v="CUST663"/>
        <s v="CUST902"/>
        <s v="CUST256"/>
        <s v="CUST703"/>
        <s v="CUST955"/>
        <s v="CUST881"/>
        <s v="CUST283"/>
        <s v="CUST218"/>
        <s v="CUST317"/>
        <s v="CUST293"/>
        <s v="CUST782"/>
        <s v="CUST851"/>
        <s v="CUST855"/>
        <s v="CUST791"/>
        <s v="CUST375"/>
        <s v="CUST831"/>
        <s v="CUST154"/>
        <s v="CUST338"/>
        <s v="CUST384"/>
        <s v="CUST931"/>
        <s v="CUST495"/>
        <s v="CUST137"/>
        <s v="CUST391"/>
        <s v="CUST801"/>
        <s v="CUST135"/>
        <s v="CUST599"/>
        <s v="CUST336"/>
        <s v="CUST559"/>
        <s v="CUST453"/>
        <s v="CUST158"/>
        <s v="CUST967"/>
        <s v="CUST516"/>
        <s v="CUST974"/>
        <s v="CUST348"/>
        <s v="CUST355"/>
        <s v="CUST829"/>
      </sharedItems>
    </cacheField>
    <cacheField name="Mobile No" numFmtId="0">
      <sharedItems/>
    </cacheField>
    <cacheField name="Country" numFmtId="0">
      <sharedItems count="1">
        <s v="India"/>
      </sharedItems>
    </cacheField>
    <cacheField name="City" numFmtId="0">
      <sharedItems/>
    </cacheField>
    <cacheField name="State" numFmtId="0">
      <sharedItems count="10">
        <s v="Delhi"/>
        <s v="Uttar Pradesh"/>
        <s v="West Bengal"/>
        <s v="Rajasthan"/>
        <s v="Punjab"/>
        <s v="Gujarat"/>
        <s v="Maharashtra"/>
        <s v="Tamil Nadu"/>
        <s v="Karnataka"/>
        <s v="Telangana"/>
      </sharedItems>
    </cacheField>
    <cacheField name="Region" numFmtId="0">
      <sharedItems count="4">
        <s v="East"/>
        <s v="West"/>
        <s v="South"/>
        <s v="North"/>
      </sharedItems>
    </cacheField>
    <cacheField name="Product Name" numFmtId="0">
      <sharedItems count="28">
        <s v="Garmin Venu 2"/>
        <s v="Asus ROG Zephyrus"/>
        <s v="Samsung Galaxy Watch 5"/>
        <s v="Lenovo Tab P12"/>
        <s v="Apple Watch Series 8"/>
        <s v="MacBook Air M2"/>
        <s v="Xiaomi Mi 13"/>
        <s v="Bose QC45"/>
        <s v="OnePlus TV 50"/>
        <s v="iPhone 14"/>
        <s v="OnePlus 11"/>
        <s v="Lenovo ThinkPad X1"/>
        <s v="iPad Pro"/>
        <s v="Xiaomi Mi TV 55"/>
        <s v="Dell XPS 15"/>
        <s v="JBL Flip 6"/>
        <s v="Samsung QLED 65"/>
        <s v="Microsoft Surface Go"/>
        <s v="HP Spectre x360"/>
        <s v="Google Pixel 7"/>
        <s v="Samsung Galaxy Tab S8"/>
        <s v="Sony Bravia 55"/>
        <s v="Fitbit Sense 2"/>
        <s v="Apple AirPods Pro"/>
        <s v="Samsung Galaxy Buds2 Pro"/>
        <s v="Samsung Galaxy S23"/>
        <s v="Sony WH-1000XM5"/>
        <s v="LG OLED 55"/>
      </sharedItems>
    </cacheField>
    <cacheField name="Product Category" numFmtId="0">
      <sharedItems count="6">
        <s v="Wearables"/>
        <s v="Laptops"/>
        <s v="Tablets"/>
        <s v="Smartphones"/>
        <s v="Audio"/>
        <s v="Televisions"/>
      </sharedItems>
    </cacheField>
    <cacheField name="Brand" numFmtId="0">
      <sharedItems count="12">
        <s v="OnePlus"/>
        <s v="JBL"/>
        <s v="Bose"/>
        <s v="HP"/>
        <s v="Sony"/>
        <s v="Asus"/>
        <s v="Xiaomi"/>
        <s v="Samsung"/>
        <s v="LG"/>
        <s v="Lenovo"/>
        <s v="Dell"/>
        <s v="Apple"/>
      </sharedItems>
    </cacheField>
    <cacheField name="Quantity Ordered" numFmtId="0">
      <sharedItems containsSemiMixedTypes="0" containsString="0" containsNumber="1" containsInteger="1" minValue="1" maxValue="5"/>
    </cacheField>
    <cacheField name="Unit Price" numFmtId="0">
      <sharedItems containsSemiMixedTypes="0" containsString="0" containsNumber="1" containsInteger="1" minValue="77440" maxValue="77440"/>
    </cacheField>
    <cacheField name="Total Sales" numFmtId="0">
      <sharedItems containsSemiMixedTypes="0" containsString="0" containsNumber="1" containsInteger="1" minValue="77440" maxValue="387200"/>
    </cacheField>
    <cacheField name="Discount %" numFmtId="0">
      <sharedItems containsSemiMixedTypes="0" containsString="0" containsNumber="1" containsInteger="1" minValue="0" maxValue="20"/>
    </cacheField>
    <cacheField name="Discounted Price" numFmtId="0">
      <sharedItems containsSemiMixedTypes="0" containsString="0" containsNumber="1" containsInteger="1" minValue="61952" maxValue="387200"/>
    </cacheField>
    <cacheField name="Payment Mode" numFmtId="0">
      <sharedItems count="4">
        <s v="UPI"/>
        <s v="Credit Card"/>
        <s v="Google Pay"/>
        <s v="Cash"/>
      </sharedItems>
    </cacheField>
    <cacheField name="Order Status" numFmtId="0">
      <sharedItems count="3">
        <s v="Pending"/>
        <s v="Cancelled"/>
        <s v="Delivered"/>
      </sharedItems>
    </cacheField>
    <cacheField name="Delivery Date" numFmtId="14">
      <sharedItems containsDate="1" containsMixedTypes="1" minDate="2024-01-08T00:00:00" maxDate="2025-08-01T00:00:00"/>
    </cacheField>
    <cacheField name="Profit" numFmtId="0">
      <sharedItems containsSemiMixedTypes="0" containsString="0" containsNumber="1" containsInteger="1" minValue="11616" maxValue="58080"/>
    </cacheField>
    <cacheField name="Months (Order Date)" numFmtId="0" databaseField="0">
      <fieldGroup base="2">
        <rangePr groupBy="months" startDate="2024-01-01T00:00:00" endDate="2025-08-02T00:00:00"/>
        <groupItems count="14">
          <s v="&lt;01-01-24"/>
          <s v="Jan"/>
          <s v="Feb"/>
          <s v="Mar"/>
          <s v="Apr"/>
          <s v="May"/>
          <s v="Jun"/>
          <s v="Jul"/>
          <s v="Aug"/>
          <s v="Sep"/>
          <s v="Oct"/>
          <s v="Nov"/>
          <s v="Dec"/>
          <s v="&gt;02-08-25"/>
        </groupItems>
      </fieldGroup>
    </cacheField>
    <cacheField name="Quarters (Order Date)" numFmtId="0" databaseField="0">
      <fieldGroup base="2">
        <rangePr groupBy="quarters" startDate="2024-01-01T00:00:00" endDate="2025-08-02T00:00:00"/>
        <groupItems count="6">
          <s v="&lt;01-01-24"/>
          <s v="Qtr1"/>
          <s v="Qtr2"/>
          <s v="Qtr3"/>
          <s v="Qtr4"/>
          <s v="&gt;02-08-25"/>
        </groupItems>
      </fieldGroup>
    </cacheField>
    <cacheField name="Years (Order Date)" numFmtId="0" databaseField="0">
      <fieldGroup base="2">
        <rangePr groupBy="years" startDate="2024-01-01T00:00:00" endDate="2025-08-02T00:00:00"/>
        <groupItems count="4">
          <s v="&lt;01-01-24"/>
          <s v="2024"/>
          <s v="2025"/>
          <s v="&gt;02-08-25"/>
        </groupItems>
      </fieldGroup>
    </cacheField>
    <cacheField name="Profit Margin" numFmtId="0" formula="Profit/'Total Sales'" databaseField="0"/>
  </cacheFields>
  <extLst>
    <ext xmlns:x14="http://schemas.microsoft.com/office/spreadsheetml/2009/9/main" uri="{725AE2AE-9491-48be-B2B4-4EB974FC3084}">
      <x14:pivotCacheDefinition pivotCacheId="944474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x v="0"/>
    <x v="0"/>
    <x v="0"/>
    <x v="0"/>
    <x v="0"/>
    <s v="+917527051270"/>
    <x v="0"/>
    <s v="New Delhi"/>
    <x v="0"/>
    <x v="0"/>
    <x v="0"/>
    <x v="0"/>
    <x v="0"/>
    <n v="1"/>
    <n v="77440"/>
    <n v="77440"/>
    <n v="10"/>
    <n v="69696"/>
    <x v="0"/>
    <x v="0"/>
    <s v="Not Delivered"/>
    <n v="11616"/>
  </r>
  <r>
    <x v="1"/>
    <x v="0"/>
    <x v="1"/>
    <x v="1"/>
    <x v="1"/>
    <s v="+917011047457"/>
    <x v="0"/>
    <s v="Noida"/>
    <x v="1"/>
    <x v="1"/>
    <x v="1"/>
    <x v="1"/>
    <x v="1"/>
    <n v="1"/>
    <n v="77440"/>
    <n v="77440"/>
    <n v="5"/>
    <n v="73568"/>
    <x v="1"/>
    <x v="0"/>
    <s v="Not Delivered"/>
    <n v="11616"/>
  </r>
  <r>
    <x v="2"/>
    <x v="0"/>
    <x v="2"/>
    <x v="2"/>
    <x v="2"/>
    <s v="+919253926725"/>
    <x v="0"/>
    <s v="Kanpur"/>
    <x v="1"/>
    <x v="0"/>
    <x v="2"/>
    <x v="0"/>
    <x v="1"/>
    <n v="1"/>
    <n v="77440"/>
    <n v="77440"/>
    <n v="0"/>
    <n v="77440"/>
    <x v="2"/>
    <x v="1"/>
    <s v="Not Delivered"/>
    <n v="11616"/>
  </r>
  <r>
    <x v="3"/>
    <x v="0"/>
    <x v="3"/>
    <x v="3"/>
    <x v="3"/>
    <s v="+919822352936"/>
    <x v="0"/>
    <s v="Kolkata"/>
    <x v="2"/>
    <x v="2"/>
    <x v="3"/>
    <x v="2"/>
    <x v="2"/>
    <n v="1"/>
    <n v="77440"/>
    <n v="77440"/>
    <n v="20"/>
    <n v="61952"/>
    <x v="3"/>
    <x v="0"/>
    <s v="Not Delivered"/>
    <n v="11616"/>
  </r>
  <r>
    <x v="4"/>
    <x v="0"/>
    <x v="4"/>
    <x v="4"/>
    <x v="4"/>
    <s v="+917891613427"/>
    <x v="0"/>
    <s v="Udaipur"/>
    <x v="3"/>
    <x v="2"/>
    <x v="0"/>
    <x v="0"/>
    <x v="3"/>
    <n v="4"/>
    <n v="77440"/>
    <n v="309760"/>
    <n v="5"/>
    <n v="294272"/>
    <x v="1"/>
    <x v="1"/>
    <s v="Not Delivered"/>
    <n v="46464"/>
  </r>
  <r>
    <x v="5"/>
    <x v="0"/>
    <x v="5"/>
    <x v="5"/>
    <x v="5"/>
    <s v="+917565059100"/>
    <x v="0"/>
    <s v="Ludhiana"/>
    <x v="4"/>
    <x v="2"/>
    <x v="4"/>
    <x v="0"/>
    <x v="4"/>
    <n v="4"/>
    <n v="77440"/>
    <n v="309760"/>
    <n v="0"/>
    <n v="309760"/>
    <x v="2"/>
    <x v="1"/>
    <s v="Not Delivered"/>
    <n v="46464"/>
  </r>
  <r>
    <x v="6"/>
    <x v="0"/>
    <x v="6"/>
    <x v="4"/>
    <x v="6"/>
    <s v="+919289010674"/>
    <x v="0"/>
    <s v="Surat"/>
    <x v="5"/>
    <x v="0"/>
    <x v="5"/>
    <x v="1"/>
    <x v="3"/>
    <n v="1"/>
    <n v="77440"/>
    <n v="77440"/>
    <n v="0"/>
    <n v="77440"/>
    <x v="3"/>
    <x v="2"/>
    <d v="2024-04-16T00:00:00"/>
    <n v="11616"/>
  </r>
  <r>
    <x v="7"/>
    <x v="0"/>
    <x v="7"/>
    <x v="1"/>
    <x v="7"/>
    <s v="+919514230646"/>
    <x v="0"/>
    <s v="Jaipur"/>
    <x v="3"/>
    <x v="1"/>
    <x v="6"/>
    <x v="3"/>
    <x v="3"/>
    <n v="1"/>
    <n v="77440"/>
    <n v="77440"/>
    <n v="20"/>
    <n v="61952"/>
    <x v="1"/>
    <x v="2"/>
    <d v="2024-09-16T00:00:00"/>
    <n v="11616"/>
  </r>
  <r>
    <x v="8"/>
    <x v="1"/>
    <x v="8"/>
    <x v="5"/>
    <x v="8"/>
    <s v="+918729967031"/>
    <x v="0"/>
    <s v="Noida"/>
    <x v="1"/>
    <x v="2"/>
    <x v="7"/>
    <x v="4"/>
    <x v="1"/>
    <n v="1"/>
    <n v="77440"/>
    <n v="77440"/>
    <n v="10"/>
    <n v="69696"/>
    <x v="3"/>
    <x v="2"/>
    <d v="2025-05-09T00:00:00"/>
    <n v="11616"/>
  </r>
  <r>
    <x v="9"/>
    <x v="0"/>
    <x v="9"/>
    <x v="1"/>
    <x v="9"/>
    <s v="+919005547640"/>
    <x v="0"/>
    <s v="Ludhiana"/>
    <x v="4"/>
    <x v="2"/>
    <x v="8"/>
    <x v="5"/>
    <x v="2"/>
    <n v="2"/>
    <n v="77440"/>
    <n v="154880"/>
    <n v="10"/>
    <n v="139392"/>
    <x v="1"/>
    <x v="1"/>
    <s v="Not Delivered"/>
    <n v="23232"/>
  </r>
  <r>
    <x v="10"/>
    <x v="1"/>
    <x v="10"/>
    <x v="6"/>
    <x v="10"/>
    <s v="+919210141563"/>
    <x v="0"/>
    <s v="Vadodara"/>
    <x v="5"/>
    <x v="0"/>
    <x v="9"/>
    <x v="3"/>
    <x v="4"/>
    <n v="2"/>
    <n v="77440"/>
    <n v="154880"/>
    <n v="10"/>
    <n v="139392"/>
    <x v="1"/>
    <x v="2"/>
    <d v="2025-06-24T00:00:00"/>
    <n v="23232"/>
  </r>
  <r>
    <x v="11"/>
    <x v="0"/>
    <x v="11"/>
    <x v="5"/>
    <x v="11"/>
    <s v="+916434480101"/>
    <x v="0"/>
    <s v="Mumbai"/>
    <x v="6"/>
    <x v="0"/>
    <x v="10"/>
    <x v="3"/>
    <x v="5"/>
    <n v="1"/>
    <n v="77440"/>
    <n v="77440"/>
    <n v="20"/>
    <n v="61952"/>
    <x v="0"/>
    <x v="0"/>
    <s v="Not Delivered"/>
    <n v="11616"/>
  </r>
  <r>
    <x v="12"/>
    <x v="1"/>
    <x v="12"/>
    <x v="7"/>
    <x v="12"/>
    <s v="+916007540021"/>
    <x v="0"/>
    <s v="Surat"/>
    <x v="5"/>
    <x v="2"/>
    <x v="11"/>
    <x v="1"/>
    <x v="6"/>
    <n v="1"/>
    <n v="77440"/>
    <n v="77440"/>
    <n v="20"/>
    <n v="61952"/>
    <x v="1"/>
    <x v="2"/>
    <d v="2025-07-26T00:00:00"/>
    <n v="11616"/>
  </r>
  <r>
    <x v="13"/>
    <x v="1"/>
    <x v="13"/>
    <x v="6"/>
    <x v="13"/>
    <s v="+916348955545"/>
    <x v="0"/>
    <s v="Madurai"/>
    <x v="7"/>
    <x v="3"/>
    <x v="12"/>
    <x v="2"/>
    <x v="3"/>
    <n v="3"/>
    <n v="77440"/>
    <n v="232320"/>
    <n v="0"/>
    <n v="232320"/>
    <x v="1"/>
    <x v="1"/>
    <s v="Not Delivered"/>
    <n v="34848"/>
  </r>
  <r>
    <x v="14"/>
    <x v="0"/>
    <x v="14"/>
    <x v="3"/>
    <x v="14"/>
    <s v="+918057367222"/>
    <x v="0"/>
    <s v="Nashik"/>
    <x v="6"/>
    <x v="3"/>
    <x v="9"/>
    <x v="3"/>
    <x v="7"/>
    <n v="5"/>
    <n v="77440"/>
    <n v="387200"/>
    <n v="0"/>
    <n v="387200"/>
    <x v="0"/>
    <x v="0"/>
    <s v="Not Delivered"/>
    <n v="58080"/>
  </r>
  <r>
    <x v="15"/>
    <x v="0"/>
    <x v="15"/>
    <x v="4"/>
    <x v="15"/>
    <s v="+918241925600"/>
    <x v="0"/>
    <s v="Jaipur"/>
    <x v="3"/>
    <x v="3"/>
    <x v="5"/>
    <x v="1"/>
    <x v="7"/>
    <n v="3"/>
    <n v="77440"/>
    <n v="232320"/>
    <n v="5"/>
    <n v="220704"/>
    <x v="0"/>
    <x v="0"/>
    <s v="Not Delivered"/>
    <n v="34848"/>
  </r>
  <r>
    <x v="16"/>
    <x v="1"/>
    <x v="16"/>
    <x v="2"/>
    <x v="16"/>
    <s v="+916773036826"/>
    <x v="0"/>
    <s v="Mangalore"/>
    <x v="8"/>
    <x v="3"/>
    <x v="13"/>
    <x v="5"/>
    <x v="6"/>
    <n v="1"/>
    <n v="77440"/>
    <n v="77440"/>
    <n v="20"/>
    <n v="61952"/>
    <x v="0"/>
    <x v="1"/>
    <s v="Not Delivered"/>
    <n v="11616"/>
  </r>
  <r>
    <x v="17"/>
    <x v="1"/>
    <x v="17"/>
    <x v="7"/>
    <x v="17"/>
    <s v="+916152768692"/>
    <x v="0"/>
    <s v="Kanpur"/>
    <x v="1"/>
    <x v="3"/>
    <x v="14"/>
    <x v="1"/>
    <x v="3"/>
    <n v="1"/>
    <n v="77440"/>
    <n v="77440"/>
    <n v="20"/>
    <n v="61952"/>
    <x v="0"/>
    <x v="2"/>
    <d v="2025-04-27T00:00:00"/>
    <n v="11616"/>
  </r>
  <r>
    <x v="18"/>
    <x v="0"/>
    <x v="18"/>
    <x v="6"/>
    <x v="18"/>
    <s v="+919715190152"/>
    <x v="0"/>
    <s v="Warangal"/>
    <x v="9"/>
    <x v="0"/>
    <x v="8"/>
    <x v="5"/>
    <x v="8"/>
    <n v="1"/>
    <n v="77440"/>
    <n v="77440"/>
    <n v="15"/>
    <n v="65824"/>
    <x v="1"/>
    <x v="0"/>
    <s v="Not Delivered"/>
    <n v="11616"/>
  </r>
  <r>
    <x v="19"/>
    <x v="0"/>
    <x v="19"/>
    <x v="8"/>
    <x v="19"/>
    <s v="+917355575435"/>
    <x v="0"/>
    <s v="Surat"/>
    <x v="5"/>
    <x v="2"/>
    <x v="6"/>
    <x v="3"/>
    <x v="9"/>
    <n v="5"/>
    <n v="77440"/>
    <n v="387200"/>
    <n v="0"/>
    <n v="387200"/>
    <x v="1"/>
    <x v="2"/>
    <d v="2024-12-12T00:00:00"/>
    <n v="58080"/>
  </r>
  <r>
    <x v="20"/>
    <x v="0"/>
    <x v="20"/>
    <x v="4"/>
    <x v="20"/>
    <s v="+916877921297"/>
    <x v="0"/>
    <s v="Ludhiana"/>
    <x v="4"/>
    <x v="2"/>
    <x v="15"/>
    <x v="4"/>
    <x v="10"/>
    <n v="5"/>
    <n v="77440"/>
    <n v="387200"/>
    <n v="15"/>
    <n v="329120"/>
    <x v="1"/>
    <x v="2"/>
    <d v="2024-01-08T00:00:00"/>
    <n v="58080"/>
  </r>
  <r>
    <x v="21"/>
    <x v="0"/>
    <x v="21"/>
    <x v="5"/>
    <x v="21"/>
    <s v="+919150467203"/>
    <x v="0"/>
    <s v="Jaipur"/>
    <x v="3"/>
    <x v="2"/>
    <x v="14"/>
    <x v="1"/>
    <x v="11"/>
    <n v="3"/>
    <n v="77440"/>
    <n v="232320"/>
    <n v="10"/>
    <n v="209088"/>
    <x v="2"/>
    <x v="1"/>
    <s v="Not Delivered"/>
    <n v="34848"/>
  </r>
  <r>
    <x v="22"/>
    <x v="0"/>
    <x v="22"/>
    <x v="9"/>
    <x v="22"/>
    <s v="+918698655050"/>
    <x v="0"/>
    <s v="Nashik"/>
    <x v="6"/>
    <x v="1"/>
    <x v="16"/>
    <x v="5"/>
    <x v="1"/>
    <n v="4"/>
    <n v="77440"/>
    <n v="309760"/>
    <n v="5"/>
    <n v="294272"/>
    <x v="3"/>
    <x v="2"/>
    <d v="2024-03-11T00:00:00"/>
    <n v="46464"/>
  </r>
  <r>
    <x v="23"/>
    <x v="0"/>
    <x v="23"/>
    <x v="5"/>
    <x v="23"/>
    <s v="+917699326933"/>
    <x v="0"/>
    <s v="Udaipur"/>
    <x v="3"/>
    <x v="0"/>
    <x v="17"/>
    <x v="2"/>
    <x v="11"/>
    <n v="1"/>
    <n v="77440"/>
    <n v="77440"/>
    <n v="0"/>
    <n v="77440"/>
    <x v="2"/>
    <x v="2"/>
    <d v="2024-01-31T00:00:00"/>
    <n v="11616"/>
  </r>
  <r>
    <x v="24"/>
    <x v="1"/>
    <x v="24"/>
    <x v="5"/>
    <x v="24"/>
    <s v="+918973585560"/>
    <x v="0"/>
    <s v="Nagpur"/>
    <x v="6"/>
    <x v="3"/>
    <x v="0"/>
    <x v="0"/>
    <x v="11"/>
    <n v="2"/>
    <n v="77440"/>
    <n v="154880"/>
    <n v="5"/>
    <n v="147136"/>
    <x v="2"/>
    <x v="1"/>
    <s v="Not Delivered"/>
    <n v="23232"/>
  </r>
  <r>
    <x v="25"/>
    <x v="0"/>
    <x v="25"/>
    <x v="8"/>
    <x v="25"/>
    <s v="+916152930201"/>
    <x v="0"/>
    <s v="Chandigarh"/>
    <x v="4"/>
    <x v="1"/>
    <x v="4"/>
    <x v="0"/>
    <x v="8"/>
    <n v="4"/>
    <n v="77440"/>
    <n v="309760"/>
    <n v="5"/>
    <n v="294272"/>
    <x v="3"/>
    <x v="0"/>
    <s v="Not Delivered"/>
    <n v="46464"/>
  </r>
  <r>
    <x v="26"/>
    <x v="0"/>
    <x v="26"/>
    <x v="0"/>
    <x v="26"/>
    <s v="+916368682324"/>
    <x v="0"/>
    <s v="Durgapur"/>
    <x v="2"/>
    <x v="3"/>
    <x v="0"/>
    <x v="0"/>
    <x v="0"/>
    <n v="2"/>
    <n v="77440"/>
    <n v="154880"/>
    <n v="20"/>
    <n v="123904"/>
    <x v="3"/>
    <x v="0"/>
    <s v="Not Delivered"/>
    <n v="23232"/>
  </r>
  <r>
    <x v="27"/>
    <x v="0"/>
    <x v="27"/>
    <x v="9"/>
    <x v="27"/>
    <s v="+917810280600"/>
    <x v="0"/>
    <s v="Jaipur"/>
    <x v="3"/>
    <x v="0"/>
    <x v="18"/>
    <x v="1"/>
    <x v="7"/>
    <n v="1"/>
    <n v="77440"/>
    <n v="77440"/>
    <n v="15"/>
    <n v="65824"/>
    <x v="3"/>
    <x v="1"/>
    <s v="Not Delivered"/>
    <n v="11616"/>
  </r>
  <r>
    <x v="28"/>
    <x v="0"/>
    <x v="28"/>
    <x v="5"/>
    <x v="28"/>
    <s v="+916356944558"/>
    <x v="0"/>
    <s v="Madurai"/>
    <x v="7"/>
    <x v="2"/>
    <x v="9"/>
    <x v="3"/>
    <x v="0"/>
    <n v="2"/>
    <n v="77440"/>
    <n v="154880"/>
    <n v="20"/>
    <n v="123904"/>
    <x v="0"/>
    <x v="0"/>
    <s v="Not Delivered"/>
    <n v="23232"/>
  </r>
  <r>
    <x v="29"/>
    <x v="0"/>
    <x v="29"/>
    <x v="5"/>
    <x v="29"/>
    <s v="+918527494073"/>
    <x v="0"/>
    <s v="Jaipur"/>
    <x v="3"/>
    <x v="2"/>
    <x v="8"/>
    <x v="5"/>
    <x v="7"/>
    <n v="1"/>
    <n v="77440"/>
    <n v="77440"/>
    <n v="10"/>
    <n v="69696"/>
    <x v="3"/>
    <x v="1"/>
    <s v="Not Delivered"/>
    <n v="11616"/>
  </r>
  <r>
    <x v="30"/>
    <x v="0"/>
    <x v="30"/>
    <x v="9"/>
    <x v="30"/>
    <s v="+916039803948"/>
    <x v="0"/>
    <s v="Madurai"/>
    <x v="7"/>
    <x v="3"/>
    <x v="11"/>
    <x v="1"/>
    <x v="6"/>
    <n v="3"/>
    <n v="77440"/>
    <n v="232320"/>
    <n v="20"/>
    <n v="185856"/>
    <x v="0"/>
    <x v="2"/>
    <d v="2024-11-09T00:00:00"/>
    <n v="34848"/>
  </r>
  <r>
    <x v="31"/>
    <x v="0"/>
    <x v="31"/>
    <x v="4"/>
    <x v="31"/>
    <s v="+919598073463"/>
    <x v="0"/>
    <s v="New Delhi"/>
    <x v="0"/>
    <x v="1"/>
    <x v="19"/>
    <x v="3"/>
    <x v="2"/>
    <n v="3"/>
    <n v="77440"/>
    <n v="232320"/>
    <n v="20"/>
    <n v="185856"/>
    <x v="3"/>
    <x v="1"/>
    <s v="Not Delivered"/>
    <n v="34848"/>
  </r>
  <r>
    <x v="32"/>
    <x v="1"/>
    <x v="32"/>
    <x v="1"/>
    <x v="32"/>
    <s v="+918331943922"/>
    <x v="0"/>
    <s v="Mumbai"/>
    <x v="6"/>
    <x v="1"/>
    <x v="16"/>
    <x v="5"/>
    <x v="5"/>
    <n v="4"/>
    <n v="77440"/>
    <n v="309760"/>
    <n v="10"/>
    <n v="278784"/>
    <x v="1"/>
    <x v="0"/>
    <s v="Not Delivered"/>
    <n v="46464"/>
  </r>
  <r>
    <x v="33"/>
    <x v="0"/>
    <x v="33"/>
    <x v="0"/>
    <x v="33"/>
    <s v="+916032685532"/>
    <x v="0"/>
    <s v="Warangal"/>
    <x v="9"/>
    <x v="1"/>
    <x v="20"/>
    <x v="2"/>
    <x v="4"/>
    <n v="3"/>
    <n v="77440"/>
    <n v="232320"/>
    <n v="20"/>
    <n v="185856"/>
    <x v="1"/>
    <x v="1"/>
    <s v="Not Delivered"/>
    <n v="34848"/>
  </r>
  <r>
    <x v="34"/>
    <x v="1"/>
    <x v="34"/>
    <x v="0"/>
    <x v="34"/>
    <s v="+918737844643"/>
    <x v="0"/>
    <s v="Kanpur"/>
    <x v="1"/>
    <x v="1"/>
    <x v="21"/>
    <x v="5"/>
    <x v="3"/>
    <n v="1"/>
    <n v="77440"/>
    <n v="77440"/>
    <n v="0"/>
    <n v="77440"/>
    <x v="0"/>
    <x v="2"/>
    <d v="2025-02-13T00:00:00"/>
    <n v="11616"/>
  </r>
  <r>
    <x v="35"/>
    <x v="0"/>
    <x v="35"/>
    <x v="6"/>
    <x v="35"/>
    <s v="+916070975999"/>
    <x v="0"/>
    <s v="Udaipur"/>
    <x v="3"/>
    <x v="1"/>
    <x v="11"/>
    <x v="1"/>
    <x v="3"/>
    <n v="5"/>
    <n v="77440"/>
    <n v="387200"/>
    <n v="10"/>
    <n v="348480"/>
    <x v="0"/>
    <x v="1"/>
    <s v="Not Delivered"/>
    <n v="58080"/>
  </r>
  <r>
    <x v="36"/>
    <x v="1"/>
    <x v="36"/>
    <x v="8"/>
    <x v="36"/>
    <s v="+919696786535"/>
    <x v="0"/>
    <s v="Amritsar"/>
    <x v="4"/>
    <x v="0"/>
    <x v="22"/>
    <x v="0"/>
    <x v="10"/>
    <n v="1"/>
    <n v="77440"/>
    <n v="77440"/>
    <n v="5"/>
    <n v="73568"/>
    <x v="1"/>
    <x v="2"/>
    <d v="2025-07-18T00:00:00"/>
    <n v="11616"/>
  </r>
  <r>
    <x v="37"/>
    <x v="0"/>
    <x v="37"/>
    <x v="0"/>
    <x v="37"/>
    <s v="+918983707499"/>
    <x v="0"/>
    <s v="Varanasi"/>
    <x v="1"/>
    <x v="3"/>
    <x v="8"/>
    <x v="5"/>
    <x v="6"/>
    <n v="5"/>
    <n v="77440"/>
    <n v="387200"/>
    <n v="0"/>
    <n v="387200"/>
    <x v="0"/>
    <x v="1"/>
    <s v="Not Delivered"/>
    <n v="58080"/>
  </r>
  <r>
    <x v="38"/>
    <x v="0"/>
    <x v="38"/>
    <x v="4"/>
    <x v="38"/>
    <s v="+918023409463"/>
    <x v="0"/>
    <s v="Durgapur"/>
    <x v="2"/>
    <x v="2"/>
    <x v="23"/>
    <x v="4"/>
    <x v="11"/>
    <n v="4"/>
    <n v="77440"/>
    <n v="309760"/>
    <n v="0"/>
    <n v="309760"/>
    <x v="0"/>
    <x v="2"/>
    <d v="2024-07-29T00:00:00"/>
    <n v="46464"/>
  </r>
  <r>
    <x v="39"/>
    <x v="0"/>
    <x v="39"/>
    <x v="4"/>
    <x v="39"/>
    <s v="+917124996563"/>
    <x v="0"/>
    <s v="Hyderabad"/>
    <x v="9"/>
    <x v="3"/>
    <x v="20"/>
    <x v="2"/>
    <x v="4"/>
    <n v="1"/>
    <n v="77440"/>
    <n v="77440"/>
    <n v="5"/>
    <n v="73568"/>
    <x v="2"/>
    <x v="1"/>
    <s v="Not Delivered"/>
    <n v="11616"/>
  </r>
  <r>
    <x v="40"/>
    <x v="0"/>
    <x v="40"/>
    <x v="7"/>
    <x v="36"/>
    <s v="+916262633731"/>
    <x v="0"/>
    <s v="Bangalore"/>
    <x v="8"/>
    <x v="0"/>
    <x v="17"/>
    <x v="2"/>
    <x v="5"/>
    <n v="5"/>
    <n v="77440"/>
    <n v="387200"/>
    <n v="0"/>
    <n v="387200"/>
    <x v="3"/>
    <x v="1"/>
    <s v="Not Delivered"/>
    <n v="58080"/>
  </r>
  <r>
    <x v="41"/>
    <x v="0"/>
    <x v="41"/>
    <x v="7"/>
    <x v="40"/>
    <s v="+918891986026"/>
    <x v="0"/>
    <s v="New Delhi"/>
    <x v="0"/>
    <x v="2"/>
    <x v="6"/>
    <x v="3"/>
    <x v="3"/>
    <n v="3"/>
    <n v="77440"/>
    <n v="232320"/>
    <n v="20"/>
    <n v="185856"/>
    <x v="3"/>
    <x v="2"/>
    <d v="2024-07-18T00:00:00"/>
    <n v="34848"/>
  </r>
  <r>
    <x v="42"/>
    <x v="1"/>
    <x v="42"/>
    <x v="0"/>
    <x v="41"/>
    <s v="+919743822182"/>
    <x v="0"/>
    <s v="Howrah"/>
    <x v="2"/>
    <x v="3"/>
    <x v="3"/>
    <x v="2"/>
    <x v="8"/>
    <n v="2"/>
    <n v="77440"/>
    <n v="154880"/>
    <n v="5"/>
    <n v="147136"/>
    <x v="3"/>
    <x v="2"/>
    <d v="2025-06-26T00:00:00"/>
    <n v="23232"/>
  </r>
  <r>
    <x v="43"/>
    <x v="1"/>
    <x v="43"/>
    <x v="7"/>
    <x v="11"/>
    <s v="+919017151544"/>
    <x v="0"/>
    <s v="Mysore"/>
    <x v="8"/>
    <x v="0"/>
    <x v="24"/>
    <x v="4"/>
    <x v="1"/>
    <n v="5"/>
    <n v="77440"/>
    <n v="387200"/>
    <n v="20"/>
    <n v="309760"/>
    <x v="1"/>
    <x v="1"/>
    <s v="Not Delivered"/>
    <n v="58080"/>
  </r>
  <r>
    <x v="44"/>
    <x v="1"/>
    <x v="44"/>
    <x v="0"/>
    <x v="42"/>
    <s v="+918406970239"/>
    <x v="0"/>
    <s v="Jodhpur"/>
    <x v="3"/>
    <x v="2"/>
    <x v="2"/>
    <x v="0"/>
    <x v="11"/>
    <n v="4"/>
    <n v="77440"/>
    <n v="309760"/>
    <n v="5"/>
    <n v="294272"/>
    <x v="0"/>
    <x v="0"/>
    <s v="Not Delivered"/>
    <n v="46464"/>
  </r>
  <r>
    <x v="45"/>
    <x v="0"/>
    <x v="45"/>
    <x v="7"/>
    <x v="43"/>
    <s v="+918945257359"/>
    <x v="0"/>
    <s v="Jaipur"/>
    <x v="3"/>
    <x v="1"/>
    <x v="8"/>
    <x v="5"/>
    <x v="6"/>
    <n v="5"/>
    <n v="77440"/>
    <n v="387200"/>
    <n v="15"/>
    <n v="329120"/>
    <x v="2"/>
    <x v="2"/>
    <d v="2024-08-19T00:00:00"/>
    <n v="58080"/>
  </r>
  <r>
    <x v="46"/>
    <x v="0"/>
    <x v="46"/>
    <x v="3"/>
    <x v="44"/>
    <s v="+917874800395"/>
    <x v="0"/>
    <s v="Mysore"/>
    <x v="8"/>
    <x v="0"/>
    <x v="11"/>
    <x v="1"/>
    <x v="1"/>
    <n v="4"/>
    <n v="77440"/>
    <n v="309760"/>
    <n v="0"/>
    <n v="309760"/>
    <x v="3"/>
    <x v="2"/>
    <d v="2024-11-17T00:00:00"/>
    <n v="46464"/>
  </r>
  <r>
    <x v="47"/>
    <x v="0"/>
    <x v="47"/>
    <x v="1"/>
    <x v="45"/>
    <s v="+917897910487"/>
    <x v="0"/>
    <s v="Chennai"/>
    <x v="7"/>
    <x v="3"/>
    <x v="25"/>
    <x v="3"/>
    <x v="1"/>
    <n v="5"/>
    <n v="77440"/>
    <n v="387200"/>
    <n v="15"/>
    <n v="329120"/>
    <x v="1"/>
    <x v="1"/>
    <s v="Not Delivered"/>
    <n v="58080"/>
  </r>
  <r>
    <x v="48"/>
    <x v="1"/>
    <x v="48"/>
    <x v="0"/>
    <x v="46"/>
    <s v="+919034367468"/>
    <x v="0"/>
    <s v="Pune"/>
    <x v="6"/>
    <x v="1"/>
    <x v="12"/>
    <x v="2"/>
    <x v="7"/>
    <n v="1"/>
    <n v="77440"/>
    <n v="77440"/>
    <n v="0"/>
    <n v="77440"/>
    <x v="1"/>
    <x v="2"/>
    <d v="2025-06-04T00:00:00"/>
    <n v="11616"/>
  </r>
  <r>
    <x v="49"/>
    <x v="1"/>
    <x v="36"/>
    <x v="7"/>
    <x v="47"/>
    <s v="+917733302770"/>
    <x v="0"/>
    <s v="Amritsar"/>
    <x v="4"/>
    <x v="0"/>
    <x v="22"/>
    <x v="0"/>
    <x v="0"/>
    <n v="3"/>
    <n v="77440"/>
    <n v="232320"/>
    <n v="0"/>
    <n v="232320"/>
    <x v="3"/>
    <x v="0"/>
    <s v="Not Delivered"/>
    <n v="34848"/>
  </r>
  <r>
    <x v="50"/>
    <x v="0"/>
    <x v="49"/>
    <x v="6"/>
    <x v="48"/>
    <s v="+918847191685"/>
    <x v="0"/>
    <s v="Nashik"/>
    <x v="6"/>
    <x v="3"/>
    <x v="14"/>
    <x v="1"/>
    <x v="6"/>
    <n v="5"/>
    <n v="77440"/>
    <n v="387200"/>
    <n v="20"/>
    <n v="309760"/>
    <x v="0"/>
    <x v="0"/>
    <s v="Not Delivered"/>
    <n v="58080"/>
  </r>
  <r>
    <x v="51"/>
    <x v="0"/>
    <x v="50"/>
    <x v="5"/>
    <x v="49"/>
    <s v="+918737213293"/>
    <x v="0"/>
    <s v="Amritsar"/>
    <x v="4"/>
    <x v="2"/>
    <x v="4"/>
    <x v="0"/>
    <x v="1"/>
    <n v="2"/>
    <n v="77440"/>
    <n v="154880"/>
    <n v="0"/>
    <n v="154880"/>
    <x v="1"/>
    <x v="0"/>
    <s v="Not Delivered"/>
    <n v="23232"/>
  </r>
  <r>
    <x v="52"/>
    <x v="0"/>
    <x v="51"/>
    <x v="5"/>
    <x v="50"/>
    <s v="+916404806463"/>
    <x v="0"/>
    <s v="New Delhi"/>
    <x v="0"/>
    <x v="3"/>
    <x v="25"/>
    <x v="3"/>
    <x v="3"/>
    <n v="4"/>
    <n v="77440"/>
    <n v="309760"/>
    <n v="5"/>
    <n v="294272"/>
    <x v="0"/>
    <x v="0"/>
    <s v="Not Delivered"/>
    <n v="46464"/>
  </r>
  <r>
    <x v="53"/>
    <x v="0"/>
    <x v="52"/>
    <x v="5"/>
    <x v="51"/>
    <s v="+916712940163"/>
    <x v="0"/>
    <s v="Lucknow"/>
    <x v="1"/>
    <x v="3"/>
    <x v="12"/>
    <x v="2"/>
    <x v="2"/>
    <n v="5"/>
    <n v="77440"/>
    <n v="387200"/>
    <n v="5"/>
    <n v="367840"/>
    <x v="0"/>
    <x v="0"/>
    <s v="Not Delivered"/>
    <n v="58080"/>
  </r>
  <r>
    <x v="54"/>
    <x v="0"/>
    <x v="53"/>
    <x v="2"/>
    <x v="52"/>
    <s v="+917327280228"/>
    <x v="0"/>
    <s v="Udaipur"/>
    <x v="3"/>
    <x v="0"/>
    <x v="7"/>
    <x v="4"/>
    <x v="3"/>
    <n v="3"/>
    <n v="77440"/>
    <n v="232320"/>
    <n v="5"/>
    <n v="220704"/>
    <x v="2"/>
    <x v="1"/>
    <s v="Not Delivered"/>
    <n v="34848"/>
  </r>
  <r>
    <x v="55"/>
    <x v="1"/>
    <x v="54"/>
    <x v="9"/>
    <x v="53"/>
    <s v="+919485611547"/>
    <x v="0"/>
    <s v="Bangalore"/>
    <x v="8"/>
    <x v="1"/>
    <x v="4"/>
    <x v="0"/>
    <x v="8"/>
    <n v="5"/>
    <n v="77440"/>
    <n v="387200"/>
    <n v="0"/>
    <n v="387200"/>
    <x v="3"/>
    <x v="1"/>
    <s v="Not Delivered"/>
    <n v="58080"/>
  </r>
  <r>
    <x v="56"/>
    <x v="1"/>
    <x v="24"/>
    <x v="4"/>
    <x v="54"/>
    <s v="+919429451981"/>
    <x v="0"/>
    <s v="Ludhiana"/>
    <x v="4"/>
    <x v="0"/>
    <x v="26"/>
    <x v="4"/>
    <x v="7"/>
    <n v="4"/>
    <n v="77440"/>
    <n v="309760"/>
    <n v="10"/>
    <n v="278784"/>
    <x v="0"/>
    <x v="0"/>
    <s v="Not Delivered"/>
    <n v="46464"/>
  </r>
  <r>
    <x v="57"/>
    <x v="1"/>
    <x v="55"/>
    <x v="3"/>
    <x v="55"/>
    <s v="+918314798983"/>
    <x v="0"/>
    <s v="Aurangabad"/>
    <x v="6"/>
    <x v="2"/>
    <x v="5"/>
    <x v="1"/>
    <x v="5"/>
    <n v="5"/>
    <n v="77440"/>
    <n v="387200"/>
    <n v="0"/>
    <n v="387200"/>
    <x v="3"/>
    <x v="2"/>
    <d v="2025-01-09T00:00:00"/>
    <n v="58080"/>
  </r>
  <r>
    <x v="58"/>
    <x v="0"/>
    <x v="56"/>
    <x v="7"/>
    <x v="56"/>
    <s v="+916959779692"/>
    <x v="0"/>
    <s v="Rajkot"/>
    <x v="5"/>
    <x v="0"/>
    <x v="1"/>
    <x v="1"/>
    <x v="1"/>
    <n v="5"/>
    <n v="77440"/>
    <n v="387200"/>
    <n v="0"/>
    <n v="387200"/>
    <x v="2"/>
    <x v="1"/>
    <s v="Not Delivered"/>
    <n v="58080"/>
  </r>
  <r>
    <x v="59"/>
    <x v="0"/>
    <x v="57"/>
    <x v="7"/>
    <x v="57"/>
    <s v="+916324681136"/>
    <x v="0"/>
    <s v="Nizamabad"/>
    <x v="9"/>
    <x v="2"/>
    <x v="22"/>
    <x v="0"/>
    <x v="1"/>
    <n v="4"/>
    <n v="77440"/>
    <n v="309760"/>
    <n v="10"/>
    <n v="278784"/>
    <x v="2"/>
    <x v="2"/>
    <d v="2024-08-17T00:00:00"/>
    <n v="46464"/>
  </r>
  <r>
    <x v="60"/>
    <x v="0"/>
    <x v="58"/>
    <x v="0"/>
    <x v="58"/>
    <s v="+916629661055"/>
    <x v="0"/>
    <s v="Kolkata"/>
    <x v="2"/>
    <x v="2"/>
    <x v="24"/>
    <x v="4"/>
    <x v="0"/>
    <n v="2"/>
    <n v="77440"/>
    <n v="154880"/>
    <n v="15"/>
    <n v="131648"/>
    <x v="1"/>
    <x v="2"/>
    <d v="2024-09-27T00:00:00"/>
    <n v="23232"/>
  </r>
  <r>
    <x v="61"/>
    <x v="1"/>
    <x v="59"/>
    <x v="5"/>
    <x v="59"/>
    <s v="+917514596774"/>
    <x v="0"/>
    <s v="Nagpur"/>
    <x v="6"/>
    <x v="0"/>
    <x v="22"/>
    <x v="0"/>
    <x v="7"/>
    <n v="2"/>
    <n v="77440"/>
    <n v="154880"/>
    <n v="5"/>
    <n v="147136"/>
    <x v="3"/>
    <x v="1"/>
    <s v="Not Delivered"/>
    <n v="23232"/>
  </r>
  <r>
    <x v="62"/>
    <x v="1"/>
    <x v="60"/>
    <x v="1"/>
    <x v="10"/>
    <s v="+917651815101"/>
    <x v="0"/>
    <s v="Pune"/>
    <x v="6"/>
    <x v="3"/>
    <x v="3"/>
    <x v="2"/>
    <x v="9"/>
    <n v="3"/>
    <n v="77440"/>
    <n v="232320"/>
    <n v="5"/>
    <n v="220704"/>
    <x v="3"/>
    <x v="1"/>
    <s v="Not Delivered"/>
    <n v="34848"/>
  </r>
  <r>
    <x v="63"/>
    <x v="1"/>
    <x v="61"/>
    <x v="0"/>
    <x v="60"/>
    <s v="+917264270736"/>
    <x v="0"/>
    <s v="Mangalore"/>
    <x v="8"/>
    <x v="1"/>
    <x v="17"/>
    <x v="2"/>
    <x v="8"/>
    <n v="3"/>
    <n v="77440"/>
    <n v="232320"/>
    <n v="10"/>
    <n v="209088"/>
    <x v="1"/>
    <x v="0"/>
    <s v="Not Delivered"/>
    <n v="34848"/>
  </r>
  <r>
    <x v="64"/>
    <x v="0"/>
    <x v="62"/>
    <x v="6"/>
    <x v="61"/>
    <s v="+918843638826"/>
    <x v="0"/>
    <s v="Jaipur"/>
    <x v="3"/>
    <x v="1"/>
    <x v="10"/>
    <x v="3"/>
    <x v="3"/>
    <n v="5"/>
    <n v="77440"/>
    <n v="387200"/>
    <n v="5"/>
    <n v="367840"/>
    <x v="1"/>
    <x v="2"/>
    <d v="2024-02-08T00:00:00"/>
    <n v="58080"/>
  </r>
  <r>
    <x v="65"/>
    <x v="0"/>
    <x v="63"/>
    <x v="0"/>
    <x v="62"/>
    <s v="+919429040363"/>
    <x v="0"/>
    <s v="Coimbatore"/>
    <x v="7"/>
    <x v="2"/>
    <x v="27"/>
    <x v="5"/>
    <x v="8"/>
    <n v="3"/>
    <n v="77440"/>
    <n v="232320"/>
    <n v="10"/>
    <n v="209088"/>
    <x v="2"/>
    <x v="2"/>
    <d v="2024-10-15T00:00:00"/>
    <n v="34848"/>
  </r>
  <r>
    <x v="66"/>
    <x v="1"/>
    <x v="64"/>
    <x v="3"/>
    <x v="63"/>
    <s v="+919600708560"/>
    <x v="0"/>
    <s v="New Delhi"/>
    <x v="0"/>
    <x v="2"/>
    <x v="6"/>
    <x v="3"/>
    <x v="7"/>
    <n v="3"/>
    <n v="77440"/>
    <n v="232320"/>
    <n v="20"/>
    <n v="185856"/>
    <x v="2"/>
    <x v="2"/>
    <d v="2025-04-13T00:00:00"/>
    <n v="34848"/>
  </r>
  <r>
    <x v="67"/>
    <x v="1"/>
    <x v="65"/>
    <x v="3"/>
    <x v="64"/>
    <s v="+917059026962"/>
    <x v="0"/>
    <s v="Mysore"/>
    <x v="8"/>
    <x v="3"/>
    <x v="4"/>
    <x v="0"/>
    <x v="6"/>
    <n v="3"/>
    <n v="77440"/>
    <n v="232320"/>
    <n v="0"/>
    <n v="232320"/>
    <x v="1"/>
    <x v="0"/>
    <s v="Not Delivered"/>
    <n v="34848"/>
  </r>
  <r>
    <x v="68"/>
    <x v="0"/>
    <x v="66"/>
    <x v="7"/>
    <x v="65"/>
    <s v="+917787598968"/>
    <x v="0"/>
    <s v="Durgapur"/>
    <x v="2"/>
    <x v="3"/>
    <x v="9"/>
    <x v="3"/>
    <x v="0"/>
    <n v="3"/>
    <n v="77440"/>
    <n v="232320"/>
    <n v="10"/>
    <n v="209088"/>
    <x v="2"/>
    <x v="2"/>
    <d v="2024-06-04T00:00:00"/>
    <n v="34848"/>
  </r>
  <r>
    <x v="69"/>
    <x v="1"/>
    <x v="67"/>
    <x v="3"/>
    <x v="66"/>
    <s v="+917813016770"/>
    <x v="0"/>
    <s v="Noida"/>
    <x v="1"/>
    <x v="1"/>
    <x v="2"/>
    <x v="0"/>
    <x v="10"/>
    <n v="5"/>
    <n v="77440"/>
    <n v="387200"/>
    <n v="10"/>
    <n v="348480"/>
    <x v="0"/>
    <x v="0"/>
    <s v="Not Delivered"/>
    <n v="58080"/>
  </r>
  <r>
    <x v="70"/>
    <x v="0"/>
    <x v="68"/>
    <x v="9"/>
    <x v="67"/>
    <s v="+919272363513"/>
    <x v="0"/>
    <s v="Coimbatore"/>
    <x v="7"/>
    <x v="2"/>
    <x v="22"/>
    <x v="0"/>
    <x v="6"/>
    <n v="5"/>
    <n v="77440"/>
    <n v="387200"/>
    <n v="5"/>
    <n v="367840"/>
    <x v="2"/>
    <x v="1"/>
    <s v="Not Delivered"/>
    <n v="58080"/>
  </r>
  <r>
    <x v="71"/>
    <x v="1"/>
    <x v="69"/>
    <x v="0"/>
    <x v="68"/>
    <s v="+916726520099"/>
    <x v="0"/>
    <s v="Nashik"/>
    <x v="6"/>
    <x v="3"/>
    <x v="9"/>
    <x v="3"/>
    <x v="0"/>
    <n v="2"/>
    <n v="77440"/>
    <n v="154880"/>
    <n v="15"/>
    <n v="131648"/>
    <x v="2"/>
    <x v="0"/>
    <s v="Not Delivered"/>
    <n v="23232"/>
  </r>
  <r>
    <x v="72"/>
    <x v="0"/>
    <x v="70"/>
    <x v="7"/>
    <x v="69"/>
    <s v="+917275698054"/>
    <x v="0"/>
    <s v="Ahmedabad"/>
    <x v="5"/>
    <x v="3"/>
    <x v="22"/>
    <x v="0"/>
    <x v="3"/>
    <n v="1"/>
    <n v="77440"/>
    <n v="77440"/>
    <n v="15"/>
    <n v="65824"/>
    <x v="0"/>
    <x v="0"/>
    <s v="Not Delivered"/>
    <n v="11616"/>
  </r>
  <r>
    <x v="73"/>
    <x v="0"/>
    <x v="71"/>
    <x v="9"/>
    <x v="70"/>
    <s v="+919239444529"/>
    <x v="0"/>
    <s v="Bangalore"/>
    <x v="8"/>
    <x v="1"/>
    <x v="24"/>
    <x v="4"/>
    <x v="4"/>
    <n v="4"/>
    <n v="77440"/>
    <n v="309760"/>
    <n v="5"/>
    <n v="294272"/>
    <x v="3"/>
    <x v="2"/>
    <d v="2024-05-13T00:00:00"/>
    <n v="46464"/>
  </r>
  <r>
    <x v="74"/>
    <x v="0"/>
    <x v="62"/>
    <x v="5"/>
    <x v="71"/>
    <s v="+919095361041"/>
    <x v="0"/>
    <s v="Jodhpur"/>
    <x v="3"/>
    <x v="3"/>
    <x v="12"/>
    <x v="2"/>
    <x v="7"/>
    <n v="2"/>
    <n v="77440"/>
    <n v="154880"/>
    <n v="5"/>
    <n v="147136"/>
    <x v="1"/>
    <x v="0"/>
    <s v="Not Delivered"/>
    <n v="23232"/>
  </r>
  <r>
    <x v="75"/>
    <x v="1"/>
    <x v="72"/>
    <x v="6"/>
    <x v="72"/>
    <s v="+917662156494"/>
    <x v="0"/>
    <s v="Bangalore"/>
    <x v="8"/>
    <x v="1"/>
    <x v="2"/>
    <x v="0"/>
    <x v="3"/>
    <n v="5"/>
    <n v="77440"/>
    <n v="387200"/>
    <n v="0"/>
    <n v="387200"/>
    <x v="0"/>
    <x v="1"/>
    <s v="Not Delivered"/>
    <n v="58080"/>
  </r>
  <r>
    <x v="76"/>
    <x v="0"/>
    <x v="73"/>
    <x v="2"/>
    <x v="73"/>
    <s v="+916450121362"/>
    <x v="0"/>
    <s v="Mysore"/>
    <x v="8"/>
    <x v="0"/>
    <x v="15"/>
    <x v="4"/>
    <x v="10"/>
    <n v="3"/>
    <n v="77440"/>
    <n v="232320"/>
    <n v="0"/>
    <n v="232320"/>
    <x v="3"/>
    <x v="1"/>
    <s v="Not Delivered"/>
    <n v="34848"/>
  </r>
  <r>
    <x v="77"/>
    <x v="1"/>
    <x v="74"/>
    <x v="0"/>
    <x v="74"/>
    <s v="+917687840611"/>
    <x v="0"/>
    <s v="Coimbatore"/>
    <x v="7"/>
    <x v="3"/>
    <x v="15"/>
    <x v="4"/>
    <x v="11"/>
    <n v="2"/>
    <n v="77440"/>
    <n v="154880"/>
    <n v="5"/>
    <n v="147136"/>
    <x v="3"/>
    <x v="0"/>
    <s v="Not Delivered"/>
    <n v="23232"/>
  </r>
  <r>
    <x v="78"/>
    <x v="0"/>
    <x v="75"/>
    <x v="0"/>
    <x v="75"/>
    <s v="+918056624007"/>
    <x v="0"/>
    <s v="Ahmedabad"/>
    <x v="5"/>
    <x v="2"/>
    <x v="11"/>
    <x v="1"/>
    <x v="2"/>
    <n v="1"/>
    <n v="77440"/>
    <n v="77440"/>
    <n v="15"/>
    <n v="65824"/>
    <x v="0"/>
    <x v="2"/>
    <d v="2024-04-30T00:00:00"/>
    <n v="11616"/>
  </r>
  <r>
    <x v="79"/>
    <x v="0"/>
    <x v="76"/>
    <x v="5"/>
    <x v="76"/>
    <s v="+918408331475"/>
    <x v="0"/>
    <s v="Vadodara"/>
    <x v="5"/>
    <x v="2"/>
    <x v="6"/>
    <x v="3"/>
    <x v="4"/>
    <n v="5"/>
    <n v="77440"/>
    <n v="387200"/>
    <n v="20"/>
    <n v="309760"/>
    <x v="0"/>
    <x v="1"/>
    <s v="Not Delivered"/>
    <n v="58080"/>
  </r>
  <r>
    <x v="80"/>
    <x v="0"/>
    <x v="77"/>
    <x v="8"/>
    <x v="77"/>
    <s v="+918984053358"/>
    <x v="0"/>
    <s v="Warangal"/>
    <x v="9"/>
    <x v="3"/>
    <x v="14"/>
    <x v="1"/>
    <x v="0"/>
    <n v="2"/>
    <n v="77440"/>
    <n v="154880"/>
    <n v="0"/>
    <n v="154880"/>
    <x v="1"/>
    <x v="1"/>
    <s v="Not Delivered"/>
    <n v="23232"/>
  </r>
  <r>
    <x v="81"/>
    <x v="0"/>
    <x v="78"/>
    <x v="2"/>
    <x v="78"/>
    <s v="+918622805943"/>
    <x v="0"/>
    <s v="Vadodara"/>
    <x v="5"/>
    <x v="3"/>
    <x v="5"/>
    <x v="1"/>
    <x v="8"/>
    <n v="3"/>
    <n v="77440"/>
    <n v="232320"/>
    <n v="15"/>
    <n v="197472"/>
    <x v="3"/>
    <x v="2"/>
    <d v="2024-05-09T00:00:00"/>
    <n v="34848"/>
  </r>
  <r>
    <x v="82"/>
    <x v="0"/>
    <x v="79"/>
    <x v="9"/>
    <x v="79"/>
    <s v="+916998707200"/>
    <x v="0"/>
    <s v="New Delhi"/>
    <x v="0"/>
    <x v="1"/>
    <x v="4"/>
    <x v="0"/>
    <x v="7"/>
    <n v="5"/>
    <n v="77440"/>
    <n v="387200"/>
    <n v="0"/>
    <n v="387200"/>
    <x v="1"/>
    <x v="1"/>
    <s v="Not Delivered"/>
    <n v="58080"/>
  </r>
  <r>
    <x v="83"/>
    <x v="0"/>
    <x v="80"/>
    <x v="9"/>
    <x v="80"/>
    <s v="+917176134342"/>
    <x v="0"/>
    <s v="Madurai"/>
    <x v="7"/>
    <x v="3"/>
    <x v="0"/>
    <x v="0"/>
    <x v="1"/>
    <n v="3"/>
    <n v="77440"/>
    <n v="232320"/>
    <n v="20"/>
    <n v="185856"/>
    <x v="3"/>
    <x v="2"/>
    <d v="2024-11-12T00:00:00"/>
    <n v="34848"/>
  </r>
  <r>
    <x v="84"/>
    <x v="1"/>
    <x v="81"/>
    <x v="7"/>
    <x v="81"/>
    <s v="+918838300051"/>
    <x v="0"/>
    <s v="Coimbatore"/>
    <x v="7"/>
    <x v="2"/>
    <x v="12"/>
    <x v="2"/>
    <x v="0"/>
    <n v="1"/>
    <n v="77440"/>
    <n v="77440"/>
    <n v="20"/>
    <n v="61952"/>
    <x v="0"/>
    <x v="0"/>
    <s v="Not Delivered"/>
    <n v="11616"/>
  </r>
  <r>
    <x v="85"/>
    <x v="1"/>
    <x v="82"/>
    <x v="2"/>
    <x v="82"/>
    <s v="+919918726927"/>
    <x v="0"/>
    <s v="Durgapur"/>
    <x v="2"/>
    <x v="1"/>
    <x v="26"/>
    <x v="4"/>
    <x v="10"/>
    <n v="2"/>
    <n v="77440"/>
    <n v="154880"/>
    <n v="10"/>
    <n v="139392"/>
    <x v="1"/>
    <x v="2"/>
    <d v="2025-07-19T00:00:00"/>
    <n v="23232"/>
  </r>
  <r>
    <x v="86"/>
    <x v="1"/>
    <x v="83"/>
    <x v="3"/>
    <x v="83"/>
    <s v="+919594096786"/>
    <x v="0"/>
    <s v="Nashik"/>
    <x v="6"/>
    <x v="0"/>
    <x v="26"/>
    <x v="4"/>
    <x v="9"/>
    <n v="1"/>
    <n v="77440"/>
    <n v="77440"/>
    <n v="10"/>
    <n v="69696"/>
    <x v="1"/>
    <x v="0"/>
    <s v="Not Delivered"/>
    <n v="11616"/>
  </r>
  <r>
    <x v="87"/>
    <x v="0"/>
    <x v="46"/>
    <x v="6"/>
    <x v="84"/>
    <s v="+917162432541"/>
    <x v="0"/>
    <s v="Mumbai"/>
    <x v="6"/>
    <x v="2"/>
    <x v="4"/>
    <x v="0"/>
    <x v="6"/>
    <n v="5"/>
    <n v="77440"/>
    <n v="387200"/>
    <n v="15"/>
    <n v="329120"/>
    <x v="0"/>
    <x v="1"/>
    <s v="Not Delivered"/>
    <n v="58080"/>
  </r>
  <r>
    <x v="88"/>
    <x v="1"/>
    <x v="84"/>
    <x v="2"/>
    <x v="85"/>
    <s v="+916649193563"/>
    <x v="0"/>
    <s v="Vadodara"/>
    <x v="5"/>
    <x v="3"/>
    <x v="12"/>
    <x v="2"/>
    <x v="1"/>
    <n v="4"/>
    <n v="77440"/>
    <n v="309760"/>
    <n v="10"/>
    <n v="278784"/>
    <x v="3"/>
    <x v="1"/>
    <s v="Not Delivered"/>
    <n v="46464"/>
  </r>
  <r>
    <x v="89"/>
    <x v="1"/>
    <x v="85"/>
    <x v="1"/>
    <x v="86"/>
    <s v="+919522067698"/>
    <x v="0"/>
    <s v="Nizamabad"/>
    <x v="9"/>
    <x v="1"/>
    <x v="22"/>
    <x v="0"/>
    <x v="5"/>
    <n v="2"/>
    <n v="77440"/>
    <n v="154880"/>
    <n v="5"/>
    <n v="147136"/>
    <x v="0"/>
    <x v="2"/>
    <d v="2025-03-09T00:00:00"/>
    <n v="23232"/>
  </r>
  <r>
    <x v="90"/>
    <x v="0"/>
    <x v="39"/>
    <x v="9"/>
    <x v="87"/>
    <s v="+916929113553"/>
    <x v="0"/>
    <s v="Varanasi"/>
    <x v="1"/>
    <x v="3"/>
    <x v="20"/>
    <x v="2"/>
    <x v="0"/>
    <n v="5"/>
    <n v="77440"/>
    <n v="387200"/>
    <n v="10"/>
    <n v="348480"/>
    <x v="1"/>
    <x v="1"/>
    <s v="Not Delivered"/>
    <n v="58080"/>
  </r>
  <r>
    <x v="91"/>
    <x v="1"/>
    <x v="59"/>
    <x v="2"/>
    <x v="88"/>
    <s v="+918727956920"/>
    <x v="0"/>
    <s v="Chennai"/>
    <x v="7"/>
    <x v="0"/>
    <x v="0"/>
    <x v="0"/>
    <x v="7"/>
    <n v="4"/>
    <n v="77440"/>
    <n v="309760"/>
    <n v="0"/>
    <n v="309760"/>
    <x v="1"/>
    <x v="0"/>
    <s v="Not Delivered"/>
    <n v="46464"/>
  </r>
  <r>
    <x v="92"/>
    <x v="0"/>
    <x v="86"/>
    <x v="7"/>
    <x v="89"/>
    <s v="+918541462760"/>
    <x v="0"/>
    <s v="Amritsar"/>
    <x v="4"/>
    <x v="2"/>
    <x v="3"/>
    <x v="2"/>
    <x v="1"/>
    <n v="3"/>
    <n v="77440"/>
    <n v="232320"/>
    <n v="15"/>
    <n v="197472"/>
    <x v="0"/>
    <x v="2"/>
    <d v="2024-04-13T00:00:00"/>
    <n v="34848"/>
  </r>
  <r>
    <x v="93"/>
    <x v="1"/>
    <x v="87"/>
    <x v="6"/>
    <x v="90"/>
    <s v="+919457809826"/>
    <x v="0"/>
    <s v="Howrah"/>
    <x v="2"/>
    <x v="3"/>
    <x v="23"/>
    <x v="4"/>
    <x v="2"/>
    <n v="4"/>
    <n v="77440"/>
    <n v="309760"/>
    <n v="10"/>
    <n v="278784"/>
    <x v="2"/>
    <x v="1"/>
    <s v="Not Delivered"/>
    <n v="46464"/>
  </r>
  <r>
    <x v="94"/>
    <x v="0"/>
    <x v="88"/>
    <x v="0"/>
    <x v="91"/>
    <s v="+918009058165"/>
    <x v="0"/>
    <s v="Nashik"/>
    <x v="6"/>
    <x v="0"/>
    <x v="18"/>
    <x v="1"/>
    <x v="2"/>
    <n v="3"/>
    <n v="77440"/>
    <n v="232320"/>
    <n v="5"/>
    <n v="220704"/>
    <x v="3"/>
    <x v="1"/>
    <s v="Not Delivered"/>
    <n v="34848"/>
  </r>
  <r>
    <x v="95"/>
    <x v="0"/>
    <x v="89"/>
    <x v="0"/>
    <x v="13"/>
    <s v="+916633537630"/>
    <x v="0"/>
    <s v="Chennai"/>
    <x v="7"/>
    <x v="2"/>
    <x v="7"/>
    <x v="4"/>
    <x v="10"/>
    <n v="1"/>
    <n v="77440"/>
    <n v="77440"/>
    <n v="15"/>
    <n v="65824"/>
    <x v="2"/>
    <x v="0"/>
    <s v="Not Delivered"/>
    <n v="11616"/>
  </r>
  <r>
    <x v="96"/>
    <x v="1"/>
    <x v="90"/>
    <x v="7"/>
    <x v="92"/>
    <s v="+917259670866"/>
    <x v="0"/>
    <s v="Warangal"/>
    <x v="9"/>
    <x v="2"/>
    <x v="12"/>
    <x v="2"/>
    <x v="2"/>
    <n v="3"/>
    <n v="77440"/>
    <n v="232320"/>
    <n v="20"/>
    <n v="185856"/>
    <x v="3"/>
    <x v="0"/>
    <s v="Not Delivered"/>
    <n v="34848"/>
  </r>
  <r>
    <x v="97"/>
    <x v="1"/>
    <x v="16"/>
    <x v="9"/>
    <x v="93"/>
    <s v="+918107411765"/>
    <x v="0"/>
    <s v="Kolkata"/>
    <x v="2"/>
    <x v="2"/>
    <x v="13"/>
    <x v="5"/>
    <x v="2"/>
    <n v="1"/>
    <n v="77440"/>
    <n v="77440"/>
    <n v="0"/>
    <n v="77440"/>
    <x v="0"/>
    <x v="0"/>
    <s v="Not Delivered"/>
    <n v="11616"/>
  </r>
  <r>
    <x v="98"/>
    <x v="0"/>
    <x v="76"/>
    <x v="1"/>
    <x v="94"/>
    <s v="+916775370607"/>
    <x v="0"/>
    <s v="Durgapur"/>
    <x v="2"/>
    <x v="2"/>
    <x v="0"/>
    <x v="0"/>
    <x v="2"/>
    <n v="1"/>
    <n v="77440"/>
    <n v="77440"/>
    <n v="0"/>
    <n v="77440"/>
    <x v="0"/>
    <x v="0"/>
    <s v="Not Delivered"/>
    <n v="11616"/>
  </r>
  <r>
    <x v="99"/>
    <x v="0"/>
    <x v="91"/>
    <x v="2"/>
    <x v="95"/>
    <s v="+916053913365"/>
    <x v="0"/>
    <s v="Coimbatore"/>
    <x v="7"/>
    <x v="3"/>
    <x v="25"/>
    <x v="3"/>
    <x v="7"/>
    <n v="5"/>
    <n v="77440"/>
    <n v="387200"/>
    <n v="15"/>
    <n v="329120"/>
    <x v="0"/>
    <x v="1"/>
    <s v="Not Delivered"/>
    <n v="58080"/>
  </r>
  <r>
    <x v="100"/>
    <x v="0"/>
    <x v="92"/>
    <x v="2"/>
    <x v="96"/>
    <s v="+917313768514"/>
    <x v="0"/>
    <s v="Jaipur"/>
    <x v="3"/>
    <x v="2"/>
    <x v="4"/>
    <x v="0"/>
    <x v="11"/>
    <n v="1"/>
    <n v="77440"/>
    <n v="77440"/>
    <n v="5"/>
    <n v="73568"/>
    <x v="0"/>
    <x v="2"/>
    <d v="2024-12-13T00:00:00"/>
    <n v="11616"/>
  </r>
  <r>
    <x v="101"/>
    <x v="0"/>
    <x v="93"/>
    <x v="4"/>
    <x v="97"/>
    <s v="+919799785954"/>
    <x v="0"/>
    <s v="Rajkot"/>
    <x v="5"/>
    <x v="3"/>
    <x v="16"/>
    <x v="5"/>
    <x v="1"/>
    <n v="3"/>
    <n v="77440"/>
    <n v="232320"/>
    <n v="10"/>
    <n v="209088"/>
    <x v="1"/>
    <x v="1"/>
    <s v="Not Delivered"/>
    <n v="34848"/>
  </r>
  <r>
    <x v="102"/>
    <x v="1"/>
    <x v="94"/>
    <x v="8"/>
    <x v="98"/>
    <s v="+916263786354"/>
    <x v="0"/>
    <s v="Jodhpur"/>
    <x v="3"/>
    <x v="2"/>
    <x v="27"/>
    <x v="5"/>
    <x v="8"/>
    <n v="2"/>
    <n v="77440"/>
    <n v="154880"/>
    <n v="0"/>
    <n v="154880"/>
    <x v="3"/>
    <x v="0"/>
    <s v="Not Delivered"/>
    <n v="23232"/>
  </r>
  <r>
    <x v="103"/>
    <x v="1"/>
    <x v="95"/>
    <x v="0"/>
    <x v="99"/>
    <s v="+918991552605"/>
    <x v="0"/>
    <s v="Amritsar"/>
    <x v="4"/>
    <x v="0"/>
    <x v="1"/>
    <x v="1"/>
    <x v="2"/>
    <n v="5"/>
    <n v="77440"/>
    <n v="387200"/>
    <n v="10"/>
    <n v="348480"/>
    <x v="2"/>
    <x v="0"/>
    <s v="Not Delivered"/>
    <n v="58080"/>
  </r>
  <r>
    <x v="104"/>
    <x v="1"/>
    <x v="96"/>
    <x v="0"/>
    <x v="54"/>
    <s v="+918516057366"/>
    <x v="0"/>
    <s v="Ahmedabad"/>
    <x v="5"/>
    <x v="0"/>
    <x v="3"/>
    <x v="2"/>
    <x v="7"/>
    <n v="3"/>
    <n v="77440"/>
    <n v="232320"/>
    <n v="15"/>
    <n v="197472"/>
    <x v="2"/>
    <x v="1"/>
    <s v="Not Delivered"/>
    <n v="34848"/>
  </r>
  <r>
    <x v="105"/>
    <x v="0"/>
    <x v="97"/>
    <x v="4"/>
    <x v="100"/>
    <s v="+918329999299"/>
    <x v="0"/>
    <s v="Pune"/>
    <x v="6"/>
    <x v="2"/>
    <x v="6"/>
    <x v="3"/>
    <x v="6"/>
    <n v="1"/>
    <n v="77440"/>
    <n v="77440"/>
    <n v="20"/>
    <n v="61952"/>
    <x v="1"/>
    <x v="1"/>
    <s v="Not Delivered"/>
    <n v="11616"/>
  </r>
  <r>
    <x v="106"/>
    <x v="0"/>
    <x v="98"/>
    <x v="1"/>
    <x v="101"/>
    <s v="+919937409871"/>
    <x v="0"/>
    <s v="New Delhi"/>
    <x v="0"/>
    <x v="0"/>
    <x v="23"/>
    <x v="4"/>
    <x v="3"/>
    <n v="2"/>
    <n v="77440"/>
    <n v="154880"/>
    <n v="10"/>
    <n v="139392"/>
    <x v="1"/>
    <x v="0"/>
    <s v="Not Delivered"/>
    <n v="23232"/>
  </r>
  <r>
    <x v="107"/>
    <x v="1"/>
    <x v="99"/>
    <x v="0"/>
    <x v="102"/>
    <s v="+917930237522"/>
    <x v="0"/>
    <s v="Warangal"/>
    <x v="9"/>
    <x v="0"/>
    <x v="15"/>
    <x v="4"/>
    <x v="7"/>
    <n v="3"/>
    <n v="77440"/>
    <n v="232320"/>
    <n v="20"/>
    <n v="185856"/>
    <x v="3"/>
    <x v="1"/>
    <s v="Not Delivered"/>
    <n v="34848"/>
  </r>
  <r>
    <x v="108"/>
    <x v="0"/>
    <x v="100"/>
    <x v="4"/>
    <x v="103"/>
    <s v="+916927743545"/>
    <x v="0"/>
    <s v="Vadodara"/>
    <x v="5"/>
    <x v="3"/>
    <x v="11"/>
    <x v="1"/>
    <x v="3"/>
    <n v="5"/>
    <n v="77440"/>
    <n v="387200"/>
    <n v="0"/>
    <n v="387200"/>
    <x v="2"/>
    <x v="1"/>
    <s v="Not Delivered"/>
    <n v="58080"/>
  </r>
  <r>
    <x v="109"/>
    <x v="0"/>
    <x v="101"/>
    <x v="7"/>
    <x v="104"/>
    <s v="+919623619948"/>
    <x v="0"/>
    <s v="Jodhpur"/>
    <x v="3"/>
    <x v="1"/>
    <x v="3"/>
    <x v="2"/>
    <x v="10"/>
    <n v="4"/>
    <n v="77440"/>
    <n v="309760"/>
    <n v="20"/>
    <n v="247808"/>
    <x v="2"/>
    <x v="1"/>
    <s v="Not Delivered"/>
    <n v="46464"/>
  </r>
  <r>
    <x v="110"/>
    <x v="0"/>
    <x v="102"/>
    <x v="0"/>
    <x v="105"/>
    <s v="+917940748458"/>
    <x v="0"/>
    <s v="New Delhi"/>
    <x v="0"/>
    <x v="1"/>
    <x v="14"/>
    <x v="1"/>
    <x v="3"/>
    <n v="1"/>
    <n v="77440"/>
    <n v="77440"/>
    <n v="0"/>
    <n v="77440"/>
    <x v="3"/>
    <x v="0"/>
    <s v="Not Delivered"/>
    <n v="11616"/>
  </r>
  <r>
    <x v="111"/>
    <x v="0"/>
    <x v="40"/>
    <x v="3"/>
    <x v="106"/>
    <s v="+918318429313"/>
    <x v="0"/>
    <s v="Jaipur"/>
    <x v="3"/>
    <x v="1"/>
    <x v="13"/>
    <x v="5"/>
    <x v="3"/>
    <n v="3"/>
    <n v="77440"/>
    <n v="232320"/>
    <n v="10"/>
    <n v="209088"/>
    <x v="3"/>
    <x v="0"/>
    <s v="Not Delivered"/>
    <n v="34848"/>
  </r>
  <r>
    <x v="112"/>
    <x v="0"/>
    <x v="103"/>
    <x v="2"/>
    <x v="107"/>
    <s v="+919990688517"/>
    <x v="0"/>
    <s v="Noida"/>
    <x v="1"/>
    <x v="0"/>
    <x v="1"/>
    <x v="1"/>
    <x v="6"/>
    <n v="3"/>
    <n v="77440"/>
    <n v="232320"/>
    <n v="5"/>
    <n v="220704"/>
    <x v="3"/>
    <x v="0"/>
    <s v="Not Delivered"/>
    <n v="34848"/>
  </r>
  <r>
    <x v="113"/>
    <x v="0"/>
    <x v="28"/>
    <x v="6"/>
    <x v="108"/>
    <s v="+916170107294"/>
    <x v="0"/>
    <s v="Jaipur"/>
    <x v="3"/>
    <x v="2"/>
    <x v="7"/>
    <x v="4"/>
    <x v="2"/>
    <n v="5"/>
    <n v="77440"/>
    <n v="387200"/>
    <n v="20"/>
    <n v="309760"/>
    <x v="2"/>
    <x v="0"/>
    <s v="Not Delivered"/>
    <n v="58080"/>
  </r>
  <r>
    <x v="114"/>
    <x v="1"/>
    <x v="81"/>
    <x v="8"/>
    <x v="109"/>
    <s v="+916510020817"/>
    <x v="0"/>
    <s v="New Delhi"/>
    <x v="0"/>
    <x v="3"/>
    <x v="15"/>
    <x v="4"/>
    <x v="9"/>
    <n v="3"/>
    <n v="77440"/>
    <n v="232320"/>
    <n v="5"/>
    <n v="220704"/>
    <x v="1"/>
    <x v="0"/>
    <s v="Not Delivered"/>
    <n v="34848"/>
  </r>
  <r>
    <x v="115"/>
    <x v="0"/>
    <x v="104"/>
    <x v="5"/>
    <x v="110"/>
    <s v="+919819220590"/>
    <x v="0"/>
    <s v="Noida"/>
    <x v="1"/>
    <x v="3"/>
    <x v="6"/>
    <x v="3"/>
    <x v="11"/>
    <n v="4"/>
    <n v="77440"/>
    <n v="309760"/>
    <n v="20"/>
    <n v="247808"/>
    <x v="0"/>
    <x v="0"/>
    <s v="Not Delivered"/>
    <n v="46464"/>
  </r>
  <r>
    <x v="116"/>
    <x v="0"/>
    <x v="105"/>
    <x v="3"/>
    <x v="111"/>
    <s v="+919150838783"/>
    <x v="0"/>
    <s v="Kolkata"/>
    <x v="2"/>
    <x v="3"/>
    <x v="3"/>
    <x v="2"/>
    <x v="2"/>
    <n v="4"/>
    <n v="77440"/>
    <n v="309760"/>
    <n v="20"/>
    <n v="247808"/>
    <x v="2"/>
    <x v="0"/>
    <s v="Not Delivered"/>
    <n v="46464"/>
  </r>
  <r>
    <x v="117"/>
    <x v="1"/>
    <x v="94"/>
    <x v="1"/>
    <x v="97"/>
    <s v="+919952662031"/>
    <x v="0"/>
    <s v="Kanpur"/>
    <x v="1"/>
    <x v="1"/>
    <x v="3"/>
    <x v="2"/>
    <x v="5"/>
    <n v="4"/>
    <n v="77440"/>
    <n v="309760"/>
    <n v="15"/>
    <n v="263296"/>
    <x v="2"/>
    <x v="0"/>
    <s v="Not Delivered"/>
    <n v="46464"/>
  </r>
  <r>
    <x v="118"/>
    <x v="0"/>
    <x v="106"/>
    <x v="9"/>
    <x v="85"/>
    <s v="+918454723484"/>
    <x v="0"/>
    <s v="Chandigarh"/>
    <x v="4"/>
    <x v="0"/>
    <x v="27"/>
    <x v="5"/>
    <x v="9"/>
    <n v="2"/>
    <n v="77440"/>
    <n v="154880"/>
    <n v="0"/>
    <n v="154880"/>
    <x v="1"/>
    <x v="1"/>
    <s v="Not Delivered"/>
    <n v="23232"/>
  </r>
  <r>
    <x v="119"/>
    <x v="0"/>
    <x v="107"/>
    <x v="5"/>
    <x v="112"/>
    <s v="+918829801874"/>
    <x v="0"/>
    <s v="New Delhi"/>
    <x v="0"/>
    <x v="2"/>
    <x v="5"/>
    <x v="1"/>
    <x v="11"/>
    <n v="5"/>
    <n v="77440"/>
    <n v="387200"/>
    <n v="20"/>
    <n v="309760"/>
    <x v="1"/>
    <x v="2"/>
    <d v="2024-02-18T00:00:00"/>
    <n v="58080"/>
  </r>
  <r>
    <x v="120"/>
    <x v="0"/>
    <x v="108"/>
    <x v="5"/>
    <x v="113"/>
    <s v="+919126437405"/>
    <x v="0"/>
    <s v="Coimbatore"/>
    <x v="7"/>
    <x v="3"/>
    <x v="6"/>
    <x v="3"/>
    <x v="3"/>
    <n v="4"/>
    <n v="77440"/>
    <n v="309760"/>
    <n v="20"/>
    <n v="247808"/>
    <x v="2"/>
    <x v="1"/>
    <s v="Not Delivered"/>
    <n v="46464"/>
  </r>
  <r>
    <x v="121"/>
    <x v="0"/>
    <x v="109"/>
    <x v="4"/>
    <x v="114"/>
    <s v="+916062726004"/>
    <x v="0"/>
    <s v="Hyderabad"/>
    <x v="9"/>
    <x v="1"/>
    <x v="26"/>
    <x v="4"/>
    <x v="1"/>
    <n v="2"/>
    <n v="77440"/>
    <n v="154880"/>
    <n v="15"/>
    <n v="131648"/>
    <x v="1"/>
    <x v="0"/>
    <s v="Not Delivered"/>
    <n v="23232"/>
  </r>
  <r>
    <x v="122"/>
    <x v="0"/>
    <x v="110"/>
    <x v="4"/>
    <x v="115"/>
    <s v="+919281359245"/>
    <x v="0"/>
    <s v="Chennai"/>
    <x v="7"/>
    <x v="2"/>
    <x v="24"/>
    <x v="4"/>
    <x v="8"/>
    <n v="3"/>
    <n v="77440"/>
    <n v="232320"/>
    <n v="0"/>
    <n v="232320"/>
    <x v="0"/>
    <x v="1"/>
    <s v="Not Delivered"/>
    <n v="34848"/>
  </r>
  <r>
    <x v="123"/>
    <x v="0"/>
    <x v="39"/>
    <x v="3"/>
    <x v="116"/>
    <s v="+918167072938"/>
    <x v="0"/>
    <s v="New Delhi"/>
    <x v="0"/>
    <x v="3"/>
    <x v="12"/>
    <x v="2"/>
    <x v="11"/>
    <n v="3"/>
    <n v="77440"/>
    <n v="232320"/>
    <n v="15"/>
    <n v="197472"/>
    <x v="2"/>
    <x v="2"/>
    <d v="2024-09-09T00:00:00"/>
    <n v="34848"/>
  </r>
  <r>
    <x v="124"/>
    <x v="1"/>
    <x v="111"/>
    <x v="4"/>
    <x v="117"/>
    <s v="+916469121497"/>
    <x v="0"/>
    <s v="Warangal"/>
    <x v="9"/>
    <x v="2"/>
    <x v="0"/>
    <x v="0"/>
    <x v="0"/>
    <n v="2"/>
    <n v="77440"/>
    <n v="154880"/>
    <n v="0"/>
    <n v="154880"/>
    <x v="3"/>
    <x v="1"/>
    <s v="Not Delivered"/>
    <n v="23232"/>
  </r>
  <r>
    <x v="125"/>
    <x v="1"/>
    <x v="112"/>
    <x v="5"/>
    <x v="118"/>
    <s v="+917919131268"/>
    <x v="0"/>
    <s v="Mumbai"/>
    <x v="6"/>
    <x v="2"/>
    <x v="2"/>
    <x v="0"/>
    <x v="7"/>
    <n v="1"/>
    <n v="77440"/>
    <n v="77440"/>
    <n v="5"/>
    <n v="73568"/>
    <x v="1"/>
    <x v="1"/>
    <s v="Not Delivered"/>
    <n v="11616"/>
  </r>
  <r>
    <x v="126"/>
    <x v="0"/>
    <x v="113"/>
    <x v="8"/>
    <x v="119"/>
    <s v="+918492389106"/>
    <x v="0"/>
    <s v="Rajkot"/>
    <x v="5"/>
    <x v="2"/>
    <x v="25"/>
    <x v="3"/>
    <x v="2"/>
    <n v="2"/>
    <n v="77440"/>
    <n v="154880"/>
    <n v="0"/>
    <n v="154880"/>
    <x v="1"/>
    <x v="2"/>
    <d v="2024-07-27T00:00:00"/>
    <n v="23232"/>
  </r>
  <r>
    <x v="127"/>
    <x v="0"/>
    <x v="114"/>
    <x v="7"/>
    <x v="120"/>
    <s v="+917519084502"/>
    <x v="0"/>
    <s v="Nashik"/>
    <x v="6"/>
    <x v="2"/>
    <x v="20"/>
    <x v="2"/>
    <x v="2"/>
    <n v="3"/>
    <n v="77440"/>
    <n v="232320"/>
    <n v="20"/>
    <n v="185856"/>
    <x v="3"/>
    <x v="2"/>
    <d v="2024-03-08T00:00:00"/>
    <n v="34848"/>
  </r>
  <r>
    <x v="128"/>
    <x v="0"/>
    <x v="29"/>
    <x v="0"/>
    <x v="46"/>
    <s v="+919746236927"/>
    <x v="0"/>
    <s v="Howrah"/>
    <x v="2"/>
    <x v="2"/>
    <x v="25"/>
    <x v="3"/>
    <x v="8"/>
    <n v="2"/>
    <n v="77440"/>
    <n v="154880"/>
    <n v="5"/>
    <n v="147136"/>
    <x v="3"/>
    <x v="0"/>
    <s v="Not Delivered"/>
    <n v="23232"/>
  </r>
  <r>
    <x v="129"/>
    <x v="1"/>
    <x v="112"/>
    <x v="6"/>
    <x v="121"/>
    <s v="+916350243820"/>
    <x v="0"/>
    <s v="Hyderabad"/>
    <x v="9"/>
    <x v="0"/>
    <x v="24"/>
    <x v="4"/>
    <x v="11"/>
    <n v="3"/>
    <n v="77440"/>
    <n v="232320"/>
    <n v="20"/>
    <n v="185856"/>
    <x v="1"/>
    <x v="2"/>
    <d v="2025-07-31T00:00:00"/>
    <n v="34848"/>
  </r>
  <r>
    <x v="130"/>
    <x v="0"/>
    <x v="115"/>
    <x v="0"/>
    <x v="122"/>
    <s v="+919989850280"/>
    <x v="0"/>
    <s v="Bangalore"/>
    <x v="8"/>
    <x v="0"/>
    <x v="26"/>
    <x v="4"/>
    <x v="7"/>
    <n v="3"/>
    <n v="77440"/>
    <n v="232320"/>
    <n v="20"/>
    <n v="185856"/>
    <x v="2"/>
    <x v="1"/>
    <s v="Not Delivered"/>
    <n v="34848"/>
  </r>
  <r>
    <x v="131"/>
    <x v="0"/>
    <x v="116"/>
    <x v="6"/>
    <x v="17"/>
    <s v="+919253960140"/>
    <x v="0"/>
    <s v="Kanpur"/>
    <x v="1"/>
    <x v="2"/>
    <x v="13"/>
    <x v="5"/>
    <x v="4"/>
    <n v="1"/>
    <n v="77440"/>
    <n v="77440"/>
    <n v="5"/>
    <n v="73568"/>
    <x v="3"/>
    <x v="2"/>
    <d v="2024-10-20T00:00:00"/>
    <n v="11616"/>
  </r>
  <r>
    <x v="132"/>
    <x v="1"/>
    <x v="117"/>
    <x v="9"/>
    <x v="123"/>
    <s v="+916103770461"/>
    <x v="0"/>
    <s v="Udaipur"/>
    <x v="3"/>
    <x v="0"/>
    <x v="0"/>
    <x v="0"/>
    <x v="6"/>
    <n v="3"/>
    <n v="77440"/>
    <n v="232320"/>
    <n v="0"/>
    <n v="232320"/>
    <x v="3"/>
    <x v="1"/>
    <s v="Not Delivered"/>
    <n v="34848"/>
  </r>
  <r>
    <x v="133"/>
    <x v="0"/>
    <x v="118"/>
    <x v="3"/>
    <x v="124"/>
    <s v="+918189321725"/>
    <x v="0"/>
    <s v="Lucknow"/>
    <x v="1"/>
    <x v="3"/>
    <x v="22"/>
    <x v="0"/>
    <x v="9"/>
    <n v="3"/>
    <n v="77440"/>
    <n v="232320"/>
    <n v="20"/>
    <n v="185856"/>
    <x v="0"/>
    <x v="0"/>
    <s v="Not Delivered"/>
    <n v="34848"/>
  </r>
  <r>
    <x v="134"/>
    <x v="0"/>
    <x v="45"/>
    <x v="0"/>
    <x v="9"/>
    <s v="+919216917770"/>
    <x v="0"/>
    <s v="Jodhpur"/>
    <x v="3"/>
    <x v="1"/>
    <x v="15"/>
    <x v="4"/>
    <x v="4"/>
    <n v="4"/>
    <n v="77440"/>
    <n v="309760"/>
    <n v="15"/>
    <n v="263296"/>
    <x v="1"/>
    <x v="1"/>
    <s v="Not Delivered"/>
    <n v="46464"/>
  </r>
  <r>
    <x v="135"/>
    <x v="0"/>
    <x v="119"/>
    <x v="8"/>
    <x v="125"/>
    <s v="+917310420764"/>
    <x v="0"/>
    <s v="Warangal"/>
    <x v="9"/>
    <x v="3"/>
    <x v="22"/>
    <x v="0"/>
    <x v="3"/>
    <n v="5"/>
    <n v="77440"/>
    <n v="387200"/>
    <n v="15"/>
    <n v="329120"/>
    <x v="2"/>
    <x v="0"/>
    <s v="Not Delivered"/>
    <n v="58080"/>
  </r>
  <r>
    <x v="136"/>
    <x v="0"/>
    <x v="80"/>
    <x v="0"/>
    <x v="126"/>
    <s v="+919143135887"/>
    <x v="0"/>
    <s v="Bangalore"/>
    <x v="8"/>
    <x v="3"/>
    <x v="16"/>
    <x v="5"/>
    <x v="4"/>
    <n v="4"/>
    <n v="77440"/>
    <n v="309760"/>
    <n v="0"/>
    <n v="309760"/>
    <x v="3"/>
    <x v="1"/>
    <s v="Not Delivered"/>
    <n v="46464"/>
  </r>
  <r>
    <x v="137"/>
    <x v="0"/>
    <x v="7"/>
    <x v="6"/>
    <x v="26"/>
    <s v="+917822212150"/>
    <x v="0"/>
    <s v="Ludhiana"/>
    <x v="4"/>
    <x v="1"/>
    <x v="23"/>
    <x v="4"/>
    <x v="9"/>
    <n v="4"/>
    <n v="77440"/>
    <n v="309760"/>
    <n v="15"/>
    <n v="263296"/>
    <x v="2"/>
    <x v="1"/>
    <s v="Not Delivered"/>
    <n v="46464"/>
  </r>
  <r>
    <x v="138"/>
    <x v="1"/>
    <x v="120"/>
    <x v="3"/>
    <x v="125"/>
    <s v="+916891158673"/>
    <x v="0"/>
    <s v="New Delhi"/>
    <x v="0"/>
    <x v="3"/>
    <x v="5"/>
    <x v="1"/>
    <x v="4"/>
    <n v="3"/>
    <n v="77440"/>
    <n v="232320"/>
    <n v="5"/>
    <n v="220704"/>
    <x v="3"/>
    <x v="2"/>
    <d v="2025-05-01T00:00:00"/>
    <n v="34848"/>
  </r>
  <r>
    <x v="139"/>
    <x v="0"/>
    <x v="121"/>
    <x v="4"/>
    <x v="127"/>
    <s v="+917876074404"/>
    <x v="0"/>
    <s v="Durgapur"/>
    <x v="2"/>
    <x v="1"/>
    <x v="13"/>
    <x v="5"/>
    <x v="8"/>
    <n v="4"/>
    <n v="77440"/>
    <n v="309760"/>
    <n v="5"/>
    <n v="294272"/>
    <x v="3"/>
    <x v="2"/>
    <d v="2024-01-19T00:00:00"/>
    <n v="46464"/>
  </r>
  <r>
    <x v="140"/>
    <x v="0"/>
    <x v="46"/>
    <x v="8"/>
    <x v="128"/>
    <s v="+917519416723"/>
    <x v="0"/>
    <s v="Howrah"/>
    <x v="2"/>
    <x v="0"/>
    <x v="26"/>
    <x v="4"/>
    <x v="4"/>
    <n v="2"/>
    <n v="77440"/>
    <n v="154880"/>
    <n v="15"/>
    <n v="131648"/>
    <x v="3"/>
    <x v="0"/>
    <s v="Not Delivered"/>
    <n v="23232"/>
  </r>
  <r>
    <x v="141"/>
    <x v="0"/>
    <x v="108"/>
    <x v="9"/>
    <x v="129"/>
    <s v="+919161128687"/>
    <x v="0"/>
    <s v="Hyderabad"/>
    <x v="9"/>
    <x v="3"/>
    <x v="17"/>
    <x v="2"/>
    <x v="11"/>
    <n v="2"/>
    <n v="77440"/>
    <n v="154880"/>
    <n v="10"/>
    <n v="139392"/>
    <x v="0"/>
    <x v="0"/>
    <s v="Not Delivered"/>
    <n v="23232"/>
  </r>
  <r>
    <x v="142"/>
    <x v="1"/>
    <x v="122"/>
    <x v="2"/>
    <x v="130"/>
    <s v="+916721856633"/>
    <x v="0"/>
    <s v="Noida"/>
    <x v="1"/>
    <x v="0"/>
    <x v="26"/>
    <x v="4"/>
    <x v="8"/>
    <n v="5"/>
    <n v="77440"/>
    <n v="387200"/>
    <n v="0"/>
    <n v="387200"/>
    <x v="2"/>
    <x v="2"/>
    <d v="2025-07-28T00:00:00"/>
    <n v="58080"/>
  </r>
  <r>
    <x v="143"/>
    <x v="0"/>
    <x v="123"/>
    <x v="5"/>
    <x v="131"/>
    <s v="+917658479339"/>
    <x v="0"/>
    <s v="Rajkot"/>
    <x v="5"/>
    <x v="2"/>
    <x v="23"/>
    <x v="4"/>
    <x v="6"/>
    <n v="3"/>
    <n v="77440"/>
    <n v="232320"/>
    <n v="0"/>
    <n v="232320"/>
    <x v="0"/>
    <x v="1"/>
    <s v="Not Delivered"/>
    <n v="34848"/>
  </r>
  <r>
    <x v="144"/>
    <x v="1"/>
    <x v="124"/>
    <x v="6"/>
    <x v="132"/>
    <s v="+919342823635"/>
    <x v="0"/>
    <s v="Nizamabad"/>
    <x v="9"/>
    <x v="1"/>
    <x v="0"/>
    <x v="0"/>
    <x v="2"/>
    <n v="1"/>
    <n v="77440"/>
    <n v="77440"/>
    <n v="5"/>
    <n v="73568"/>
    <x v="1"/>
    <x v="1"/>
    <s v="Not Delivered"/>
    <n v="11616"/>
  </r>
  <r>
    <x v="145"/>
    <x v="0"/>
    <x v="125"/>
    <x v="7"/>
    <x v="133"/>
    <s v="+919916125766"/>
    <x v="0"/>
    <s v="Coimbatore"/>
    <x v="7"/>
    <x v="2"/>
    <x v="2"/>
    <x v="0"/>
    <x v="1"/>
    <n v="1"/>
    <n v="77440"/>
    <n v="77440"/>
    <n v="5"/>
    <n v="73568"/>
    <x v="0"/>
    <x v="0"/>
    <s v="Not Delivered"/>
    <n v="11616"/>
  </r>
  <r>
    <x v="146"/>
    <x v="0"/>
    <x v="126"/>
    <x v="6"/>
    <x v="134"/>
    <s v="+916204929050"/>
    <x v="0"/>
    <s v="Jodhpur"/>
    <x v="3"/>
    <x v="0"/>
    <x v="3"/>
    <x v="2"/>
    <x v="8"/>
    <n v="3"/>
    <n v="77440"/>
    <n v="232320"/>
    <n v="15"/>
    <n v="197472"/>
    <x v="3"/>
    <x v="0"/>
    <s v="Not Delivered"/>
    <n v="34848"/>
  </r>
  <r>
    <x v="147"/>
    <x v="1"/>
    <x v="127"/>
    <x v="3"/>
    <x v="135"/>
    <s v="+916495223047"/>
    <x v="0"/>
    <s v="Noida"/>
    <x v="1"/>
    <x v="2"/>
    <x v="13"/>
    <x v="5"/>
    <x v="3"/>
    <n v="5"/>
    <n v="77440"/>
    <n v="387200"/>
    <n v="10"/>
    <n v="348480"/>
    <x v="2"/>
    <x v="0"/>
    <s v="Not Delivered"/>
    <n v="58080"/>
  </r>
  <r>
    <x v="148"/>
    <x v="1"/>
    <x v="128"/>
    <x v="5"/>
    <x v="136"/>
    <s v="+919685322669"/>
    <x v="0"/>
    <s v="Rajkot"/>
    <x v="5"/>
    <x v="3"/>
    <x v="22"/>
    <x v="0"/>
    <x v="5"/>
    <n v="4"/>
    <n v="77440"/>
    <n v="309760"/>
    <n v="0"/>
    <n v="309760"/>
    <x v="0"/>
    <x v="2"/>
    <d v="2025-02-05T00:00:00"/>
    <n v="46464"/>
  </r>
  <r>
    <x v="149"/>
    <x v="0"/>
    <x v="33"/>
    <x v="2"/>
    <x v="67"/>
    <s v="+918737652231"/>
    <x v="0"/>
    <s v="Pune"/>
    <x v="6"/>
    <x v="2"/>
    <x v="10"/>
    <x v="3"/>
    <x v="5"/>
    <n v="1"/>
    <n v="77440"/>
    <n v="77440"/>
    <n v="0"/>
    <n v="77440"/>
    <x v="2"/>
    <x v="0"/>
    <s v="Not Delivered"/>
    <n v="11616"/>
  </r>
  <r>
    <x v="150"/>
    <x v="0"/>
    <x v="129"/>
    <x v="0"/>
    <x v="125"/>
    <s v="+916815695723"/>
    <x v="0"/>
    <s v="Nizamabad"/>
    <x v="9"/>
    <x v="1"/>
    <x v="15"/>
    <x v="4"/>
    <x v="2"/>
    <n v="3"/>
    <n v="77440"/>
    <n v="232320"/>
    <n v="0"/>
    <n v="232320"/>
    <x v="3"/>
    <x v="1"/>
    <s v="Not Delivered"/>
    <n v="34848"/>
  </r>
  <r>
    <x v="151"/>
    <x v="0"/>
    <x v="130"/>
    <x v="2"/>
    <x v="137"/>
    <s v="+916762150824"/>
    <x v="0"/>
    <s v="Jodhpur"/>
    <x v="3"/>
    <x v="1"/>
    <x v="15"/>
    <x v="4"/>
    <x v="6"/>
    <n v="2"/>
    <n v="77440"/>
    <n v="154880"/>
    <n v="10"/>
    <n v="139392"/>
    <x v="3"/>
    <x v="2"/>
    <d v="2024-12-30T00:00:00"/>
    <n v="23232"/>
  </r>
  <r>
    <x v="152"/>
    <x v="0"/>
    <x v="131"/>
    <x v="4"/>
    <x v="138"/>
    <s v="+918861541730"/>
    <x v="0"/>
    <s v="Bangalore"/>
    <x v="8"/>
    <x v="1"/>
    <x v="20"/>
    <x v="2"/>
    <x v="0"/>
    <n v="1"/>
    <n v="77440"/>
    <n v="77440"/>
    <n v="0"/>
    <n v="77440"/>
    <x v="0"/>
    <x v="2"/>
    <d v="2025-01-05T00:00:00"/>
    <n v="11616"/>
  </r>
  <r>
    <x v="153"/>
    <x v="1"/>
    <x v="132"/>
    <x v="9"/>
    <x v="139"/>
    <s v="+919056432190"/>
    <x v="0"/>
    <s v="Nizamabad"/>
    <x v="9"/>
    <x v="0"/>
    <x v="12"/>
    <x v="2"/>
    <x v="2"/>
    <n v="4"/>
    <n v="77440"/>
    <n v="309760"/>
    <n v="0"/>
    <n v="309760"/>
    <x v="1"/>
    <x v="2"/>
    <d v="2025-02-27T00:00:00"/>
    <n v="46464"/>
  </r>
  <r>
    <x v="154"/>
    <x v="0"/>
    <x v="76"/>
    <x v="9"/>
    <x v="140"/>
    <s v="+918361582608"/>
    <x v="0"/>
    <s v="Jaipur"/>
    <x v="3"/>
    <x v="3"/>
    <x v="2"/>
    <x v="0"/>
    <x v="2"/>
    <n v="2"/>
    <n v="77440"/>
    <n v="154880"/>
    <n v="15"/>
    <n v="131648"/>
    <x v="1"/>
    <x v="1"/>
    <s v="Not Delivered"/>
    <n v="23232"/>
  </r>
  <r>
    <x v="155"/>
    <x v="0"/>
    <x v="30"/>
    <x v="0"/>
    <x v="141"/>
    <s v="+916980960991"/>
    <x v="0"/>
    <s v="Madurai"/>
    <x v="7"/>
    <x v="2"/>
    <x v="18"/>
    <x v="1"/>
    <x v="1"/>
    <n v="3"/>
    <n v="77440"/>
    <n v="232320"/>
    <n v="10"/>
    <n v="209088"/>
    <x v="2"/>
    <x v="1"/>
    <s v="Not Delivered"/>
    <n v="34848"/>
  </r>
  <r>
    <x v="156"/>
    <x v="0"/>
    <x v="133"/>
    <x v="1"/>
    <x v="142"/>
    <s v="+917370934497"/>
    <x v="0"/>
    <s v="Varanasi"/>
    <x v="1"/>
    <x v="0"/>
    <x v="14"/>
    <x v="1"/>
    <x v="7"/>
    <n v="4"/>
    <n v="77440"/>
    <n v="309760"/>
    <n v="15"/>
    <n v="263296"/>
    <x v="0"/>
    <x v="2"/>
    <d v="2024-09-17T00:00:00"/>
    <n v="46464"/>
  </r>
  <r>
    <x v="157"/>
    <x v="1"/>
    <x v="134"/>
    <x v="2"/>
    <x v="143"/>
    <s v="+916210537456"/>
    <x v="0"/>
    <s v="Mangalore"/>
    <x v="8"/>
    <x v="3"/>
    <x v="4"/>
    <x v="0"/>
    <x v="11"/>
    <n v="5"/>
    <n v="77440"/>
    <n v="387200"/>
    <n v="10"/>
    <n v="348480"/>
    <x v="2"/>
    <x v="2"/>
    <d v="2025-01-10T00:00:00"/>
    <n v="58080"/>
  </r>
  <r>
    <x v="158"/>
    <x v="0"/>
    <x v="135"/>
    <x v="3"/>
    <x v="48"/>
    <s v="+919805830546"/>
    <x v="0"/>
    <s v="Bangalore"/>
    <x v="8"/>
    <x v="0"/>
    <x v="15"/>
    <x v="4"/>
    <x v="4"/>
    <n v="5"/>
    <n v="77440"/>
    <n v="387200"/>
    <n v="15"/>
    <n v="329120"/>
    <x v="1"/>
    <x v="1"/>
    <s v="Not Delivered"/>
    <n v="58080"/>
  </r>
  <r>
    <x v="159"/>
    <x v="1"/>
    <x v="60"/>
    <x v="9"/>
    <x v="50"/>
    <s v="+917652110956"/>
    <x v="0"/>
    <s v="Kolkata"/>
    <x v="2"/>
    <x v="2"/>
    <x v="15"/>
    <x v="4"/>
    <x v="6"/>
    <n v="5"/>
    <n v="77440"/>
    <n v="387200"/>
    <n v="15"/>
    <n v="329120"/>
    <x v="3"/>
    <x v="1"/>
    <s v="Not Delivered"/>
    <n v="58080"/>
  </r>
  <r>
    <x v="160"/>
    <x v="1"/>
    <x v="136"/>
    <x v="1"/>
    <x v="144"/>
    <s v="+919875918373"/>
    <x v="0"/>
    <s v="Ludhiana"/>
    <x v="4"/>
    <x v="1"/>
    <x v="19"/>
    <x v="3"/>
    <x v="10"/>
    <n v="2"/>
    <n v="77440"/>
    <n v="154880"/>
    <n v="15"/>
    <n v="131648"/>
    <x v="3"/>
    <x v="2"/>
    <d v="2025-07-13T00:00:00"/>
    <n v="23232"/>
  </r>
  <r>
    <x v="161"/>
    <x v="0"/>
    <x v="135"/>
    <x v="0"/>
    <x v="145"/>
    <s v="+918496910254"/>
    <x v="0"/>
    <s v="Udaipur"/>
    <x v="3"/>
    <x v="1"/>
    <x v="23"/>
    <x v="4"/>
    <x v="0"/>
    <n v="1"/>
    <n v="77440"/>
    <n v="77440"/>
    <n v="5"/>
    <n v="73568"/>
    <x v="1"/>
    <x v="2"/>
    <d v="2024-08-28T00:00:00"/>
    <n v="11616"/>
  </r>
  <r>
    <x v="162"/>
    <x v="0"/>
    <x v="137"/>
    <x v="1"/>
    <x v="146"/>
    <s v="+916386999862"/>
    <x v="0"/>
    <s v="Udaipur"/>
    <x v="3"/>
    <x v="3"/>
    <x v="16"/>
    <x v="5"/>
    <x v="2"/>
    <n v="4"/>
    <n v="77440"/>
    <n v="309760"/>
    <n v="20"/>
    <n v="247808"/>
    <x v="3"/>
    <x v="1"/>
    <s v="Not Delivered"/>
    <n v="46464"/>
  </r>
  <r>
    <x v="163"/>
    <x v="1"/>
    <x v="138"/>
    <x v="7"/>
    <x v="147"/>
    <s v="+918086029600"/>
    <x v="0"/>
    <s v="Chandigarh"/>
    <x v="4"/>
    <x v="1"/>
    <x v="26"/>
    <x v="4"/>
    <x v="9"/>
    <n v="3"/>
    <n v="77440"/>
    <n v="232320"/>
    <n v="10"/>
    <n v="209088"/>
    <x v="2"/>
    <x v="0"/>
    <s v="Not Delivered"/>
    <n v="34848"/>
  </r>
  <r>
    <x v="164"/>
    <x v="0"/>
    <x v="139"/>
    <x v="7"/>
    <x v="148"/>
    <s v="+919631986526"/>
    <x v="0"/>
    <s v="New Delhi"/>
    <x v="0"/>
    <x v="2"/>
    <x v="12"/>
    <x v="2"/>
    <x v="5"/>
    <n v="3"/>
    <n v="77440"/>
    <n v="232320"/>
    <n v="15"/>
    <n v="197472"/>
    <x v="3"/>
    <x v="0"/>
    <s v="Not Delivered"/>
    <n v="34848"/>
  </r>
  <r>
    <x v="165"/>
    <x v="1"/>
    <x v="140"/>
    <x v="3"/>
    <x v="149"/>
    <s v="+919424633858"/>
    <x v="0"/>
    <s v="Nizamabad"/>
    <x v="9"/>
    <x v="2"/>
    <x v="8"/>
    <x v="5"/>
    <x v="9"/>
    <n v="4"/>
    <n v="77440"/>
    <n v="309760"/>
    <n v="10"/>
    <n v="278784"/>
    <x v="1"/>
    <x v="1"/>
    <s v="Not Delivered"/>
    <n v="46464"/>
  </r>
  <r>
    <x v="166"/>
    <x v="1"/>
    <x v="141"/>
    <x v="8"/>
    <x v="150"/>
    <s v="+916396085441"/>
    <x v="0"/>
    <s v="Ludhiana"/>
    <x v="4"/>
    <x v="0"/>
    <x v="26"/>
    <x v="4"/>
    <x v="7"/>
    <n v="1"/>
    <n v="77440"/>
    <n v="77440"/>
    <n v="0"/>
    <n v="77440"/>
    <x v="3"/>
    <x v="0"/>
    <s v="Not Delivered"/>
    <n v="11616"/>
  </r>
  <r>
    <x v="167"/>
    <x v="0"/>
    <x v="75"/>
    <x v="8"/>
    <x v="121"/>
    <s v="+918705724695"/>
    <x v="0"/>
    <s v="Hyderabad"/>
    <x v="9"/>
    <x v="3"/>
    <x v="10"/>
    <x v="3"/>
    <x v="0"/>
    <n v="5"/>
    <n v="77440"/>
    <n v="387200"/>
    <n v="0"/>
    <n v="387200"/>
    <x v="2"/>
    <x v="1"/>
    <s v="Not Delivered"/>
    <n v="58080"/>
  </r>
  <r>
    <x v="168"/>
    <x v="0"/>
    <x v="125"/>
    <x v="3"/>
    <x v="51"/>
    <s v="+917897867447"/>
    <x v="0"/>
    <s v="Chandigarh"/>
    <x v="4"/>
    <x v="0"/>
    <x v="18"/>
    <x v="1"/>
    <x v="2"/>
    <n v="2"/>
    <n v="77440"/>
    <n v="154880"/>
    <n v="10"/>
    <n v="139392"/>
    <x v="3"/>
    <x v="1"/>
    <s v="Not Delivered"/>
    <n v="23232"/>
  </r>
  <r>
    <x v="169"/>
    <x v="1"/>
    <x v="142"/>
    <x v="3"/>
    <x v="151"/>
    <s v="+918591172981"/>
    <x v="0"/>
    <s v="Chennai"/>
    <x v="7"/>
    <x v="1"/>
    <x v="16"/>
    <x v="5"/>
    <x v="0"/>
    <n v="4"/>
    <n v="77440"/>
    <n v="309760"/>
    <n v="0"/>
    <n v="309760"/>
    <x v="3"/>
    <x v="2"/>
    <d v="2025-01-13T00:00:00"/>
    <n v="46464"/>
  </r>
  <r>
    <x v="170"/>
    <x v="1"/>
    <x v="143"/>
    <x v="5"/>
    <x v="152"/>
    <s v="+919902948560"/>
    <x v="0"/>
    <s v="Mumbai"/>
    <x v="6"/>
    <x v="0"/>
    <x v="11"/>
    <x v="1"/>
    <x v="0"/>
    <n v="5"/>
    <n v="77440"/>
    <n v="387200"/>
    <n v="0"/>
    <n v="387200"/>
    <x v="2"/>
    <x v="0"/>
    <s v="Not Delivered"/>
    <n v="58080"/>
  </r>
  <r>
    <x v="171"/>
    <x v="0"/>
    <x v="144"/>
    <x v="0"/>
    <x v="153"/>
    <s v="+918680939195"/>
    <x v="0"/>
    <s v="Madurai"/>
    <x v="7"/>
    <x v="3"/>
    <x v="4"/>
    <x v="0"/>
    <x v="0"/>
    <n v="4"/>
    <n v="77440"/>
    <n v="309760"/>
    <n v="15"/>
    <n v="263296"/>
    <x v="1"/>
    <x v="2"/>
    <d v="2024-06-27T00:00:00"/>
    <n v="46464"/>
  </r>
  <r>
    <x v="172"/>
    <x v="0"/>
    <x v="145"/>
    <x v="2"/>
    <x v="91"/>
    <s v="+919089969261"/>
    <x v="0"/>
    <s v="Jaipur"/>
    <x v="3"/>
    <x v="1"/>
    <x v="12"/>
    <x v="2"/>
    <x v="1"/>
    <n v="3"/>
    <n v="77440"/>
    <n v="232320"/>
    <n v="15"/>
    <n v="197472"/>
    <x v="2"/>
    <x v="0"/>
    <s v="Not Delivered"/>
    <n v="34848"/>
  </r>
  <r>
    <x v="173"/>
    <x v="0"/>
    <x v="146"/>
    <x v="5"/>
    <x v="154"/>
    <s v="+916337232198"/>
    <x v="0"/>
    <s v="Aurangabad"/>
    <x v="6"/>
    <x v="3"/>
    <x v="7"/>
    <x v="4"/>
    <x v="6"/>
    <n v="3"/>
    <n v="77440"/>
    <n v="232320"/>
    <n v="5"/>
    <n v="220704"/>
    <x v="0"/>
    <x v="1"/>
    <s v="Not Delivered"/>
    <n v="34848"/>
  </r>
  <r>
    <x v="174"/>
    <x v="0"/>
    <x v="147"/>
    <x v="4"/>
    <x v="155"/>
    <s v="+918995797744"/>
    <x v="0"/>
    <s v="Amritsar"/>
    <x v="4"/>
    <x v="2"/>
    <x v="2"/>
    <x v="0"/>
    <x v="4"/>
    <n v="1"/>
    <n v="77440"/>
    <n v="77440"/>
    <n v="0"/>
    <n v="77440"/>
    <x v="2"/>
    <x v="0"/>
    <s v="Not Delivered"/>
    <n v="11616"/>
  </r>
  <r>
    <x v="175"/>
    <x v="1"/>
    <x v="148"/>
    <x v="1"/>
    <x v="58"/>
    <s v="+919544567478"/>
    <x v="0"/>
    <s v="Chandigarh"/>
    <x v="4"/>
    <x v="0"/>
    <x v="1"/>
    <x v="1"/>
    <x v="11"/>
    <n v="2"/>
    <n v="77440"/>
    <n v="154880"/>
    <n v="0"/>
    <n v="154880"/>
    <x v="2"/>
    <x v="0"/>
    <s v="Not Delivered"/>
    <n v="23232"/>
  </r>
  <r>
    <x v="176"/>
    <x v="0"/>
    <x v="149"/>
    <x v="2"/>
    <x v="34"/>
    <s v="+917774813623"/>
    <x v="0"/>
    <s v="Coimbatore"/>
    <x v="7"/>
    <x v="0"/>
    <x v="17"/>
    <x v="2"/>
    <x v="11"/>
    <n v="4"/>
    <n v="77440"/>
    <n v="309760"/>
    <n v="20"/>
    <n v="247808"/>
    <x v="0"/>
    <x v="0"/>
    <s v="Not Delivered"/>
    <n v="46464"/>
  </r>
  <r>
    <x v="177"/>
    <x v="0"/>
    <x v="4"/>
    <x v="9"/>
    <x v="92"/>
    <s v="+919292012940"/>
    <x v="0"/>
    <s v="New Delhi"/>
    <x v="0"/>
    <x v="3"/>
    <x v="2"/>
    <x v="0"/>
    <x v="2"/>
    <n v="3"/>
    <n v="77440"/>
    <n v="232320"/>
    <n v="5"/>
    <n v="220704"/>
    <x v="3"/>
    <x v="2"/>
    <d v="2024-05-15T00:00:00"/>
    <n v="34848"/>
  </r>
  <r>
    <x v="178"/>
    <x v="1"/>
    <x v="150"/>
    <x v="0"/>
    <x v="156"/>
    <s v="+918716702232"/>
    <x v="0"/>
    <s v="Ahmedabad"/>
    <x v="5"/>
    <x v="0"/>
    <x v="11"/>
    <x v="1"/>
    <x v="8"/>
    <n v="5"/>
    <n v="77440"/>
    <n v="387200"/>
    <n v="0"/>
    <n v="387200"/>
    <x v="2"/>
    <x v="1"/>
    <s v="Not Delivered"/>
    <n v="58080"/>
  </r>
  <r>
    <x v="179"/>
    <x v="0"/>
    <x v="135"/>
    <x v="9"/>
    <x v="139"/>
    <s v="+917714283187"/>
    <x v="0"/>
    <s v="New Delhi"/>
    <x v="0"/>
    <x v="3"/>
    <x v="25"/>
    <x v="3"/>
    <x v="3"/>
    <n v="2"/>
    <n v="77440"/>
    <n v="154880"/>
    <n v="5"/>
    <n v="147136"/>
    <x v="0"/>
    <x v="1"/>
    <s v="Not Delivered"/>
    <n v="23232"/>
  </r>
  <r>
    <x v="180"/>
    <x v="0"/>
    <x v="1"/>
    <x v="9"/>
    <x v="157"/>
    <s v="+916565124178"/>
    <x v="0"/>
    <s v="Mumbai"/>
    <x v="6"/>
    <x v="2"/>
    <x v="1"/>
    <x v="1"/>
    <x v="5"/>
    <n v="3"/>
    <n v="77440"/>
    <n v="232320"/>
    <n v="5"/>
    <n v="220704"/>
    <x v="3"/>
    <x v="0"/>
    <s v="Not Delivered"/>
    <n v="34848"/>
  </r>
  <r>
    <x v="181"/>
    <x v="0"/>
    <x v="151"/>
    <x v="1"/>
    <x v="158"/>
    <s v="+917775316776"/>
    <x v="0"/>
    <s v="Chandigarh"/>
    <x v="4"/>
    <x v="1"/>
    <x v="8"/>
    <x v="5"/>
    <x v="6"/>
    <n v="3"/>
    <n v="77440"/>
    <n v="232320"/>
    <n v="20"/>
    <n v="185856"/>
    <x v="3"/>
    <x v="0"/>
    <s v="Not Delivered"/>
    <n v="34848"/>
  </r>
  <r>
    <x v="182"/>
    <x v="0"/>
    <x v="77"/>
    <x v="2"/>
    <x v="159"/>
    <s v="+916891413779"/>
    <x v="0"/>
    <s v="Jaipur"/>
    <x v="3"/>
    <x v="2"/>
    <x v="10"/>
    <x v="3"/>
    <x v="2"/>
    <n v="4"/>
    <n v="77440"/>
    <n v="309760"/>
    <n v="20"/>
    <n v="247808"/>
    <x v="0"/>
    <x v="0"/>
    <s v="Not Delivered"/>
    <n v="46464"/>
  </r>
  <r>
    <x v="183"/>
    <x v="0"/>
    <x v="29"/>
    <x v="4"/>
    <x v="160"/>
    <s v="+919769875876"/>
    <x v="0"/>
    <s v="Chandigarh"/>
    <x v="4"/>
    <x v="3"/>
    <x v="13"/>
    <x v="5"/>
    <x v="10"/>
    <n v="2"/>
    <n v="77440"/>
    <n v="154880"/>
    <n v="15"/>
    <n v="131648"/>
    <x v="3"/>
    <x v="1"/>
    <s v="Not Delivered"/>
    <n v="23232"/>
  </r>
  <r>
    <x v="184"/>
    <x v="1"/>
    <x v="152"/>
    <x v="3"/>
    <x v="161"/>
    <s v="+919814656233"/>
    <x v="0"/>
    <s v="New Delhi"/>
    <x v="0"/>
    <x v="3"/>
    <x v="10"/>
    <x v="3"/>
    <x v="7"/>
    <n v="2"/>
    <n v="77440"/>
    <n v="154880"/>
    <n v="20"/>
    <n v="123904"/>
    <x v="0"/>
    <x v="2"/>
    <d v="2025-05-08T00:00:00"/>
    <n v="23232"/>
  </r>
  <r>
    <x v="185"/>
    <x v="1"/>
    <x v="153"/>
    <x v="8"/>
    <x v="122"/>
    <s v="+917621302626"/>
    <x v="0"/>
    <s v="Vadodara"/>
    <x v="5"/>
    <x v="2"/>
    <x v="20"/>
    <x v="2"/>
    <x v="8"/>
    <n v="4"/>
    <n v="77440"/>
    <n v="309760"/>
    <n v="15"/>
    <n v="263296"/>
    <x v="0"/>
    <x v="2"/>
    <d v="2025-03-04T00:00:00"/>
    <n v="46464"/>
  </r>
  <r>
    <x v="186"/>
    <x v="0"/>
    <x v="137"/>
    <x v="7"/>
    <x v="23"/>
    <s v="+919445346903"/>
    <x v="0"/>
    <s v="Mysore"/>
    <x v="8"/>
    <x v="3"/>
    <x v="13"/>
    <x v="5"/>
    <x v="9"/>
    <n v="3"/>
    <n v="77440"/>
    <n v="232320"/>
    <n v="20"/>
    <n v="185856"/>
    <x v="2"/>
    <x v="0"/>
    <s v="Not Delivered"/>
    <n v="34848"/>
  </r>
  <r>
    <x v="187"/>
    <x v="1"/>
    <x v="154"/>
    <x v="1"/>
    <x v="162"/>
    <s v="+919695376594"/>
    <x v="0"/>
    <s v="Warangal"/>
    <x v="9"/>
    <x v="2"/>
    <x v="27"/>
    <x v="5"/>
    <x v="1"/>
    <n v="2"/>
    <n v="77440"/>
    <n v="154880"/>
    <n v="15"/>
    <n v="131648"/>
    <x v="3"/>
    <x v="1"/>
    <s v="Not Delivered"/>
    <n v="23232"/>
  </r>
  <r>
    <x v="188"/>
    <x v="1"/>
    <x v="64"/>
    <x v="4"/>
    <x v="163"/>
    <s v="+916125919337"/>
    <x v="0"/>
    <s v="New Delhi"/>
    <x v="0"/>
    <x v="1"/>
    <x v="0"/>
    <x v="0"/>
    <x v="5"/>
    <n v="5"/>
    <n v="77440"/>
    <n v="387200"/>
    <n v="10"/>
    <n v="348480"/>
    <x v="0"/>
    <x v="1"/>
    <s v="Not Delivered"/>
    <n v="58080"/>
  </r>
  <r>
    <x v="189"/>
    <x v="1"/>
    <x v="155"/>
    <x v="3"/>
    <x v="164"/>
    <s v="+918042712862"/>
    <x v="0"/>
    <s v="Nizamabad"/>
    <x v="9"/>
    <x v="1"/>
    <x v="26"/>
    <x v="4"/>
    <x v="6"/>
    <n v="1"/>
    <n v="77440"/>
    <n v="77440"/>
    <n v="20"/>
    <n v="61952"/>
    <x v="1"/>
    <x v="1"/>
    <s v="Not Delivered"/>
    <n v="11616"/>
  </r>
  <r>
    <x v="190"/>
    <x v="1"/>
    <x v="156"/>
    <x v="9"/>
    <x v="132"/>
    <s v="+917821683361"/>
    <x v="0"/>
    <s v="Mysore"/>
    <x v="8"/>
    <x v="2"/>
    <x v="10"/>
    <x v="3"/>
    <x v="1"/>
    <n v="3"/>
    <n v="77440"/>
    <n v="232320"/>
    <n v="0"/>
    <n v="232320"/>
    <x v="3"/>
    <x v="1"/>
    <s v="Not Delivered"/>
    <n v="34848"/>
  </r>
  <r>
    <x v="191"/>
    <x v="0"/>
    <x v="157"/>
    <x v="1"/>
    <x v="165"/>
    <s v="+918593511067"/>
    <x v="0"/>
    <s v="Warangal"/>
    <x v="9"/>
    <x v="1"/>
    <x v="15"/>
    <x v="4"/>
    <x v="0"/>
    <n v="4"/>
    <n v="77440"/>
    <n v="309760"/>
    <n v="5"/>
    <n v="294272"/>
    <x v="0"/>
    <x v="2"/>
    <d v="2024-02-11T00:00:00"/>
    <n v="46464"/>
  </r>
  <r>
    <x v="192"/>
    <x v="1"/>
    <x v="158"/>
    <x v="6"/>
    <x v="166"/>
    <s v="+916131871275"/>
    <x v="0"/>
    <s v="Jodhpur"/>
    <x v="3"/>
    <x v="2"/>
    <x v="5"/>
    <x v="1"/>
    <x v="11"/>
    <n v="4"/>
    <n v="77440"/>
    <n v="309760"/>
    <n v="20"/>
    <n v="247808"/>
    <x v="2"/>
    <x v="0"/>
    <s v="Not Delivered"/>
    <n v="46464"/>
  </r>
  <r>
    <x v="193"/>
    <x v="0"/>
    <x v="159"/>
    <x v="8"/>
    <x v="167"/>
    <s v="+918220637208"/>
    <x v="0"/>
    <s v="Nashik"/>
    <x v="6"/>
    <x v="3"/>
    <x v="24"/>
    <x v="4"/>
    <x v="6"/>
    <n v="2"/>
    <n v="77440"/>
    <n v="154880"/>
    <n v="0"/>
    <n v="154880"/>
    <x v="3"/>
    <x v="0"/>
    <s v="Not Delivered"/>
    <n v="23232"/>
  </r>
  <r>
    <x v="194"/>
    <x v="0"/>
    <x v="160"/>
    <x v="2"/>
    <x v="69"/>
    <s v="+919915814134"/>
    <x v="0"/>
    <s v="Hyderabad"/>
    <x v="9"/>
    <x v="0"/>
    <x v="15"/>
    <x v="4"/>
    <x v="7"/>
    <n v="2"/>
    <n v="77440"/>
    <n v="154880"/>
    <n v="15"/>
    <n v="131648"/>
    <x v="1"/>
    <x v="2"/>
    <d v="2024-12-07T00:00:00"/>
    <n v="23232"/>
  </r>
  <r>
    <x v="195"/>
    <x v="1"/>
    <x v="161"/>
    <x v="6"/>
    <x v="168"/>
    <s v="+919482937298"/>
    <x v="0"/>
    <s v="Nashik"/>
    <x v="6"/>
    <x v="1"/>
    <x v="2"/>
    <x v="0"/>
    <x v="6"/>
    <n v="1"/>
    <n v="77440"/>
    <n v="77440"/>
    <n v="5"/>
    <n v="73568"/>
    <x v="1"/>
    <x v="2"/>
    <d v="2025-01-17T00:00:00"/>
    <n v="11616"/>
  </r>
  <r>
    <x v="196"/>
    <x v="0"/>
    <x v="162"/>
    <x v="9"/>
    <x v="169"/>
    <s v="+918813574091"/>
    <x v="0"/>
    <s v="Bangalore"/>
    <x v="8"/>
    <x v="3"/>
    <x v="10"/>
    <x v="3"/>
    <x v="9"/>
    <n v="2"/>
    <n v="77440"/>
    <n v="154880"/>
    <n v="5"/>
    <n v="147136"/>
    <x v="1"/>
    <x v="0"/>
    <s v="Not Delivered"/>
    <n v="23232"/>
  </r>
  <r>
    <x v="197"/>
    <x v="0"/>
    <x v="62"/>
    <x v="7"/>
    <x v="170"/>
    <s v="+917658199391"/>
    <x v="0"/>
    <s v="Mangalore"/>
    <x v="8"/>
    <x v="0"/>
    <x v="1"/>
    <x v="1"/>
    <x v="1"/>
    <n v="1"/>
    <n v="77440"/>
    <n v="77440"/>
    <n v="0"/>
    <n v="77440"/>
    <x v="3"/>
    <x v="1"/>
    <s v="Not Delivered"/>
    <n v="11616"/>
  </r>
  <r>
    <x v="198"/>
    <x v="0"/>
    <x v="163"/>
    <x v="1"/>
    <x v="171"/>
    <s v="+919958186207"/>
    <x v="0"/>
    <s v="Surat"/>
    <x v="5"/>
    <x v="0"/>
    <x v="5"/>
    <x v="1"/>
    <x v="3"/>
    <n v="1"/>
    <n v="77440"/>
    <n v="77440"/>
    <n v="20"/>
    <n v="61952"/>
    <x v="2"/>
    <x v="2"/>
    <d v="2024-05-03T00:00:00"/>
    <n v="11616"/>
  </r>
  <r>
    <x v="199"/>
    <x v="0"/>
    <x v="164"/>
    <x v="8"/>
    <x v="172"/>
    <s v="+918363148726"/>
    <x v="0"/>
    <s v="Jodhpur"/>
    <x v="3"/>
    <x v="3"/>
    <x v="12"/>
    <x v="2"/>
    <x v="11"/>
    <n v="5"/>
    <n v="77440"/>
    <n v="387200"/>
    <n v="0"/>
    <n v="387200"/>
    <x v="3"/>
    <x v="2"/>
    <d v="2024-12-11T00:00:00"/>
    <n v="58080"/>
  </r>
  <r>
    <x v="200"/>
    <x v="1"/>
    <x v="165"/>
    <x v="6"/>
    <x v="173"/>
    <s v="+919112047201"/>
    <x v="0"/>
    <s v="Ahmedabad"/>
    <x v="5"/>
    <x v="2"/>
    <x v="26"/>
    <x v="4"/>
    <x v="2"/>
    <n v="5"/>
    <n v="77440"/>
    <n v="387200"/>
    <n v="0"/>
    <n v="387200"/>
    <x v="2"/>
    <x v="2"/>
    <d v="2025-03-30T00:00:00"/>
    <n v="58080"/>
  </r>
  <r>
    <x v="201"/>
    <x v="0"/>
    <x v="166"/>
    <x v="1"/>
    <x v="174"/>
    <s v="+919735778827"/>
    <x v="0"/>
    <s v="Lucknow"/>
    <x v="1"/>
    <x v="1"/>
    <x v="15"/>
    <x v="4"/>
    <x v="5"/>
    <n v="4"/>
    <n v="77440"/>
    <n v="309760"/>
    <n v="0"/>
    <n v="309760"/>
    <x v="1"/>
    <x v="2"/>
    <d v="2024-03-21T00:00:00"/>
    <n v="46464"/>
  </r>
  <r>
    <x v="202"/>
    <x v="0"/>
    <x v="167"/>
    <x v="7"/>
    <x v="175"/>
    <s v="+919420776492"/>
    <x v="0"/>
    <s v="Udaipur"/>
    <x v="3"/>
    <x v="0"/>
    <x v="21"/>
    <x v="5"/>
    <x v="0"/>
    <n v="5"/>
    <n v="77440"/>
    <n v="387200"/>
    <n v="0"/>
    <n v="387200"/>
    <x v="1"/>
    <x v="0"/>
    <s v="Not Delivered"/>
    <n v="58080"/>
  </r>
  <r>
    <x v="203"/>
    <x v="0"/>
    <x v="168"/>
    <x v="0"/>
    <x v="176"/>
    <s v="+916049358707"/>
    <x v="0"/>
    <s v="New Delhi"/>
    <x v="0"/>
    <x v="3"/>
    <x v="3"/>
    <x v="2"/>
    <x v="7"/>
    <n v="4"/>
    <n v="77440"/>
    <n v="309760"/>
    <n v="10"/>
    <n v="278784"/>
    <x v="0"/>
    <x v="2"/>
    <d v="2024-08-07T00:00:00"/>
    <n v="46464"/>
  </r>
  <r>
    <x v="204"/>
    <x v="1"/>
    <x v="87"/>
    <x v="8"/>
    <x v="177"/>
    <s v="+916194531938"/>
    <x v="0"/>
    <s v="New Delhi"/>
    <x v="0"/>
    <x v="0"/>
    <x v="2"/>
    <x v="0"/>
    <x v="11"/>
    <n v="1"/>
    <n v="77440"/>
    <n v="77440"/>
    <n v="0"/>
    <n v="77440"/>
    <x v="3"/>
    <x v="2"/>
    <d v="2025-02-25T00:00:00"/>
    <n v="11616"/>
  </r>
  <r>
    <x v="205"/>
    <x v="0"/>
    <x v="169"/>
    <x v="8"/>
    <x v="178"/>
    <s v="+916118105098"/>
    <x v="0"/>
    <s v="Mysore"/>
    <x v="8"/>
    <x v="2"/>
    <x v="14"/>
    <x v="1"/>
    <x v="8"/>
    <n v="5"/>
    <n v="77440"/>
    <n v="387200"/>
    <n v="5"/>
    <n v="367840"/>
    <x v="2"/>
    <x v="0"/>
    <s v="Not Delivered"/>
    <n v="58080"/>
  </r>
  <r>
    <x v="206"/>
    <x v="0"/>
    <x v="41"/>
    <x v="4"/>
    <x v="179"/>
    <s v="+918027303888"/>
    <x v="0"/>
    <s v="Varanasi"/>
    <x v="1"/>
    <x v="3"/>
    <x v="20"/>
    <x v="2"/>
    <x v="8"/>
    <n v="3"/>
    <n v="77440"/>
    <n v="232320"/>
    <n v="15"/>
    <n v="197472"/>
    <x v="1"/>
    <x v="1"/>
    <s v="Not Delivered"/>
    <n v="34848"/>
  </r>
  <r>
    <x v="207"/>
    <x v="0"/>
    <x v="126"/>
    <x v="3"/>
    <x v="180"/>
    <s v="+916135585073"/>
    <x v="0"/>
    <s v="Jodhpur"/>
    <x v="3"/>
    <x v="2"/>
    <x v="24"/>
    <x v="4"/>
    <x v="1"/>
    <n v="1"/>
    <n v="77440"/>
    <n v="77440"/>
    <n v="20"/>
    <n v="61952"/>
    <x v="2"/>
    <x v="0"/>
    <s v="Not Delivered"/>
    <n v="11616"/>
  </r>
  <r>
    <x v="208"/>
    <x v="0"/>
    <x v="170"/>
    <x v="4"/>
    <x v="11"/>
    <s v="+919381516875"/>
    <x v="0"/>
    <s v="Mumbai"/>
    <x v="6"/>
    <x v="1"/>
    <x v="9"/>
    <x v="3"/>
    <x v="11"/>
    <n v="4"/>
    <n v="77440"/>
    <n v="309760"/>
    <n v="5"/>
    <n v="294272"/>
    <x v="0"/>
    <x v="1"/>
    <s v="Not Delivered"/>
    <n v="46464"/>
  </r>
  <r>
    <x v="209"/>
    <x v="0"/>
    <x v="171"/>
    <x v="7"/>
    <x v="28"/>
    <s v="+919453808010"/>
    <x v="0"/>
    <s v="Nagpur"/>
    <x v="6"/>
    <x v="1"/>
    <x v="18"/>
    <x v="1"/>
    <x v="5"/>
    <n v="1"/>
    <n v="77440"/>
    <n v="77440"/>
    <n v="20"/>
    <n v="61952"/>
    <x v="1"/>
    <x v="0"/>
    <s v="Not Delivered"/>
    <n v="11616"/>
  </r>
  <r>
    <x v="210"/>
    <x v="1"/>
    <x v="172"/>
    <x v="0"/>
    <x v="181"/>
    <s v="+917192567634"/>
    <x v="0"/>
    <s v="Chennai"/>
    <x v="7"/>
    <x v="3"/>
    <x v="3"/>
    <x v="2"/>
    <x v="6"/>
    <n v="5"/>
    <n v="77440"/>
    <n v="387200"/>
    <n v="20"/>
    <n v="309760"/>
    <x v="0"/>
    <x v="0"/>
    <s v="Not Delivered"/>
    <n v="58080"/>
  </r>
  <r>
    <x v="211"/>
    <x v="0"/>
    <x v="173"/>
    <x v="0"/>
    <x v="182"/>
    <s v="+917104180434"/>
    <x v="0"/>
    <s v="Bangalore"/>
    <x v="8"/>
    <x v="0"/>
    <x v="18"/>
    <x v="1"/>
    <x v="10"/>
    <n v="3"/>
    <n v="77440"/>
    <n v="232320"/>
    <n v="20"/>
    <n v="185856"/>
    <x v="2"/>
    <x v="2"/>
    <d v="2024-03-03T00:00:00"/>
    <n v="34848"/>
  </r>
  <r>
    <x v="212"/>
    <x v="0"/>
    <x v="174"/>
    <x v="2"/>
    <x v="178"/>
    <s v="+918298162752"/>
    <x v="0"/>
    <s v="Madurai"/>
    <x v="7"/>
    <x v="3"/>
    <x v="24"/>
    <x v="4"/>
    <x v="4"/>
    <n v="2"/>
    <n v="77440"/>
    <n v="154880"/>
    <n v="15"/>
    <n v="131648"/>
    <x v="3"/>
    <x v="2"/>
    <d v="2024-04-09T00:00:00"/>
    <n v="23232"/>
  </r>
  <r>
    <x v="213"/>
    <x v="0"/>
    <x v="38"/>
    <x v="8"/>
    <x v="183"/>
    <s v="+916458751411"/>
    <x v="0"/>
    <s v="Nagpur"/>
    <x v="6"/>
    <x v="1"/>
    <x v="27"/>
    <x v="5"/>
    <x v="5"/>
    <n v="3"/>
    <n v="77440"/>
    <n v="232320"/>
    <n v="20"/>
    <n v="185856"/>
    <x v="1"/>
    <x v="1"/>
    <s v="Not Delivered"/>
    <n v="34848"/>
  </r>
  <r>
    <x v="214"/>
    <x v="0"/>
    <x v="40"/>
    <x v="0"/>
    <x v="184"/>
    <s v="+918342945891"/>
    <x v="0"/>
    <s v="Ludhiana"/>
    <x v="4"/>
    <x v="3"/>
    <x v="22"/>
    <x v="0"/>
    <x v="6"/>
    <n v="5"/>
    <n v="77440"/>
    <n v="387200"/>
    <n v="5"/>
    <n v="367840"/>
    <x v="2"/>
    <x v="2"/>
    <d v="2024-05-02T00:00:00"/>
    <n v="58080"/>
  </r>
  <r>
    <x v="215"/>
    <x v="0"/>
    <x v="19"/>
    <x v="0"/>
    <x v="185"/>
    <s v="+916572155480"/>
    <x v="0"/>
    <s v="Madurai"/>
    <x v="7"/>
    <x v="3"/>
    <x v="16"/>
    <x v="5"/>
    <x v="6"/>
    <n v="3"/>
    <n v="77440"/>
    <n v="232320"/>
    <n v="20"/>
    <n v="185856"/>
    <x v="0"/>
    <x v="2"/>
    <d v="2024-12-12T00:00:00"/>
    <n v="34848"/>
  </r>
  <r>
    <x v="216"/>
    <x v="1"/>
    <x v="55"/>
    <x v="4"/>
    <x v="38"/>
    <s v="+918137042144"/>
    <x v="0"/>
    <s v="Noida"/>
    <x v="1"/>
    <x v="0"/>
    <x v="2"/>
    <x v="0"/>
    <x v="3"/>
    <n v="1"/>
    <n v="77440"/>
    <n v="77440"/>
    <n v="15"/>
    <n v="65824"/>
    <x v="1"/>
    <x v="0"/>
    <s v="Not Delivered"/>
    <n v="11616"/>
  </r>
  <r>
    <x v="217"/>
    <x v="1"/>
    <x v="175"/>
    <x v="2"/>
    <x v="186"/>
    <s v="+919403884570"/>
    <x v="0"/>
    <s v="Kanpur"/>
    <x v="1"/>
    <x v="0"/>
    <x v="15"/>
    <x v="4"/>
    <x v="8"/>
    <n v="5"/>
    <n v="77440"/>
    <n v="387200"/>
    <n v="20"/>
    <n v="309760"/>
    <x v="0"/>
    <x v="1"/>
    <s v="Not Delivered"/>
    <n v="58080"/>
  </r>
  <r>
    <x v="218"/>
    <x v="1"/>
    <x v="176"/>
    <x v="6"/>
    <x v="187"/>
    <s v="+918572122901"/>
    <x v="0"/>
    <s v="Bangalore"/>
    <x v="8"/>
    <x v="2"/>
    <x v="9"/>
    <x v="3"/>
    <x v="4"/>
    <n v="3"/>
    <n v="77440"/>
    <n v="232320"/>
    <n v="20"/>
    <n v="185856"/>
    <x v="0"/>
    <x v="0"/>
    <s v="Not Delivered"/>
    <n v="34848"/>
  </r>
  <r>
    <x v="219"/>
    <x v="0"/>
    <x v="14"/>
    <x v="3"/>
    <x v="188"/>
    <s v="+918997152327"/>
    <x v="0"/>
    <s v="Nagpur"/>
    <x v="6"/>
    <x v="3"/>
    <x v="4"/>
    <x v="0"/>
    <x v="9"/>
    <n v="1"/>
    <n v="77440"/>
    <n v="77440"/>
    <n v="0"/>
    <n v="77440"/>
    <x v="3"/>
    <x v="2"/>
    <d v="2024-06-30T00:00:00"/>
    <n v="11616"/>
  </r>
  <r>
    <x v="220"/>
    <x v="0"/>
    <x v="76"/>
    <x v="6"/>
    <x v="189"/>
    <s v="+916204293649"/>
    <x v="0"/>
    <s v="Aurangabad"/>
    <x v="6"/>
    <x v="0"/>
    <x v="23"/>
    <x v="4"/>
    <x v="1"/>
    <n v="5"/>
    <n v="77440"/>
    <n v="387200"/>
    <n v="5"/>
    <n v="367840"/>
    <x v="0"/>
    <x v="1"/>
    <s v="Not Delivered"/>
    <n v="58080"/>
  </r>
  <r>
    <x v="221"/>
    <x v="0"/>
    <x v="177"/>
    <x v="3"/>
    <x v="190"/>
    <s v="+916067435328"/>
    <x v="0"/>
    <s v="Warangal"/>
    <x v="9"/>
    <x v="3"/>
    <x v="8"/>
    <x v="5"/>
    <x v="11"/>
    <n v="5"/>
    <n v="77440"/>
    <n v="387200"/>
    <n v="15"/>
    <n v="329120"/>
    <x v="0"/>
    <x v="2"/>
    <d v="2024-02-24T00:00:00"/>
    <n v="58080"/>
  </r>
  <r>
    <x v="222"/>
    <x v="1"/>
    <x v="178"/>
    <x v="2"/>
    <x v="191"/>
    <s v="+917053061263"/>
    <x v="0"/>
    <s v="Lucknow"/>
    <x v="1"/>
    <x v="2"/>
    <x v="4"/>
    <x v="0"/>
    <x v="10"/>
    <n v="5"/>
    <n v="77440"/>
    <n v="387200"/>
    <n v="5"/>
    <n v="367840"/>
    <x v="2"/>
    <x v="0"/>
    <s v="Not Delivered"/>
    <n v="58080"/>
  </r>
  <r>
    <x v="223"/>
    <x v="1"/>
    <x v="179"/>
    <x v="4"/>
    <x v="192"/>
    <s v="+919186386261"/>
    <x v="0"/>
    <s v="Hyderabad"/>
    <x v="9"/>
    <x v="2"/>
    <x v="17"/>
    <x v="2"/>
    <x v="9"/>
    <n v="2"/>
    <n v="77440"/>
    <n v="154880"/>
    <n v="20"/>
    <n v="123904"/>
    <x v="1"/>
    <x v="2"/>
    <d v="2025-02-18T00:00:00"/>
    <n v="23232"/>
  </r>
  <r>
    <x v="224"/>
    <x v="0"/>
    <x v="98"/>
    <x v="2"/>
    <x v="193"/>
    <s v="+919938977021"/>
    <x v="0"/>
    <s v="New Delhi"/>
    <x v="0"/>
    <x v="2"/>
    <x v="3"/>
    <x v="2"/>
    <x v="1"/>
    <n v="1"/>
    <n v="77440"/>
    <n v="77440"/>
    <n v="0"/>
    <n v="77440"/>
    <x v="1"/>
    <x v="2"/>
    <d v="2024-12-22T00:00:00"/>
    <n v="11616"/>
  </r>
  <r>
    <x v="225"/>
    <x v="0"/>
    <x v="180"/>
    <x v="8"/>
    <x v="194"/>
    <s v="+919703757549"/>
    <x v="0"/>
    <s v="Howrah"/>
    <x v="2"/>
    <x v="1"/>
    <x v="10"/>
    <x v="3"/>
    <x v="3"/>
    <n v="3"/>
    <n v="77440"/>
    <n v="232320"/>
    <n v="0"/>
    <n v="232320"/>
    <x v="2"/>
    <x v="2"/>
    <d v="2024-05-28T00:00:00"/>
    <n v="34848"/>
  </r>
  <r>
    <x v="226"/>
    <x v="0"/>
    <x v="181"/>
    <x v="9"/>
    <x v="195"/>
    <s v="+916917678390"/>
    <x v="0"/>
    <s v="Mumbai"/>
    <x v="6"/>
    <x v="1"/>
    <x v="0"/>
    <x v="0"/>
    <x v="9"/>
    <n v="4"/>
    <n v="77440"/>
    <n v="309760"/>
    <n v="5"/>
    <n v="294272"/>
    <x v="3"/>
    <x v="0"/>
    <s v="Not Delivered"/>
    <n v="46464"/>
  </r>
  <r>
    <x v="227"/>
    <x v="1"/>
    <x v="182"/>
    <x v="2"/>
    <x v="141"/>
    <s v="+918605814054"/>
    <x v="0"/>
    <s v="Howrah"/>
    <x v="2"/>
    <x v="0"/>
    <x v="8"/>
    <x v="5"/>
    <x v="8"/>
    <n v="3"/>
    <n v="77440"/>
    <n v="232320"/>
    <n v="5"/>
    <n v="220704"/>
    <x v="1"/>
    <x v="0"/>
    <s v="Not Delivered"/>
    <n v="34848"/>
  </r>
  <r>
    <x v="228"/>
    <x v="1"/>
    <x v="183"/>
    <x v="4"/>
    <x v="196"/>
    <s v="+919373987070"/>
    <x v="0"/>
    <s v="Amritsar"/>
    <x v="4"/>
    <x v="2"/>
    <x v="24"/>
    <x v="4"/>
    <x v="8"/>
    <n v="2"/>
    <n v="77440"/>
    <n v="154880"/>
    <n v="0"/>
    <n v="154880"/>
    <x v="3"/>
    <x v="2"/>
    <d v="2025-05-10T00:00:00"/>
    <n v="23232"/>
  </r>
  <r>
    <x v="229"/>
    <x v="0"/>
    <x v="184"/>
    <x v="7"/>
    <x v="197"/>
    <s v="+918202351173"/>
    <x v="0"/>
    <s v="Warangal"/>
    <x v="9"/>
    <x v="3"/>
    <x v="2"/>
    <x v="0"/>
    <x v="2"/>
    <n v="1"/>
    <n v="77440"/>
    <n v="77440"/>
    <n v="0"/>
    <n v="77440"/>
    <x v="2"/>
    <x v="0"/>
    <s v="Not Delivered"/>
    <n v="11616"/>
  </r>
  <r>
    <x v="230"/>
    <x v="0"/>
    <x v="6"/>
    <x v="4"/>
    <x v="170"/>
    <s v="+918762892922"/>
    <x v="0"/>
    <s v="Coimbatore"/>
    <x v="7"/>
    <x v="1"/>
    <x v="20"/>
    <x v="2"/>
    <x v="5"/>
    <n v="5"/>
    <n v="77440"/>
    <n v="387200"/>
    <n v="0"/>
    <n v="387200"/>
    <x v="2"/>
    <x v="2"/>
    <d v="2024-04-16T00:00:00"/>
    <n v="58080"/>
  </r>
  <r>
    <x v="231"/>
    <x v="0"/>
    <x v="185"/>
    <x v="9"/>
    <x v="198"/>
    <s v="+916563054300"/>
    <x v="0"/>
    <s v="Nagpur"/>
    <x v="6"/>
    <x v="3"/>
    <x v="13"/>
    <x v="5"/>
    <x v="11"/>
    <n v="1"/>
    <n v="77440"/>
    <n v="77440"/>
    <n v="5"/>
    <n v="73568"/>
    <x v="2"/>
    <x v="1"/>
    <s v="Not Delivered"/>
    <n v="11616"/>
  </r>
  <r>
    <x v="232"/>
    <x v="1"/>
    <x v="186"/>
    <x v="7"/>
    <x v="199"/>
    <s v="+918103850507"/>
    <x v="0"/>
    <s v="Durgapur"/>
    <x v="2"/>
    <x v="3"/>
    <x v="1"/>
    <x v="1"/>
    <x v="6"/>
    <n v="5"/>
    <n v="77440"/>
    <n v="387200"/>
    <n v="10"/>
    <n v="348480"/>
    <x v="2"/>
    <x v="0"/>
    <s v="Not Delivered"/>
    <n v="58080"/>
  </r>
  <r>
    <x v="233"/>
    <x v="0"/>
    <x v="187"/>
    <x v="1"/>
    <x v="200"/>
    <s v="+919324338728"/>
    <x v="0"/>
    <s v="Aurangabad"/>
    <x v="6"/>
    <x v="1"/>
    <x v="27"/>
    <x v="5"/>
    <x v="4"/>
    <n v="2"/>
    <n v="77440"/>
    <n v="154880"/>
    <n v="15"/>
    <n v="131648"/>
    <x v="1"/>
    <x v="0"/>
    <s v="Not Delivered"/>
    <n v="23232"/>
  </r>
  <r>
    <x v="234"/>
    <x v="0"/>
    <x v="188"/>
    <x v="9"/>
    <x v="201"/>
    <s v="+918763932008"/>
    <x v="0"/>
    <s v="Lucknow"/>
    <x v="1"/>
    <x v="1"/>
    <x v="15"/>
    <x v="4"/>
    <x v="3"/>
    <n v="3"/>
    <n v="77440"/>
    <n v="232320"/>
    <n v="5"/>
    <n v="220704"/>
    <x v="0"/>
    <x v="1"/>
    <s v="Not Delivered"/>
    <n v="34848"/>
  </r>
  <r>
    <x v="235"/>
    <x v="0"/>
    <x v="189"/>
    <x v="4"/>
    <x v="202"/>
    <s v="+918424843626"/>
    <x v="0"/>
    <s v="Bangalore"/>
    <x v="8"/>
    <x v="0"/>
    <x v="18"/>
    <x v="1"/>
    <x v="0"/>
    <n v="2"/>
    <n v="77440"/>
    <n v="154880"/>
    <n v="5"/>
    <n v="147136"/>
    <x v="1"/>
    <x v="1"/>
    <s v="Not Delivered"/>
    <n v="23232"/>
  </r>
  <r>
    <x v="236"/>
    <x v="1"/>
    <x v="190"/>
    <x v="8"/>
    <x v="203"/>
    <s v="+917056832816"/>
    <x v="0"/>
    <s v="Mysore"/>
    <x v="8"/>
    <x v="2"/>
    <x v="21"/>
    <x v="5"/>
    <x v="3"/>
    <n v="4"/>
    <n v="77440"/>
    <n v="309760"/>
    <n v="0"/>
    <n v="309760"/>
    <x v="1"/>
    <x v="1"/>
    <s v="Not Delivered"/>
    <n v="46464"/>
  </r>
  <r>
    <x v="237"/>
    <x v="1"/>
    <x v="142"/>
    <x v="0"/>
    <x v="204"/>
    <s v="+917219846613"/>
    <x v="0"/>
    <s v="New Delhi"/>
    <x v="0"/>
    <x v="3"/>
    <x v="19"/>
    <x v="3"/>
    <x v="0"/>
    <n v="1"/>
    <n v="77440"/>
    <n v="77440"/>
    <n v="10"/>
    <n v="69696"/>
    <x v="3"/>
    <x v="2"/>
    <d v="2025-01-13T00:00:00"/>
    <n v="11616"/>
  </r>
  <r>
    <x v="238"/>
    <x v="0"/>
    <x v="191"/>
    <x v="7"/>
    <x v="205"/>
    <s v="+918922050616"/>
    <x v="0"/>
    <s v="Rajkot"/>
    <x v="5"/>
    <x v="1"/>
    <x v="10"/>
    <x v="3"/>
    <x v="0"/>
    <n v="2"/>
    <n v="77440"/>
    <n v="154880"/>
    <n v="20"/>
    <n v="123904"/>
    <x v="2"/>
    <x v="1"/>
    <s v="Not Delivered"/>
    <n v="23232"/>
  </r>
  <r>
    <x v="239"/>
    <x v="0"/>
    <x v="160"/>
    <x v="9"/>
    <x v="206"/>
    <s v="+917562880537"/>
    <x v="0"/>
    <s v="Ahmedabad"/>
    <x v="5"/>
    <x v="3"/>
    <x v="3"/>
    <x v="2"/>
    <x v="10"/>
    <n v="4"/>
    <n v="77440"/>
    <n v="309760"/>
    <n v="0"/>
    <n v="309760"/>
    <x v="0"/>
    <x v="2"/>
    <d v="2024-12-07T00:00:00"/>
    <n v="46464"/>
  </r>
  <r>
    <x v="240"/>
    <x v="1"/>
    <x v="192"/>
    <x v="3"/>
    <x v="86"/>
    <s v="+917673379197"/>
    <x v="0"/>
    <s v="Howrah"/>
    <x v="2"/>
    <x v="2"/>
    <x v="0"/>
    <x v="0"/>
    <x v="5"/>
    <n v="4"/>
    <n v="77440"/>
    <n v="309760"/>
    <n v="0"/>
    <n v="309760"/>
    <x v="1"/>
    <x v="0"/>
    <s v="Not Delivered"/>
    <n v="46464"/>
  </r>
  <r>
    <x v="241"/>
    <x v="1"/>
    <x v="193"/>
    <x v="2"/>
    <x v="207"/>
    <s v="+917633207304"/>
    <x v="0"/>
    <s v="Warangal"/>
    <x v="9"/>
    <x v="2"/>
    <x v="10"/>
    <x v="3"/>
    <x v="5"/>
    <n v="4"/>
    <n v="77440"/>
    <n v="309760"/>
    <n v="10"/>
    <n v="278784"/>
    <x v="2"/>
    <x v="1"/>
    <s v="Not Delivered"/>
    <n v="46464"/>
  </r>
  <r>
    <x v="242"/>
    <x v="1"/>
    <x v="194"/>
    <x v="1"/>
    <x v="208"/>
    <s v="+919756088711"/>
    <x v="0"/>
    <s v="New Delhi"/>
    <x v="0"/>
    <x v="2"/>
    <x v="26"/>
    <x v="4"/>
    <x v="5"/>
    <n v="5"/>
    <n v="77440"/>
    <n v="387200"/>
    <n v="15"/>
    <n v="329120"/>
    <x v="0"/>
    <x v="1"/>
    <s v="Not Delivered"/>
    <n v="58080"/>
  </r>
  <r>
    <x v="243"/>
    <x v="0"/>
    <x v="195"/>
    <x v="4"/>
    <x v="209"/>
    <s v="+917514822071"/>
    <x v="0"/>
    <s v="Kolkata"/>
    <x v="2"/>
    <x v="0"/>
    <x v="4"/>
    <x v="0"/>
    <x v="10"/>
    <n v="1"/>
    <n v="77440"/>
    <n v="77440"/>
    <n v="20"/>
    <n v="61952"/>
    <x v="1"/>
    <x v="1"/>
    <s v="Not Delivered"/>
    <n v="11616"/>
  </r>
  <r>
    <x v="244"/>
    <x v="0"/>
    <x v="196"/>
    <x v="3"/>
    <x v="133"/>
    <s v="+917880794543"/>
    <x v="0"/>
    <s v="Jaipur"/>
    <x v="3"/>
    <x v="1"/>
    <x v="26"/>
    <x v="4"/>
    <x v="3"/>
    <n v="5"/>
    <n v="77440"/>
    <n v="387200"/>
    <n v="10"/>
    <n v="348480"/>
    <x v="2"/>
    <x v="2"/>
    <d v="2024-05-07T00:00:00"/>
    <n v="58080"/>
  </r>
  <r>
    <x v="245"/>
    <x v="0"/>
    <x v="197"/>
    <x v="5"/>
    <x v="210"/>
    <s v="+916744712509"/>
    <x v="0"/>
    <s v="New Delhi"/>
    <x v="0"/>
    <x v="0"/>
    <x v="3"/>
    <x v="2"/>
    <x v="4"/>
    <n v="4"/>
    <n v="77440"/>
    <n v="309760"/>
    <n v="0"/>
    <n v="309760"/>
    <x v="3"/>
    <x v="1"/>
    <s v="Not Delivered"/>
    <n v="46464"/>
  </r>
  <r>
    <x v="246"/>
    <x v="1"/>
    <x v="134"/>
    <x v="4"/>
    <x v="211"/>
    <s v="+919937082701"/>
    <x v="0"/>
    <s v="Ludhiana"/>
    <x v="4"/>
    <x v="2"/>
    <x v="11"/>
    <x v="1"/>
    <x v="9"/>
    <n v="1"/>
    <n v="77440"/>
    <n v="77440"/>
    <n v="0"/>
    <n v="77440"/>
    <x v="0"/>
    <x v="0"/>
    <s v="Not Delivered"/>
    <n v="11616"/>
  </r>
  <r>
    <x v="247"/>
    <x v="1"/>
    <x v="161"/>
    <x v="0"/>
    <x v="212"/>
    <s v="+916106077839"/>
    <x v="0"/>
    <s v="Ludhiana"/>
    <x v="4"/>
    <x v="3"/>
    <x v="3"/>
    <x v="2"/>
    <x v="9"/>
    <n v="1"/>
    <n v="77440"/>
    <n v="77440"/>
    <n v="15"/>
    <n v="65824"/>
    <x v="1"/>
    <x v="2"/>
    <d v="2025-01-17T00:00:00"/>
    <n v="11616"/>
  </r>
  <r>
    <x v="248"/>
    <x v="1"/>
    <x v="198"/>
    <x v="6"/>
    <x v="213"/>
    <s v="+917332226392"/>
    <x v="0"/>
    <s v="Ahmedabad"/>
    <x v="5"/>
    <x v="0"/>
    <x v="27"/>
    <x v="5"/>
    <x v="3"/>
    <n v="2"/>
    <n v="77440"/>
    <n v="154880"/>
    <n v="10"/>
    <n v="139392"/>
    <x v="3"/>
    <x v="0"/>
    <s v="Not Delivered"/>
    <n v="23232"/>
  </r>
  <r>
    <x v="249"/>
    <x v="0"/>
    <x v="199"/>
    <x v="5"/>
    <x v="214"/>
    <s v="+916733324740"/>
    <x v="0"/>
    <s v="Hyderabad"/>
    <x v="9"/>
    <x v="2"/>
    <x v="21"/>
    <x v="5"/>
    <x v="7"/>
    <n v="5"/>
    <n v="77440"/>
    <n v="387200"/>
    <n v="20"/>
    <n v="309760"/>
    <x v="3"/>
    <x v="2"/>
    <d v="2024-08-05T00:00:00"/>
    <n v="58080"/>
  </r>
  <r>
    <x v="250"/>
    <x v="0"/>
    <x v="51"/>
    <x v="0"/>
    <x v="215"/>
    <s v="+917303445387"/>
    <x v="0"/>
    <s v="Varanasi"/>
    <x v="1"/>
    <x v="3"/>
    <x v="26"/>
    <x v="4"/>
    <x v="11"/>
    <n v="4"/>
    <n v="77440"/>
    <n v="309760"/>
    <n v="20"/>
    <n v="247808"/>
    <x v="3"/>
    <x v="2"/>
    <d v="2024-02-15T00:00:00"/>
    <n v="46464"/>
  </r>
  <r>
    <x v="251"/>
    <x v="0"/>
    <x v="125"/>
    <x v="7"/>
    <x v="146"/>
    <s v="+918347339634"/>
    <x v="0"/>
    <s v="Durgapur"/>
    <x v="2"/>
    <x v="2"/>
    <x v="0"/>
    <x v="0"/>
    <x v="3"/>
    <n v="2"/>
    <n v="77440"/>
    <n v="154880"/>
    <n v="15"/>
    <n v="131648"/>
    <x v="1"/>
    <x v="0"/>
    <s v="Not Delivered"/>
    <n v="23232"/>
  </r>
  <r>
    <x v="252"/>
    <x v="1"/>
    <x v="54"/>
    <x v="8"/>
    <x v="216"/>
    <s v="+917275345442"/>
    <x v="0"/>
    <s v="Chandigarh"/>
    <x v="4"/>
    <x v="1"/>
    <x v="23"/>
    <x v="4"/>
    <x v="8"/>
    <n v="4"/>
    <n v="77440"/>
    <n v="309760"/>
    <n v="0"/>
    <n v="309760"/>
    <x v="3"/>
    <x v="1"/>
    <s v="Not Delivered"/>
    <n v="46464"/>
  </r>
  <r>
    <x v="253"/>
    <x v="0"/>
    <x v="200"/>
    <x v="0"/>
    <x v="217"/>
    <s v="+916386447108"/>
    <x v="0"/>
    <s v="Warangal"/>
    <x v="9"/>
    <x v="3"/>
    <x v="2"/>
    <x v="0"/>
    <x v="5"/>
    <n v="5"/>
    <n v="77440"/>
    <n v="387200"/>
    <n v="15"/>
    <n v="329120"/>
    <x v="0"/>
    <x v="2"/>
    <d v="2024-04-20T00:00:00"/>
    <n v="58080"/>
  </r>
  <r>
    <x v="254"/>
    <x v="0"/>
    <x v="201"/>
    <x v="1"/>
    <x v="218"/>
    <s v="+917398725563"/>
    <x v="0"/>
    <s v="Kanpur"/>
    <x v="1"/>
    <x v="1"/>
    <x v="0"/>
    <x v="0"/>
    <x v="2"/>
    <n v="2"/>
    <n v="77440"/>
    <n v="154880"/>
    <n v="0"/>
    <n v="154880"/>
    <x v="0"/>
    <x v="2"/>
    <d v="2024-12-17T00:00:00"/>
    <n v="23232"/>
  </r>
  <r>
    <x v="255"/>
    <x v="0"/>
    <x v="202"/>
    <x v="0"/>
    <x v="191"/>
    <s v="+918674649628"/>
    <x v="0"/>
    <s v="Noida"/>
    <x v="1"/>
    <x v="0"/>
    <x v="3"/>
    <x v="2"/>
    <x v="10"/>
    <n v="5"/>
    <n v="77440"/>
    <n v="387200"/>
    <n v="15"/>
    <n v="329120"/>
    <x v="3"/>
    <x v="0"/>
    <s v="Not Delivered"/>
    <n v="58080"/>
  </r>
  <r>
    <x v="256"/>
    <x v="0"/>
    <x v="130"/>
    <x v="9"/>
    <x v="219"/>
    <s v="+917786552779"/>
    <x v="0"/>
    <s v="Aurangabad"/>
    <x v="6"/>
    <x v="3"/>
    <x v="19"/>
    <x v="3"/>
    <x v="5"/>
    <n v="4"/>
    <n v="77440"/>
    <n v="309760"/>
    <n v="15"/>
    <n v="263296"/>
    <x v="0"/>
    <x v="2"/>
    <d v="2024-12-30T00:00:00"/>
    <n v="46464"/>
  </r>
  <r>
    <x v="257"/>
    <x v="0"/>
    <x v="203"/>
    <x v="1"/>
    <x v="220"/>
    <s v="+918261580584"/>
    <x v="0"/>
    <s v="Chennai"/>
    <x v="7"/>
    <x v="2"/>
    <x v="12"/>
    <x v="2"/>
    <x v="4"/>
    <n v="5"/>
    <n v="77440"/>
    <n v="387200"/>
    <n v="5"/>
    <n v="367840"/>
    <x v="3"/>
    <x v="0"/>
    <s v="Not Delivered"/>
    <n v="58080"/>
  </r>
  <r>
    <x v="258"/>
    <x v="0"/>
    <x v="163"/>
    <x v="5"/>
    <x v="221"/>
    <s v="+919750654254"/>
    <x v="0"/>
    <s v="Nagpur"/>
    <x v="6"/>
    <x v="0"/>
    <x v="2"/>
    <x v="0"/>
    <x v="8"/>
    <n v="4"/>
    <n v="77440"/>
    <n v="309760"/>
    <n v="20"/>
    <n v="247808"/>
    <x v="0"/>
    <x v="1"/>
    <s v="Not Delivered"/>
    <n v="46464"/>
  </r>
  <r>
    <x v="259"/>
    <x v="1"/>
    <x v="204"/>
    <x v="4"/>
    <x v="130"/>
    <s v="+919879753451"/>
    <x v="0"/>
    <s v="Vadodara"/>
    <x v="5"/>
    <x v="2"/>
    <x v="14"/>
    <x v="1"/>
    <x v="1"/>
    <n v="1"/>
    <n v="77440"/>
    <n v="77440"/>
    <n v="0"/>
    <n v="77440"/>
    <x v="1"/>
    <x v="1"/>
    <s v="Not Delivered"/>
    <n v="11616"/>
  </r>
  <r>
    <x v="260"/>
    <x v="1"/>
    <x v="161"/>
    <x v="5"/>
    <x v="152"/>
    <s v="+919532103339"/>
    <x v="0"/>
    <s v="Howrah"/>
    <x v="2"/>
    <x v="0"/>
    <x v="20"/>
    <x v="2"/>
    <x v="8"/>
    <n v="1"/>
    <n v="77440"/>
    <n v="77440"/>
    <n v="15"/>
    <n v="65824"/>
    <x v="2"/>
    <x v="2"/>
    <d v="2025-01-17T00:00:00"/>
    <n v="11616"/>
  </r>
  <r>
    <x v="261"/>
    <x v="1"/>
    <x v="192"/>
    <x v="7"/>
    <x v="222"/>
    <s v="+917670220222"/>
    <x v="0"/>
    <s v="Bangalore"/>
    <x v="8"/>
    <x v="2"/>
    <x v="16"/>
    <x v="5"/>
    <x v="5"/>
    <n v="2"/>
    <n v="77440"/>
    <n v="154880"/>
    <n v="5"/>
    <n v="147136"/>
    <x v="1"/>
    <x v="2"/>
    <d v="2025-01-27T00:00:00"/>
    <n v="23232"/>
  </r>
  <r>
    <x v="262"/>
    <x v="0"/>
    <x v="5"/>
    <x v="8"/>
    <x v="102"/>
    <s v="+919621254134"/>
    <x v="0"/>
    <s v="Kanpur"/>
    <x v="1"/>
    <x v="3"/>
    <x v="27"/>
    <x v="5"/>
    <x v="11"/>
    <n v="4"/>
    <n v="77440"/>
    <n v="309760"/>
    <n v="0"/>
    <n v="309760"/>
    <x v="3"/>
    <x v="2"/>
    <d v="2024-01-23T00:00:00"/>
    <n v="46464"/>
  </r>
  <r>
    <x v="263"/>
    <x v="1"/>
    <x v="205"/>
    <x v="4"/>
    <x v="223"/>
    <s v="+916187370489"/>
    <x v="0"/>
    <s v="Chandigarh"/>
    <x v="4"/>
    <x v="2"/>
    <x v="0"/>
    <x v="0"/>
    <x v="8"/>
    <n v="4"/>
    <n v="77440"/>
    <n v="309760"/>
    <n v="10"/>
    <n v="278784"/>
    <x v="2"/>
    <x v="2"/>
    <d v="2025-01-26T00:00:00"/>
    <n v="46464"/>
  </r>
  <r>
    <x v="264"/>
    <x v="1"/>
    <x v="206"/>
    <x v="0"/>
    <x v="224"/>
    <s v="+919784088287"/>
    <x v="0"/>
    <s v="Bangalore"/>
    <x v="8"/>
    <x v="3"/>
    <x v="24"/>
    <x v="4"/>
    <x v="0"/>
    <n v="3"/>
    <n v="77440"/>
    <n v="232320"/>
    <n v="10"/>
    <n v="209088"/>
    <x v="1"/>
    <x v="2"/>
    <d v="2025-03-21T00:00:00"/>
    <n v="34848"/>
  </r>
  <r>
    <x v="265"/>
    <x v="1"/>
    <x v="207"/>
    <x v="4"/>
    <x v="54"/>
    <s v="+919879882771"/>
    <x v="0"/>
    <s v="Kanpur"/>
    <x v="1"/>
    <x v="1"/>
    <x v="26"/>
    <x v="4"/>
    <x v="5"/>
    <n v="5"/>
    <n v="77440"/>
    <n v="387200"/>
    <n v="20"/>
    <n v="309760"/>
    <x v="2"/>
    <x v="1"/>
    <s v="Not Delivered"/>
    <n v="58080"/>
  </r>
  <r>
    <x v="266"/>
    <x v="0"/>
    <x v="208"/>
    <x v="9"/>
    <x v="225"/>
    <s v="+917809733143"/>
    <x v="0"/>
    <s v="Madurai"/>
    <x v="7"/>
    <x v="1"/>
    <x v="25"/>
    <x v="3"/>
    <x v="4"/>
    <n v="1"/>
    <n v="77440"/>
    <n v="77440"/>
    <n v="10"/>
    <n v="69696"/>
    <x v="0"/>
    <x v="1"/>
    <s v="Not Delivered"/>
    <n v="11616"/>
  </r>
  <r>
    <x v="267"/>
    <x v="0"/>
    <x v="209"/>
    <x v="4"/>
    <x v="57"/>
    <s v="+916650048242"/>
    <x v="0"/>
    <s v="Ahmedabad"/>
    <x v="5"/>
    <x v="2"/>
    <x v="9"/>
    <x v="3"/>
    <x v="10"/>
    <n v="5"/>
    <n v="77440"/>
    <n v="387200"/>
    <n v="5"/>
    <n v="367840"/>
    <x v="3"/>
    <x v="0"/>
    <s v="Not Delivered"/>
    <n v="58080"/>
  </r>
  <r>
    <x v="268"/>
    <x v="0"/>
    <x v="210"/>
    <x v="2"/>
    <x v="226"/>
    <s v="+917630382325"/>
    <x v="0"/>
    <s v="Varanasi"/>
    <x v="1"/>
    <x v="3"/>
    <x v="7"/>
    <x v="4"/>
    <x v="11"/>
    <n v="2"/>
    <n v="77440"/>
    <n v="154880"/>
    <n v="0"/>
    <n v="154880"/>
    <x v="3"/>
    <x v="2"/>
    <d v="2024-06-05T00:00:00"/>
    <n v="23232"/>
  </r>
  <r>
    <x v="269"/>
    <x v="0"/>
    <x v="211"/>
    <x v="0"/>
    <x v="227"/>
    <s v="+919148040566"/>
    <x v="0"/>
    <s v="Kolkata"/>
    <x v="2"/>
    <x v="1"/>
    <x v="22"/>
    <x v="0"/>
    <x v="3"/>
    <n v="2"/>
    <n v="77440"/>
    <n v="154880"/>
    <n v="20"/>
    <n v="123904"/>
    <x v="0"/>
    <x v="0"/>
    <s v="Not Delivered"/>
    <n v="23232"/>
  </r>
  <r>
    <x v="270"/>
    <x v="0"/>
    <x v="71"/>
    <x v="0"/>
    <x v="228"/>
    <s v="+917223507202"/>
    <x v="0"/>
    <s v="Kolkata"/>
    <x v="2"/>
    <x v="2"/>
    <x v="12"/>
    <x v="2"/>
    <x v="9"/>
    <n v="5"/>
    <n v="77440"/>
    <n v="387200"/>
    <n v="10"/>
    <n v="348480"/>
    <x v="0"/>
    <x v="1"/>
    <s v="Not Delivered"/>
    <n v="58080"/>
  </r>
  <r>
    <x v="271"/>
    <x v="1"/>
    <x v="172"/>
    <x v="1"/>
    <x v="229"/>
    <s v="+917969541680"/>
    <x v="0"/>
    <s v="Rajkot"/>
    <x v="5"/>
    <x v="3"/>
    <x v="18"/>
    <x v="1"/>
    <x v="1"/>
    <n v="5"/>
    <n v="77440"/>
    <n v="387200"/>
    <n v="20"/>
    <n v="309760"/>
    <x v="3"/>
    <x v="0"/>
    <s v="Not Delivered"/>
    <n v="58080"/>
  </r>
  <r>
    <x v="272"/>
    <x v="0"/>
    <x v="212"/>
    <x v="0"/>
    <x v="230"/>
    <s v="+918734246519"/>
    <x v="0"/>
    <s v="New Delhi"/>
    <x v="0"/>
    <x v="3"/>
    <x v="8"/>
    <x v="5"/>
    <x v="11"/>
    <n v="1"/>
    <n v="77440"/>
    <n v="77440"/>
    <n v="5"/>
    <n v="73568"/>
    <x v="1"/>
    <x v="0"/>
    <s v="Not Delivered"/>
    <n v="11616"/>
  </r>
  <r>
    <x v="273"/>
    <x v="0"/>
    <x v="213"/>
    <x v="5"/>
    <x v="231"/>
    <s v="+917482176269"/>
    <x v="0"/>
    <s v="Chennai"/>
    <x v="7"/>
    <x v="0"/>
    <x v="3"/>
    <x v="2"/>
    <x v="0"/>
    <n v="3"/>
    <n v="77440"/>
    <n v="232320"/>
    <n v="5"/>
    <n v="220704"/>
    <x v="3"/>
    <x v="1"/>
    <s v="Not Delivered"/>
    <n v="34848"/>
  </r>
  <r>
    <x v="274"/>
    <x v="1"/>
    <x v="214"/>
    <x v="2"/>
    <x v="232"/>
    <s v="+918855728204"/>
    <x v="0"/>
    <s v="Coimbatore"/>
    <x v="7"/>
    <x v="0"/>
    <x v="15"/>
    <x v="4"/>
    <x v="9"/>
    <n v="3"/>
    <n v="77440"/>
    <n v="232320"/>
    <n v="15"/>
    <n v="197472"/>
    <x v="2"/>
    <x v="2"/>
    <d v="2025-05-16T00:00:00"/>
    <n v="34848"/>
  </r>
  <r>
    <x v="275"/>
    <x v="0"/>
    <x v="215"/>
    <x v="7"/>
    <x v="233"/>
    <s v="+919364091208"/>
    <x v="0"/>
    <s v="New Delhi"/>
    <x v="0"/>
    <x v="1"/>
    <x v="2"/>
    <x v="0"/>
    <x v="3"/>
    <n v="2"/>
    <n v="77440"/>
    <n v="154880"/>
    <n v="0"/>
    <n v="154880"/>
    <x v="2"/>
    <x v="2"/>
    <d v="2024-10-12T00:00:00"/>
    <n v="23232"/>
  </r>
  <r>
    <x v="276"/>
    <x v="0"/>
    <x v="216"/>
    <x v="1"/>
    <x v="234"/>
    <s v="+919430025274"/>
    <x v="0"/>
    <s v="Vadodara"/>
    <x v="5"/>
    <x v="1"/>
    <x v="11"/>
    <x v="1"/>
    <x v="2"/>
    <n v="4"/>
    <n v="77440"/>
    <n v="309760"/>
    <n v="10"/>
    <n v="278784"/>
    <x v="1"/>
    <x v="0"/>
    <s v="Not Delivered"/>
    <n v="46464"/>
  </r>
  <r>
    <x v="277"/>
    <x v="1"/>
    <x v="207"/>
    <x v="2"/>
    <x v="235"/>
    <s v="+919938427144"/>
    <x v="0"/>
    <s v="Durgapur"/>
    <x v="2"/>
    <x v="1"/>
    <x v="4"/>
    <x v="0"/>
    <x v="8"/>
    <n v="1"/>
    <n v="77440"/>
    <n v="77440"/>
    <n v="20"/>
    <n v="61952"/>
    <x v="1"/>
    <x v="0"/>
    <s v="Not Delivered"/>
    <n v="11616"/>
  </r>
  <r>
    <x v="278"/>
    <x v="0"/>
    <x v="217"/>
    <x v="7"/>
    <x v="236"/>
    <s v="+919559307506"/>
    <x v="0"/>
    <s v="Durgapur"/>
    <x v="2"/>
    <x v="1"/>
    <x v="2"/>
    <x v="0"/>
    <x v="6"/>
    <n v="2"/>
    <n v="77440"/>
    <n v="154880"/>
    <n v="0"/>
    <n v="154880"/>
    <x v="2"/>
    <x v="0"/>
    <s v="Not Delivered"/>
    <n v="23232"/>
  </r>
  <r>
    <x v="279"/>
    <x v="0"/>
    <x v="166"/>
    <x v="1"/>
    <x v="237"/>
    <s v="+916583304209"/>
    <x v="0"/>
    <s v="New Delhi"/>
    <x v="0"/>
    <x v="1"/>
    <x v="3"/>
    <x v="2"/>
    <x v="5"/>
    <n v="3"/>
    <n v="77440"/>
    <n v="232320"/>
    <n v="20"/>
    <n v="185856"/>
    <x v="2"/>
    <x v="2"/>
    <d v="2024-03-21T00:00:00"/>
    <n v="34848"/>
  </r>
  <r>
    <x v="280"/>
    <x v="1"/>
    <x v="150"/>
    <x v="2"/>
    <x v="198"/>
    <s v="+919560523169"/>
    <x v="0"/>
    <s v="New Delhi"/>
    <x v="0"/>
    <x v="2"/>
    <x v="18"/>
    <x v="1"/>
    <x v="10"/>
    <n v="1"/>
    <n v="77440"/>
    <n v="77440"/>
    <n v="5"/>
    <n v="73568"/>
    <x v="3"/>
    <x v="0"/>
    <s v="Not Delivered"/>
    <n v="11616"/>
  </r>
  <r>
    <x v="281"/>
    <x v="0"/>
    <x v="218"/>
    <x v="3"/>
    <x v="149"/>
    <s v="+916462136589"/>
    <x v="0"/>
    <s v="Kolkata"/>
    <x v="2"/>
    <x v="3"/>
    <x v="7"/>
    <x v="4"/>
    <x v="7"/>
    <n v="3"/>
    <n v="77440"/>
    <n v="232320"/>
    <n v="20"/>
    <n v="185856"/>
    <x v="0"/>
    <x v="1"/>
    <s v="Not Delivered"/>
    <n v="34848"/>
  </r>
  <r>
    <x v="282"/>
    <x v="0"/>
    <x v="219"/>
    <x v="8"/>
    <x v="238"/>
    <s v="+919578276066"/>
    <x v="0"/>
    <s v="Madurai"/>
    <x v="7"/>
    <x v="3"/>
    <x v="20"/>
    <x v="2"/>
    <x v="10"/>
    <n v="5"/>
    <n v="77440"/>
    <n v="387200"/>
    <n v="0"/>
    <n v="387200"/>
    <x v="0"/>
    <x v="0"/>
    <s v="Not Delivered"/>
    <n v="58080"/>
  </r>
  <r>
    <x v="283"/>
    <x v="1"/>
    <x v="220"/>
    <x v="8"/>
    <x v="239"/>
    <s v="+917651705088"/>
    <x v="0"/>
    <s v="Madurai"/>
    <x v="7"/>
    <x v="1"/>
    <x v="12"/>
    <x v="2"/>
    <x v="4"/>
    <n v="5"/>
    <n v="77440"/>
    <n v="387200"/>
    <n v="5"/>
    <n v="367840"/>
    <x v="3"/>
    <x v="0"/>
    <s v="Not Delivered"/>
    <n v="58080"/>
  </r>
  <r>
    <x v="284"/>
    <x v="1"/>
    <x v="221"/>
    <x v="4"/>
    <x v="240"/>
    <s v="+917954976920"/>
    <x v="0"/>
    <s v="Jaipur"/>
    <x v="3"/>
    <x v="2"/>
    <x v="17"/>
    <x v="2"/>
    <x v="8"/>
    <n v="1"/>
    <n v="77440"/>
    <n v="77440"/>
    <n v="15"/>
    <n v="65824"/>
    <x v="3"/>
    <x v="2"/>
    <d v="2025-02-22T00:00:00"/>
    <n v="11616"/>
  </r>
  <r>
    <x v="285"/>
    <x v="0"/>
    <x v="222"/>
    <x v="2"/>
    <x v="241"/>
    <s v="+917628199418"/>
    <x v="0"/>
    <s v="Nagpur"/>
    <x v="6"/>
    <x v="3"/>
    <x v="15"/>
    <x v="4"/>
    <x v="7"/>
    <n v="2"/>
    <n v="77440"/>
    <n v="154880"/>
    <n v="15"/>
    <n v="131648"/>
    <x v="1"/>
    <x v="1"/>
    <s v="Not Delivered"/>
    <n v="23232"/>
  </r>
  <r>
    <x v="286"/>
    <x v="0"/>
    <x v="223"/>
    <x v="2"/>
    <x v="242"/>
    <s v="+916028531066"/>
    <x v="0"/>
    <s v="Amritsar"/>
    <x v="4"/>
    <x v="2"/>
    <x v="25"/>
    <x v="3"/>
    <x v="0"/>
    <n v="3"/>
    <n v="77440"/>
    <n v="232320"/>
    <n v="5"/>
    <n v="220704"/>
    <x v="3"/>
    <x v="2"/>
    <d v="2024-09-26T00:00:00"/>
    <n v="34848"/>
  </r>
  <r>
    <x v="287"/>
    <x v="0"/>
    <x v="224"/>
    <x v="7"/>
    <x v="243"/>
    <s v="+919335580116"/>
    <x v="0"/>
    <s v="Chandigarh"/>
    <x v="4"/>
    <x v="1"/>
    <x v="7"/>
    <x v="4"/>
    <x v="2"/>
    <n v="4"/>
    <n v="77440"/>
    <n v="309760"/>
    <n v="10"/>
    <n v="278784"/>
    <x v="3"/>
    <x v="1"/>
    <s v="Not Delivered"/>
    <n v="46464"/>
  </r>
  <r>
    <x v="288"/>
    <x v="0"/>
    <x v="225"/>
    <x v="2"/>
    <x v="244"/>
    <s v="+918405672760"/>
    <x v="0"/>
    <s v="New Delhi"/>
    <x v="0"/>
    <x v="2"/>
    <x v="24"/>
    <x v="4"/>
    <x v="0"/>
    <n v="5"/>
    <n v="77440"/>
    <n v="387200"/>
    <n v="5"/>
    <n v="367840"/>
    <x v="3"/>
    <x v="1"/>
    <s v="Not Delivered"/>
    <n v="58080"/>
  </r>
  <r>
    <x v="289"/>
    <x v="1"/>
    <x v="94"/>
    <x v="9"/>
    <x v="245"/>
    <s v="+919082574543"/>
    <x v="0"/>
    <s v="Noida"/>
    <x v="1"/>
    <x v="1"/>
    <x v="19"/>
    <x v="3"/>
    <x v="11"/>
    <n v="2"/>
    <n v="77440"/>
    <n v="154880"/>
    <n v="15"/>
    <n v="131648"/>
    <x v="0"/>
    <x v="0"/>
    <s v="Not Delivered"/>
    <n v="23232"/>
  </r>
  <r>
    <x v="290"/>
    <x v="1"/>
    <x v="207"/>
    <x v="5"/>
    <x v="246"/>
    <s v="+919315219175"/>
    <x v="0"/>
    <s v="Hyderabad"/>
    <x v="9"/>
    <x v="2"/>
    <x v="20"/>
    <x v="2"/>
    <x v="2"/>
    <n v="4"/>
    <n v="77440"/>
    <n v="309760"/>
    <n v="20"/>
    <n v="247808"/>
    <x v="2"/>
    <x v="2"/>
    <d v="2025-07-08T00:00:00"/>
    <n v="46464"/>
  </r>
  <r>
    <x v="291"/>
    <x v="0"/>
    <x v="226"/>
    <x v="8"/>
    <x v="247"/>
    <s v="+919787519341"/>
    <x v="0"/>
    <s v="Nashik"/>
    <x v="6"/>
    <x v="3"/>
    <x v="24"/>
    <x v="4"/>
    <x v="10"/>
    <n v="3"/>
    <n v="77440"/>
    <n v="232320"/>
    <n v="15"/>
    <n v="197472"/>
    <x v="0"/>
    <x v="1"/>
    <s v="Not Delivered"/>
    <n v="34848"/>
  </r>
  <r>
    <x v="292"/>
    <x v="1"/>
    <x v="227"/>
    <x v="0"/>
    <x v="248"/>
    <s v="+919081303517"/>
    <x v="0"/>
    <s v="Aurangabad"/>
    <x v="6"/>
    <x v="0"/>
    <x v="23"/>
    <x v="4"/>
    <x v="2"/>
    <n v="3"/>
    <n v="77440"/>
    <n v="232320"/>
    <n v="5"/>
    <n v="220704"/>
    <x v="3"/>
    <x v="0"/>
    <s v="Not Delivered"/>
    <n v="34848"/>
  </r>
  <r>
    <x v="293"/>
    <x v="1"/>
    <x v="61"/>
    <x v="9"/>
    <x v="144"/>
    <s v="+916227198253"/>
    <x v="0"/>
    <s v="Nashik"/>
    <x v="6"/>
    <x v="3"/>
    <x v="16"/>
    <x v="5"/>
    <x v="4"/>
    <n v="2"/>
    <n v="77440"/>
    <n v="154880"/>
    <n v="5"/>
    <n v="147136"/>
    <x v="0"/>
    <x v="1"/>
    <s v="Not Delivered"/>
    <n v="23232"/>
  </r>
  <r>
    <x v="294"/>
    <x v="1"/>
    <x v="228"/>
    <x v="5"/>
    <x v="249"/>
    <s v="+919300242476"/>
    <x v="0"/>
    <s v="Vadodara"/>
    <x v="5"/>
    <x v="0"/>
    <x v="1"/>
    <x v="1"/>
    <x v="2"/>
    <n v="3"/>
    <n v="77440"/>
    <n v="232320"/>
    <n v="15"/>
    <n v="197472"/>
    <x v="0"/>
    <x v="2"/>
    <d v="2025-03-02T00:00:00"/>
    <n v="34848"/>
  </r>
  <r>
    <x v="295"/>
    <x v="0"/>
    <x v="229"/>
    <x v="2"/>
    <x v="70"/>
    <s v="+919758108762"/>
    <x v="0"/>
    <s v="Chandigarh"/>
    <x v="4"/>
    <x v="1"/>
    <x v="7"/>
    <x v="4"/>
    <x v="2"/>
    <n v="2"/>
    <n v="77440"/>
    <n v="154880"/>
    <n v="0"/>
    <n v="154880"/>
    <x v="2"/>
    <x v="1"/>
    <s v="Not Delivered"/>
    <n v="23232"/>
  </r>
  <r>
    <x v="296"/>
    <x v="1"/>
    <x v="230"/>
    <x v="1"/>
    <x v="250"/>
    <s v="+919544282340"/>
    <x v="0"/>
    <s v="Bangalore"/>
    <x v="8"/>
    <x v="2"/>
    <x v="7"/>
    <x v="4"/>
    <x v="7"/>
    <n v="1"/>
    <n v="77440"/>
    <n v="77440"/>
    <n v="15"/>
    <n v="65824"/>
    <x v="0"/>
    <x v="2"/>
    <d v="2025-01-16T00:00:00"/>
    <n v="11616"/>
  </r>
  <r>
    <x v="297"/>
    <x v="1"/>
    <x v="231"/>
    <x v="0"/>
    <x v="251"/>
    <s v="+919879446305"/>
    <x v="0"/>
    <s v="New Delhi"/>
    <x v="0"/>
    <x v="2"/>
    <x v="18"/>
    <x v="1"/>
    <x v="9"/>
    <n v="4"/>
    <n v="77440"/>
    <n v="309760"/>
    <n v="20"/>
    <n v="247808"/>
    <x v="2"/>
    <x v="1"/>
    <s v="Not Delivered"/>
    <n v="46464"/>
  </r>
  <r>
    <x v="298"/>
    <x v="0"/>
    <x v="232"/>
    <x v="6"/>
    <x v="252"/>
    <s v="+919117282997"/>
    <x v="0"/>
    <s v="Howrah"/>
    <x v="2"/>
    <x v="2"/>
    <x v="21"/>
    <x v="5"/>
    <x v="6"/>
    <n v="2"/>
    <n v="77440"/>
    <n v="154880"/>
    <n v="15"/>
    <n v="131648"/>
    <x v="3"/>
    <x v="2"/>
    <d v="2024-03-22T00:00:00"/>
    <n v="23232"/>
  </r>
  <r>
    <x v="299"/>
    <x v="0"/>
    <x v="39"/>
    <x v="8"/>
    <x v="13"/>
    <s v="+917129491172"/>
    <x v="0"/>
    <s v="Udaipur"/>
    <x v="3"/>
    <x v="3"/>
    <x v="4"/>
    <x v="0"/>
    <x v="8"/>
    <n v="4"/>
    <n v="77440"/>
    <n v="309760"/>
    <n v="10"/>
    <n v="278784"/>
    <x v="2"/>
    <x v="0"/>
    <s v="Not Delivered"/>
    <n v="46464"/>
  </r>
  <r>
    <x v="300"/>
    <x v="0"/>
    <x v="233"/>
    <x v="8"/>
    <x v="253"/>
    <s v="+919317154771"/>
    <x v="0"/>
    <s v="Ahmedabad"/>
    <x v="5"/>
    <x v="3"/>
    <x v="8"/>
    <x v="5"/>
    <x v="8"/>
    <n v="2"/>
    <n v="77440"/>
    <n v="154880"/>
    <n v="5"/>
    <n v="147136"/>
    <x v="1"/>
    <x v="1"/>
    <s v="Not Delivered"/>
    <n v="23232"/>
  </r>
  <r>
    <x v="301"/>
    <x v="0"/>
    <x v="37"/>
    <x v="8"/>
    <x v="169"/>
    <s v="+916136039470"/>
    <x v="0"/>
    <s v="Madurai"/>
    <x v="7"/>
    <x v="2"/>
    <x v="13"/>
    <x v="5"/>
    <x v="9"/>
    <n v="3"/>
    <n v="77440"/>
    <n v="232320"/>
    <n v="15"/>
    <n v="197472"/>
    <x v="1"/>
    <x v="1"/>
    <s v="Not Delivered"/>
    <n v="34848"/>
  </r>
  <r>
    <x v="302"/>
    <x v="1"/>
    <x v="192"/>
    <x v="5"/>
    <x v="254"/>
    <s v="+918483591917"/>
    <x v="0"/>
    <s v="Kolkata"/>
    <x v="2"/>
    <x v="1"/>
    <x v="9"/>
    <x v="3"/>
    <x v="1"/>
    <n v="3"/>
    <n v="77440"/>
    <n v="232320"/>
    <n v="10"/>
    <n v="209088"/>
    <x v="1"/>
    <x v="2"/>
    <d v="2025-01-27T00:00:00"/>
    <n v="34848"/>
  </r>
  <r>
    <x v="303"/>
    <x v="0"/>
    <x v="234"/>
    <x v="1"/>
    <x v="255"/>
    <s v="+916387917374"/>
    <x v="0"/>
    <s v="Bangalore"/>
    <x v="8"/>
    <x v="2"/>
    <x v="14"/>
    <x v="1"/>
    <x v="8"/>
    <n v="2"/>
    <n v="77440"/>
    <n v="154880"/>
    <n v="5"/>
    <n v="147136"/>
    <x v="3"/>
    <x v="1"/>
    <s v="Not Delivered"/>
    <n v="23232"/>
  </r>
  <r>
    <x v="304"/>
    <x v="1"/>
    <x v="60"/>
    <x v="0"/>
    <x v="83"/>
    <s v="+918213279833"/>
    <x v="0"/>
    <s v="Varanasi"/>
    <x v="1"/>
    <x v="3"/>
    <x v="9"/>
    <x v="3"/>
    <x v="11"/>
    <n v="5"/>
    <n v="77440"/>
    <n v="387200"/>
    <n v="0"/>
    <n v="387200"/>
    <x v="1"/>
    <x v="1"/>
    <s v="Not Delivered"/>
    <n v="58080"/>
  </r>
  <r>
    <x v="305"/>
    <x v="0"/>
    <x v="57"/>
    <x v="0"/>
    <x v="15"/>
    <s v="+917824442516"/>
    <x v="0"/>
    <s v="Nagpur"/>
    <x v="6"/>
    <x v="1"/>
    <x v="21"/>
    <x v="5"/>
    <x v="6"/>
    <n v="3"/>
    <n v="77440"/>
    <n v="232320"/>
    <n v="20"/>
    <n v="185856"/>
    <x v="2"/>
    <x v="2"/>
    <d v="2024-08-17T00:00:00"/>
    <n v="34848"/>
  </r>
  <r>
    <x v="306"/>
    <x v="0"/>
    <x v="235"/>
    <x v="8"/>
    <x v="74"/>
    <s v="+919732089426"/>
    <x v="0"/>
    <s v="Chandigarh"/>
    <x v="4"/>
    <x v="0"/>
    <x v="13"/>
    <x v="5"/>
    <x v="0"/>
    <n v="4"/>
    <n v="77440"/>
    <n v="309760"/>
    <n v="15"/>
    <n v="263296"/>
    <x v="0"/>
    <x v="0"/>
    <s v="Not Delivered"/>
    <n v="46464"/>
  </r>
  <r>
    <x v="307"/>
    <x v="1"/>
    <x v="141"/>
    <x v="9"/>
    <x v="256"/>
    <s v="+919283080136"/>
    <x v="0"/>
    <s v="Chennai"/>
    <x v="7"/>
    <x v="1"/>
    <x v="17"/>
    <x v="2"/>
    <x v="3"/>
    <n v="5"/>
    <n v="77440"/>
    <n v="387200"/>
    <n v="0"/>
    <n v="387200"/>
    <x v="3"/>
    <x v="2"/>
    <d v="2025-02-21T00:00:00"/>
    <n v="58080"/>
  </r>
  <r>
    <x v="308"/>
    <x v="1"/>
    <x v="236"/>
    <x v="8"/>
    <x v="257"/>
    <s v="+916809576645"/>
    <x v="0"/>
    <s v="Nizamabad"/>
    <x v="9"/>
    <x v="3"/>
    <x v="25"/>
    <x v="3"/>
    <x v="4"/>
    <n v="2"/>
    <n v="77440"/>
    <n v="154880"/>
    <n v="0"/>
    <n v="154880"/>
    <x v="0"/>
    <x v="0"/>
    <s v="Not Delivered"/>
    <n v="23232"/>
  </r>
  <r>
    <x v="309"/>
    <x v="1"/>
    <x v="230"/>
    <x v="3"/>
    <x v="5"/>
    <s v="+917999440849"/>
    <x v="0"/>
    <s v="Kolkata"/>
    <x v="2"/>
    <x v="3"/>
    <x v="26"/>
    <x v="4"/>
    <x v="4"/>
    <n v="3"/>
    <n v="77440"/>
    <n v="232320"/>
    <n v="0"/>
    <n v="232320"/>
    <x v="1"/>
    <x v="1"/>
    <s v="Not Delivered"/>
    <n v="34848"/>
  </r>
  <r>
    <x v="310"/>
    <x v="0"/>
    <x v="237"/>
    <x v="8"/>
    <x v="258"/>
    <s v="+916648912891"/>
    <x v="0"/>
    <s v="New Delhi"/>
    <x v="0"/>
    <x v="1"/>
    <x v="21"/>
    <x v="5"/>
    <x v="9"/>
    <n v="4"/>
    <n v="77440"/>
    <n v="309760"/>
    <n v="15"/>
    <n v="263296"/>
    <x v="0"/>
    <x v="0"/>
    <s v="Not Delivered"/>
    <n v="46464"/>
  </r>
  <r>
    <x v="311"/>
    <x v="0"/>
    <x v="238"/>
    <x v="9"/>
    <x v="259"/>
    <s v="+918461452598"/>
    <x v="0"/>
    <s v="Kanpur"/>
    <x v="1"/>
    <x v="0"/>
    <x v="19"/>
    <x v="3"/>
    <x v="11"/>
    <n v="2"/>
    <n v="77440"/>
    <n v="154880"/>
    <n v="10"/>
    <n v="139392"/>
    <x v="3"/>
    <x v="2"/>
    <d v="2024-12-31T00:00:00"/>
    <n v="23232"/>
  </r>
  <r>
    <x v="312"/>
    <x v="0"/>
    <x v="239"/>
    <x v="9"/>
    <x v="236"/>
    <s v="+917573769866"/>
    <x v="0"/>
    <s v="Howrah"/>
    <x v="2"/>
    <x v="1"/>
    <x v="16"/>
    <x v="5"/>
    <x v="1"/>
    <n v="5"/>
    <n v="77440"/>
    <n v="387200"/>
    <n v="20"/>
    <n v="309760"/>
    <x v="0"/>
    <x v="1"/>
    <s v="Not Delivered"/>
    <n v="58080"/>
  </r>
  <r>
    <x v="313"/>
    <x v="0"/>
    <x v="240"/>
    <x v="9"/>
    <x v="260"/>
    <s v="+917931202572"/>
    <x v="0"/>
    <s v="Kanpur"/>
    <x v="1"/>
    <x v="1"/>
    <x v="13"/>
    <x v="5"/>
    <x v="5"/>
    <n v="5"/>
    <n v="77440"/>
    <n v="387200"/>
    <n v="10"/>
    <n v="348480"/>
    <x v="0"/>
    <x v="0"/>
    <s v="Not Delivered"/>
    <n v="58080"/>
  </r>
  <r>
    <x v="314"/>
    <x v="0"/>
    <x v="189"/>
    <x v="7"/>
    <x v="261"/>
    <s v="+916915221246"/>
    <x v="0"/>
    <s v="Mumbai"/>
    <x v="6"/>
    <x v="1"/>
    <x v="5"/>
    <x v="1"/>
    <x v="7"/>
    <n v="3"/>
    <n v="77440"/>
    <n v="232320"/>
    <n v="0"/>
    <n v="232320"/>
    <x v="2"/>
    <x v="0"/>
    <s v="Not Delivered"/>
    <n v="34848"/>
  </r>
  <r>
    <x v="315"/>
    <x v="1"/>
    <x v="198"/>
    <x v="4"/>
    <x v="262"/>
    <s v="+919531986802"/>
    <x v="0"/>
    <s v="Nashik"/>
    <x v="6"/>
    <x v="1"/>
    <x v="23"/>
    <x v="4"/>
    <x v="0"/>
    <n v="2"/>
    <n v="77440"/>
    <n v="154880"/>
    <n v="5"/>
    <n v="147136"/>
    <x v="0"/>
    <x v="0"/>
    <s v="Not Delivered"/>
    <n v="23232"/>
  </r>
  <r>
    <x v="316"/>
    <x v="0"/>
    <x v="241"/>
    <x v="2"/>
    <x v="263"/>
    <s v="+917939942198"/>
    <x v="0"/>
    <s v="Durgapur"/>
    <x v="2"/>
    <x v="0"/>
    <x v="6"/>
    <x v="3"/>
    <x v="6"/>
    <n v="2"/>
    <n v="77440"/>
    <n v="154880"/>
    <n v="0"/>
    <n v="154880"/>
    <x v="2"/>
    <x v="2"/>
    <d v="2024-06-08T00:00:00"/>
    <n v="23232"/>
  </r>
  <r>
    <x v="317"/>
    <x v="1"/>
    <x v="242"/>
    <x v="6"/>
    <x v="187"/>
    <s v="+916627619460"/>
    <x v="0"/>
    <s v="Kanpur"/>
    <x v="1"/>
    <x v="0"/>
    <x v="17"/>
    <x v="2"/>
    <x v="4"/>
    <n v="2"/>
    <n v="77440"/>
    <n v="154880"/>
    <n v="10"/>
    <n v="139392"/>
    <x v="3"/>
    <x v="1"/>
    <s v="Not Delivered"/>
    <n v="23232"/>
  </r>
  <r>
    <x v="318"/>
    <x v="0"/>
    <x v="243"/>
    <x v="5"/>
    <x v="264"/>
    <s v="+916679408100"/>
    <x v="0"/>
    <s v="Mangalore"/>
    <x v="8"/>
    <x v="2"/>
    <x v="26"/>
    <x v="4"/>
    <x v="3"/>
    <n v="5"/>
    <n v="77440"/>
    <n v="387200"/>
    <n v="5"/>
    <n v="367840"/>
    <x v="3"/>
    <x v="2"/>
    <d v="2024-05-12T00:00:00"/>
    <n v="58080"/>
  </r>
  <r>
    <x v="319"/>
    <x v="1"/>
    <x v="244"/>
    <x v="3"/>
    <x v="50"/>
    <s v="+917200593992"/>
    <x v="0"/>
    <s v="Chennai"/>
    <x v="7"/>
    <x v="0"/>
    <x v="8"/>
    <x v="5"/>
    <x v="2"/>
    <n v="5"/>
    <n v="77440"/>
    <n v="387200"/>
    <n v="15"/>
    <n v="329120"/>
    <x v="3"/>
    <x v="2"/>
    <d v="2025-02-14T00:00:00"/>
    <n v="58080"/>
  </r>
  <r>
    <x v="320"/>
    <x v="0"/>
    <x v="76"/>
    <x v="5"/>
    <x v="265"/>
    <s v="+917534080019"/>
    <x v="0"/>
    <s v="Jaipur"/>
    <x v="3"/>
    <x v="1"/>
    <x v="9"/>
    <x v="3"/>
    <x v="6"/>
    <n v="2"/>
    <n v="77440"/>
    <n v="154880"/>
    <n v="15"/>
    <n v="131648"/>
    <x v="0"/>
    <x v="0"/>
    <s v="Not Delivered"/>
    <n v="23232"/>
  </r>
  <r>
    <x v="321"/>
    <x v="0"/>
    <x v="209"/>
    <x v="3"/>
    <x v="262"/>
    <s v="+919500803518"/>
    <x v="0"/>
    <s v="New Delhi"/>
    <x v="0"/>
    <x v="3"/>
    <x v="13"/>
    <x v="5"/>
    <x v="7"/>
    <n v="5"/>
    <n v="77440"/>
    <n v="387200"/>
    <n v="15"/>
    <n v="329120"/>
    <x v="3"/>
    <x v="0"/>
    <s v="Not Delivered"/>
    <n v="58080"/>
  </r>
  <r>
    <x v="322"/>
    <x v="0"/>
    <x v="245"/>
    <x v="2"/>
    <x v="266"/>
    <s v="+916156170834"/>
    <x v="0"/>
    <s v="Ahmedabad"/>
    <x v="5"/>
    <x v="1"/>
    <x v="26"/>
    <x v="4"/>
    <x v="0"/>
    <n v="5"/>
    <n v="77440"/>
    <n v="387200"/>
    <n v="10"/>
    <n v="348480"/>
    <x v="2"/>
    <x v="1"/>
    <s v="Not Delivered"/>
    <n v="58080"/>
  </r>
  <r>
    <x v="323"/>
    <x v="0"/>
    <x v="246"/>
    <x v="3"/>
    <x v="267"/>
    <s v="+916633477468"/>
    <x v="0"/>
    <s v="Warangal"/>
    <x v="9"/>
    <x v="0"/>
    <x v="23"/>
    <x v="4"/>
    <x v="2"/>
    <n v="5"/>
    <n v="77440"/>
    <n v="387200"/>
    <n v="20"/>
    <n v="309760"/>
    <x v="3"/>
    <x v="0"/>
    <s v="Not Delivered"/>
    <n v="58080"/>
  </r>
  <r>
    <x v="324"/>
    <x v="0"/>
    <x v="164"/>
    <x v="1"/>
    <x v="268"/>
    <s v="+918006691603"/>
    <x v="0"/>
    <s v="Chandigarh"/>
    <x v="4"/>
    <x v="2"/>
    <x v="15"/>
    <x v="4"/>
    <x v="5"/>
    <n v="2"/>
    <n v="77440"/>
    <n v="154880"/>
    <n v="10"/>
    <n v="139392"/>
    <x v="3"/>
    <x v="2"/>
    <d v="2024-12-11T00:00:00"/>
    <n v="23232"/>
  </r>
  <r>
    <x v="325"/>
    <x v="1"/>
    <x v="247"/>
    <x v="4"/>
    <x v="60"/>
    <s v="+916797745093"/>
    <x v="0"/>
    <s v="Surat"/>
    <x v="5"/>
    <x v="3"/>
    <x v="0"/>
    <x v="0"/>
    <x v="9"/>
    <n v="4"/>
    <n v="77440"/>
    <n v="309760"/>
    <n v="20"/>
    <n v="247808"/>
    <x v="0"/>
    <x v="0"/>
    <s v="Not Delivered"/>
    <n v="46464"/>
  </r>
  <r>
    <x v="326"/>
    <x v="0"/>
    <x v="30"/>
    <x v="3"/>
    <x v="269"/>
    <s v="+916478918008"/>
    <x v="0"/>
    <s v="Lucknow"/>
    <x v="1"/>
    <x v="2"/>
    <x v="0"/>
    <x v="0"/>
    <x v="7"/>
    <n v="2"/>
    <n v="77440"/>
    <n v="154880"/>
    <n v="20"/>
    <n v="123904"/>
    <x v="2"/>
    <x v="0"/>
    <s v="Not Delivered"/>
    <n v="23232"/>
  </r>
  <r>
    <x v="327"/>
    <x v="1"/>
    <x v="43"/>
    <x v="9"/>
    <x v="24"/>
    <s v="+917989945762"/>
    <x v="0"/>
    <s v="Nizamabad"/>
    <x v="9"/>
    <x v="2"/>
    <x v="23"/>
    <x v="4"/>
    <x v="4"/>
    <n v="2"/>
    <n v="77440"/>
    <n v="154880"/>
    <n v="10"/>
    <n v="139392"/>
    <x v="1"/>
    <x v="0"/>
    <s v="Not Delivered"/>
    <n v="23232"/>
  </r>
  <r>
    <x v="328"/>
    <x v="0"/>
    <x v="248"/>
    <x v="2"/>
    <x v="270"/>
    <s v="+916600548253"/>
    <x v="0"/>
    <s v="Howrah"/>
    <x v="2"/>
    <x v="0"/>
    <x v="10"/>
    <x v="3"/>
    <x v="6"/>
    <n v="4"/>
    <n v="77440"/>
    <n v="309760"/>
    <n v="0"/>
    <n v="309760"/>
    <x v="3"/>
    <x v="1"/>
    <s v="Not Delivered"/>
    <n v="46464"/>
  </r>
  <r>
    <x v="329"/>
    <x v="0"/>
    <x v="145"/>
    <x v="9"/>
    <x v="271"/>
    <s v="+918984016436"/>
    <x v="0"/>
    <s v="New Delhi"/>
    <x v="0"/>
    <x v="2"/>
    <x v="14"/>
    <x v="1"/>
    <x v="2"/>
    <n v="5"/>
    <n v="77440"/>
    <n v="387200"/>
    <n v="10"/>
    <n v="348480"/>
    <x v="3"/>
    <x v="1"/>
    <s v="Not Delivered"/>
    <n v="58080"/>
  </r>
  <r>
    <x v="330"/>
    <x v="1"/>
    <x v="32"/>
    <x v="4"/>
    <x v="272"/>
    <s v="+916334103270"/>
    <x v="0"/>
    <s v="Rajkot"/>
    <x v="5"/>
    <x v="2"/>
    <x v="23"/>
    <x v="4"/>
    <x v="9"/>
    <n v="2"/>
    <n v="77440"/>
    <n v="154880"/>
    <n v="20"/>
    <n v="123904"/>
    <x v="3"/>
    <x v="1"/>
    <s v="Not Delivered"/>
    <n v="23232"/>
  </r>
  <r>
    <x v="331"/>
    <x v="1"/>
    <x v="90"/>
    <x v="8"/>
    <x v="273"/>
    <s v="+917426587587"/>
    <x v="0"/>
    <s v="Pune"/>
    <x v="6"/>
    <x v="1"/>
    <x v="8"/>
    <x v="5"/>
    <x v="5"/>
    <n v="2"/>
    <n v="77440"/>
    <n v="154880"/>
    <n v="10"/>
    <n v="139392"/>
    <x v="1"/>
    <x v="2"/>
    <d v="2025-02-17T00:00:00"/>
    <n v="23232"/>
  </r>
  <r>
    <x v="332"/>
    <x v="0"/>
    <x v="249"/>
    <x v="7"/>
    <x v="274"/>
    <s v="+916323637487"/>
    <x v="0"/>
    <s v="New Delhi"/>
    <x v="0"/>
    <x v="0"/>
    <x v="8"/>
    <x v="5"/>
    <x v="0"/>
    <n v="4"/>
    <n v="77440"/>
    <n v="309760"/>
    <n v="15"/>
    <n v="263296"/>
    <x v="3"/>
    <x v="2"/>
    <d v="2024-06-09T00:00:00"/>
    <n v="46464"/>
  </r>
  <r>
    <x v="333"/>
    <x v="0"/>
    <x v="241"/>
    <x v="5"/>
    <x v="275"/>
    <s v="+917094809610"/>
    <x v="0"/>
    <s v="Pune"/>
    <x v="6"/>
    <x v="2"/>
    <x v="27"/>
    <x v="5"/>
    <x v="0"/>
    <n v="5"/>
    <n v="77440"/>
    <n v="387200"/>
    <n v="0"/>
    <n v="387200"/>
    <x v="0"/>
    <x v="1"/>
    <s v="Not Delivered"/>
    <n v="58080"/>
  </r>
  <r>
    <x v="334"/>
    <x v="0"/>
    <x v="250"/>
    <x v="7"/>
    <x v="44"/>
    <s v="+919189669018"/>
    <x v="0"/>
    <s v="New Delhi"/>
    <x v="0"/>
    <x v="1"/>
    <x v="2"/>
    <x v="0"/>
    <x v="10"/>
    <n v="3"/>
    <n v="77440"/>
    <n v="232320"/>
    <n v="10"/>
    <n v="209088"/>
    <x v="2"/>
    <x v="1"/>
    <s v="Not Delivered"/>
    <n v="34848"/>
  </r>
  <r>
    <x v="335"/>
    <x v="1"/>
    <x v="247"/>
    <x v="9"/>
    <x v="276"/>
    <s v="+917453725607"/>
    <x v="0"/>
    <s v="Hyderabad"/>
    <x v="9"/>
    <x v="3"/>
    <x v="4"/>
    <x v="0"/>
    <x v="2"/>
    <n v="4"/>
    <n v="77440"/>
    <n v="309760"/>
    <n v="10"/>
    <n v="278784"/>
    <x v="1"/>
    <x v="2"/>
    <d v="2025-03-19T00:00:00"/>
    <n v="46464"/>
  </r>
  <r>
    <x v="336"/>
    <x v="0"/>
    <x v="251"/>
    <x v="6"/>
    <x v="277"/>
    <s v="+917947584497"/>
    <x v="0"/>
    <s v="New Delhi"/>
    <x v="0"/>
    <x v="3"/>
    <x v="17"/>
    <x v="2"/>
    <x v="9"/>
    <n v="4"/>
    <n v="77440"/>
    <n v="309760"/>
    <n v="20"/>
    <n v="247808"/>
    <x v="3"/>
    <x v="1"/>
    <s v="Not Delivered"/>
    <n v="46464"/>
  </r>
  <r>
    <x v="337"/>
    <x v="1"/>
    <x v="252"/>
    <x v="2"/>
    <x v="39"/>
    <s v="+917661139187"/>
    <x v="0"/>
    <s v="Bangalore"/>
    <x v="8"/>
    <x v="1"/>
    <x v="20"/>
    <x v="2"/>
    <x v="0"/>
    <n v="5"/>
    <n v="77440"/>
    <n v="387200"/>
    <n v="20"/>
    <n v="309760"/>
    <x v="3"/>
    <x v="2"/>
    <d v="2025-01-15T00:00:00"/>
    <n v="58080"/>
  </r>
  <r>
    <x v="338"/>
    <x v="0"/>
    <x v="253"/>
    <x v="9"/>
    <x v="135"/>
    <s v="+918568887032"/>
    <x v="0"/>
    <s v="Kanpur"/>
    <x v="1"/>
    <x v="1"/>
    <x v="20"/>
    <x v="2"/>
    <x v="4"/>
    <n v="4"/>
    <n v="77440"/>
    <n v="309760"/>
    <n v="0"/>
    <n v="309760"/>
    <x v="1"/>
    <x v="0"/>
    <s v="Not Delivered"/>
    <n v="46464"/>
  </r>
  <r>
    <x v="339"/>
    <x v="1"/>
    <x v="254"/>
    <x v="0"/>
    <x v="146"/>
    <s v="+916182518264"/>
    <x v="0"/>
    <s v="Hyderabad"/>
    <x v="9"/>
    <x v="1"/>
    <x v="16"/>
    <x v="5"/>
    <x v="4"/>
    <n v="4"/>
    <n v="77440"/>
    <n v="309760"/>
    <n v="20"/>
    <n v="247808"/>
    <x v="3"/>
    <x v="2"/>
    <d v="2025-07-15T00:00:00"/>
    <n v="46464"/>
  </r>
  <r>
    <x v="340"/>
    <x v="0"/>
    <x v="232"/>
    <x v="0"/>
    <x v="240"/>
    <s v="+916036678595"/>
    <x v="0"/>
    <s v="Jaipur"/>
    <x v="3"/>
    <x v="2"/>
    <x v="27"/>
    <x v="5"/>
    <x v="7"/>
    <n v="5"/>
    <n v="77440"/>
    <n v="387200"/>
    <n v="10"/>
    <n v="348480"/>
    <x v="0"/>
    <x v="0"/>
    <s v="Not Delivered"/>
    <n v="58080"/>
  </r>
  <r>
    <x v="341"/>
    <x v="0"/>
    <x v="255"/>
    <x v="3"/>
    <x v="75"/>
    <s v="+916817585153"/>
    <x v="0"/>
    <s v="Amritsar"/>
    <x v="4"/>
    <x v="0"/>
    <x v="20"/>
    <x v="2"/>
    <x v="7"/>
    <n v="4"/>
    <n v="77440"/>
    <n v="309760"/>
    <n v="10"/>
    <n v="278784"/>
    <x v="3"/>
    <x v="1"/>
    <s v="Not Delivered"/>
    <n v="46464"/>
  </r>
  <r>
    <x v="342"/>
    <x v="0"/>
    <x v="256"/>
    <x v="3"/>
    <x v="278"/>
    <s v="+918007727666"/>
    <x v="0"/>
    <s v="Noida"/>
    <x v="1"/>
    <x v="1"/>
    <x v="0"/>
    <x v="0"/>
    <x v="4"/>
    <n v="2"/>
    <n v="77440"/>
    <n v="154880"/>
    <n v="15"/>
    <n v="131648"/>
    <x v="1"/>
    <x v="1"/>
    <s v="Not Delivered"/>
    <n v="23232"/>
  </r>
  <r>
    <x v="343"/>
    <x v="0"/>
    <x v="37"/>
    <x v="0"/>
    <x v="279"/>
    <s v="+918749360508"/>
    <x v="0"/>
    <s v="Nashik"/>
    <x v="6"/>
    <x v="3"/>
    <x v="0"/>
    <x v="0"/>
    <x v="3"/>
    <n v="5"/>
    <n v="77440"/>
    <n v="387200"/>
    <n v="20"/>
    <n v="309760"/>
    <x v="0"/>
    <x v="0"/>
    <s v="Not Delivered"/>
    <n v="58080"/>
  </r>
  <r>
    <x v="344"/>
    <x v="1"/>
    <x v="257"/>
    <x v="2"/>
    <x v="280"/>
    <s v="+916738057305"/>
    <x v="0"/>
    <s v="Mysore"/>
    <x v="8"/>
    <x v="0"/>
    <x v="27"/>
    <x v="5"/>
    <x v="3"/>
    <n v="4"/>
    <n v="77440"/>
    <n v="309760"/>
    <n v="20"/>
    <n v="247808"/>
    <x v="0"/>
    <x v="0"/>
    <s v="Not Delivered"/>
    <n v="46464"/>
  </r>
  <r>
    <x v="345"/>
    <x v="0"/>
    <x v="115"/>
    <x v="8"/>
    <x v="281"/>
    <s v="+917202497579"/>
    <x v="0"/>
    <s v="Lucknow"/>
    <x v="1"/>
    <x v="1"/>
    <x v="16"/>
    <x v="5"/>
    <x v="4"/>
    <n v="1"/>
    <n v="77440"/>
    <n v="77440"/>
    <n v="0"/>
    <n v="77440"/>
    <x v="1"/>
    <x v="2"/>
    <d v="2024-06-22T00:00:00"/>
    <n v="11616"/>
  </r>
  <r>
    <x v="346"/>
    <x v="1"/>
    <x v="120"/>
    <x v="8"/>
    <x v="282"/>
    <s v="+917552781840"/>
    <x v="0"/>
    <s v="Mangalore"/>
    <x v="8"/>
    <x v="0"/>
    <x v="12"/>
    <x v="2"/>
    <x v="9"/>
    <n v="2"/>
    <n v="77440"/>
    <n v="154880"/>
    <n v="15"/>
    <n v="131648"/>
    <x v="2"/>
    <x v="1"/>
    <s v="Not Delivered"/>
    <n v="23232"/>
  </r>
  <r>
    <x v="347"/>
    <x v="1"/>
    <x v="12"/>
    <x v="5"/>
    <x v="283"/>
    <s v="+916511483846"/>
    <x v="0"/>
    <s v="Durgapur"/>
    <x v="2"/>
    <x v="2"/>
    <x v="12"/>
    <x v="2"/>
    <x v="1"/>
    <n v="2"/>
    <n v="77440"/>
    <n v="154880"/>
    <n v="5"/>
    <n v="147136"/>
    <x v="0"/>
    <x v="0"/>
    <s v="Not Delivered"/>
    <n v="23232"/>
  </r>
  <r>
    <x v="348"/>
    <x v="0"/>
    <x v="93"/>
    <x v="9"/>
    <x v="284"/>
    <s v="+918455374996"/>
    <x v="0"/>
    <s v="Nizamabad"/>
    <x v="9"/>
    <x v="1"/>
    <x v="22"/>
    <x v="0"/>
    <x v="2"/>
    <n v="4"/>
    <n v="77440"/>
    <n v="309760"/>
    <n v="20"/>
    <n v="247808"/>
    <x v="2"/>
    <x v="0"/>
    <s v="Not Delivered"/>
    <n v="46464"/>
  </r>
  <r>
    <x v="349"/>
    <x v="1"/>
    <x v="258"/>
    <x v="3"/>
    <x v="285"/>
    <s v="+918635302335"/>
    <x v="0"/>
    <s v="Nizamabad"/>
    <x v="9"/>
    <x v="3"/>
    <x v="21"/>
    <x v="5"/>
    <x v="8"/>
    <n v="4"/>
    <n v="77440"/>
    <n v="309760"/>
    <n v="0"/>
    <n v="309760"/>
    <x v="1"/>
    <x v="0"/>
    <s v="Not Delivered"/>
    <n v="46464"/>
  </r>
  <r>
    <x v="350"/>
    <x v="1"/>
    <x v="259"/>
    <x v="1"/>
    <x v="286"/>
    <s v="+918937581301"/>
    <x v="0"/>
    <s v="Durgapur"/>
    <x v="2"/>
    <x v="2"/>
    <x v="14"/>
    <x v="1"/>
    <x v="10"/>
    <n v="3"/>
    <n v="77440"/>
    <n v="232320"/>
    <n v="20"/>
    <n v="185856"/>
    <x v="1"/>
    <x v="1"/>
    <s v="Not Delivered"/>
    <n v="34848"/>
  </r>
  <r>
    <x v="351"/>
    <x v="1"/>
    <x v="260"/>
    <x v="3"/>
    <x v="287"/>
    <s v="+919812321814"/>
    <x v="0"/>
    <s v="Warangal"/>
    <x v="9"/>
    <x v="0"/>
    <x v="13"/>
    <x v="5"/>
    <x v="2"/>
    <n v="3"/>
    <n v="77440"/>
    <n v="232320"/>
    <n v="5"/>
    <n v="220704"/>
    <x v="2"/>
    <x v="2"/>
    <d v="2025-03-14T00:00:00"/>
    <n v="34848"/>
  </r>
  <r>
    <x v="352"/>
    <x v="1"/>
    <x v="17"/>
    <x v="5"/>
    <x v="160"/>
    <s v="+918777599784"/>
    <x v="0"/>
    <s v="Lucknow"/>
    <x v="1"/>
    <x v="1"/>
    <x v="21"/>
    <x v="5"/>
    <x v="4"/>
    <n v="5"/>
    <n v="77440"/>
    <n v="387200"/>
    <n v="10"/>
    <n v="348480"/>
    <x v="2"/>
    <x v="2"/>
    <d v="2025-04-27T00:00:00"/>
    <n v="58080"/>
  </r>
  <r>
    <x v="353"/>
    <x v="0"/>
    <x v="261"/>
    <x v="7"/>
    <x v="269"/>
    <s v="+919434873140"/>
    <x v="0"/>
    <s v="Surat"/>
    <x v="5"/>
    <x v="2"/>
    <x v="20"/>
    <x v="2"/>
    <x v="8"/>
    <n v="4"/>
    <n v="77440"/>
    <n v="309760"/>
    <n v="20"/>
    <n v="247808"/>
    <x v="0"/>
    <x v="0"/>
    <s v="Not Delivered"/>
    <n v="46464"/>
  </r>
  <r>
    <x v="354"/>
    <x v="1"/>
    <x v="262"/>
    <x v="7"/>
    <x v="111"/>
    <s v="+916449546513"/>
    <x v="0"/>
    <s v="New Delhi"/>
    <x v="0"/>
    <x v="0"/>
    <x v="18"/>
    <x v="1"/>
    <x v="1"/>
    <n v="4"/>
    <n v="77440"/>
    <n v="309760"/>
    <n v="15"/>
    <n v="263296"/>
    <x v="0"/>
    <x v="1"/>
    <s v="Not Delivered"/>
    <n v="46464"/>
  </r>
  <r>
    <x v="355"/>
    <x v="0"/>
    <x v="46"/>
    <x v="8"/>
    <x v="288"/>
    <s v="+917820046439"/>
    <x v="0"/>
    <s v="Nashik"/>
    <x v="6"/>
    <x v="3"/>
    <x v="14"/>
    <x v="1"/>
    <x v="6"/>
    <n v="3"/>
    <n v="77440"/>
    <n v="232320"/>
    <n v="20"/>
    <n v="185856"/>
    <x v="2"/>
    <x v="0"/>
    <s v="Not Delivered"/>
    <n v="34848"/>
  </r>
  <r>
    <x v="356"/>
    <x v="0"/>
    <x v="263"/>
    <x v="8"/>
    <x v="289"/>
    <s v="+919462690859"/>
    <x v="0"/>
    <s v="Udaipur"/>
    <x v="3"/>
    <x v="0"/>
    <x v="19"/>
    <x v="3"/>
    <x v="1"/>
    <n v="2"/>
    <n v="77440"/>
    <n v="154880"/>
    <n v="5"/>
    <n v="147136"/>
    <x v="3"/>
    <x v="1"/>
    <s v="Not Delivered"/>
    <n v="23232"/>
  </r>
  <r>
    <x v="357"/>
    <x v="1"/>
    <x v="264"/>
    <x v="1"/>
    <x v="290"/>
    <s v="+917496505749"/>
    <x v="0"/>
    <s v="Durgapur"/>
    <x v="2"/>
    <x v="2"/>
    <x v="14"/>
    <x v="1"/>
    <x v="7"/>
    <n v="4"/>
    <n v="77440"/>
    <n v="309760"/>
    <n v="0"/>
    <n v="309760"/>
    <x v="3"/>
    <x v="2"/>
    <d v="2025-04-24T00:00:00"/>
    <n v="46464"/>
  </r>
  <r>
    <x v="358"/>
    <x v="1"/>
    <x v="136"/>
    <x v="6"/>
    <x v="176"/>
    <s v="+916834308410"/>
    <x v="0"/>
    <s v="Warangal"/>
    <x v="9"/>
    <x v="3"/>
    <x v="13"/>
    <x v="5"/>
    <x v="2"/>
    <n v="2"/>
    <n v="77440"/>
    <n v="154880"/>
    <n v="5"/>
    <n v="147136"/>
    <x v="1"/>
    <x v="0"/>
    <s v="Not Delivered"/>
    <n v="23232"/>
  </r>
  <r>
    <x v="359"/>
    <x v="0"/>
    <x v="265"/>
    <x v="5"/>
    <x v="291"/>
    <s v="+918465047067"/>
    <x v="0"/>
    <s v="Noida"/>
    <x v="1"/>
    <x v="1"/>
    <x v="7"/>
    <x v="4"/>
    <x v="0"/>
    <n v="2"/>
    <n v="77440"/>
    <n v="154880"/>
    <n v="20"/>
    <n v="123904"/>
    <x v="3"/>
    <x v="0"/>
    <s v="Not Delivered"/>
    <n v="23232"/>
  </r>
  <r>
    <x v="360"/>
    <x v="0"/>
    <x v="266"/>
    <x v="0"/>
    <x v="292"/>
    <s v="+916123437156"/>
    <x v="0"/>
    <s v="Jodhpur"/>
    <x v="3"/>
    <x v="0"/>
    <x v="12"/>
    <x v="2"/>
    <x v="8"/>
    <n v="3"/>
    <n v="77440"/>
    <n v="232320"/>
    <n v="5"/>
    <n v="220704"/>
    <x v="1"/>
    <x v="0"/>
    <s v="Not Delivered"/>
    <n v="34848"/>
  </r>
  <r>
    <x v="361"/>
    <x v="0"/>
    <x v="250"/>
    <x v="2"/>
    <x v="290"/>
    <s v="+919978751333"/>
    <x v="0"/>
    <s v="Kolkata"/>
    <x v="2"/>
    <x v="1"/>
    <x v="1"/>
    <x v="1"/>
    <x v="7"/>
    <n v="1"/>
    <n v="77440"/>
    <n v="77440"/>
    <n v="5"/>
    <n v="73568"/>
    <x v="3"/>
    <x v="2"/>
    <d v="2024-09-10T00:00:00"/>
    <n v="11616"/>
  </r>
  <r>
    <x v="362"/>
    <x v="0"/>
    <x v="267"/>
    <x v="0"/>
    <x v="293"/>
    <s v="+918506380723"/>
    <x v="0"/>
    <s v="Pune"/>
    <x v="6"/>
    <x v="1"/>
    <x v="1"/>
    <x v="1"/>
    <x v="6"/>
    <n v="2"/>
    <n v="77440"/>
    <n v="154880"/>
    <n v="20"/>
    <n v="123904"/>
    <x v="3"/>
    <x v="2"/>
    <d v="2024-08-02T00:00:00"/>
    <n v="23232"/>
  </r>
  <r>
    <x v="363"/>
    <x v="0"/>
    <x v="268"/>
    <x v="0"/>
    <x v="294"/>
    <s v="+917242229353"/>
    <x v="0"/>
    <s v="Mangalore"/>
    <x v="8"/>
    <x v="1"/>
    <x v="6"/>
    <x v="3"/>
    <x v="8"/>
    <n v="2"/>
    <n v="77440"/>
    <n v="154880"/>
    <n v="20"/>
    <n v="123904"/>
    <x v="2"/>
    <x v="1"/>
    <s v="Not Delivered"/>
    <n v="23232"/>
  </r>
  <r>
    <x v="364"/>
    <x v="0"/>
    <x v="269"/>
    <x v="8"/>
    <x v="295"/>
    <s v="+916666739230"/>
    <x v="0"/>
    <s v="Kolkata"/>
    <x v="2"/>
    <x v="0"/>
    <x v="6"/>
    <x v="3"/>
    <x v="7"/>
    <n v="3"/>
    <n v="77440"/>
    <n v="232320"/>
    <n v="0"/>
    <n v="232320"/>
    <x v="1"/>
    <x v="0"/>
    <s v="Not Delivered"/>
    <n v="34848"/>
  </r>
  <r>
    <x v="365"/>
    <x v="1"/>
    <x v="270"/>
    <x v="3"/>
    <x v="296"/>
    <s v="+919437352853"/>
    <x v="0"/>
    <s v="Nashik"/>
    <x v="6"/>
    <x v="3"/>
    <x v="2"/>
    <x v="0"/>
    <x v="1"/>
    <n v="3"/>
    <n v="77440"/>
    <n v="232320"/>
    <n v="15"/>
    <n v="197472"/>
    <x v="1"/>
    <x v="1"/>
    <s v="Not Delivered"/>
    <n v="34848"/>
  </r>
  <r>
    <x v="366"/>
    <x v="0"/>
    <x v="137"/>
    <x v="1"/>
    <x v="297"/>
    <s v="+916773783065"/>
    <x v="0"/>
    <s v="New Delhi"/>
    <x v="0"/>
    <x v="1"/>
    <x v="24"/>
    <x v="4"/>
    <x v="2"/>
    <n v="5"/>
    <n v="77440"/>
    <n v="387200"/>
    <n v="15"/>
    <n v="329120"/>
    <x v="2"/>
    <x v="1"/>
    <s v="Not Delivered"/>
    <n v="58080"/>
  </r>
  <r>
    <x v="367"/>
    <x v="0"/>
    <x v="201"/>
    <x v="9"/>
    <x v="10"/>
    <s v="+918417398672"/>
    <x v="0"/>
    <s v="Jodhpur"/>
    <x v="3"/>
    <x v="0"/>
    <x v="20"/>
    <x v="2"/>
    <x v="2"/>
    <n v="3"/>
    <n v="77440"/>
    <n v="232320"/>
    <n v="0"/>
    <n v="232320"/>
    <x v="1"/>
    <x v="2"/>
    <d v="2024-12-17T00:00:00"/>
    <n v="34848"/>
  </r>
  <r>
    <x v="368"/>
    <x v="1"/>
    <x v="271"/>
    <x v="4"/>
    <x v="298"/>
    <s v="+918271422056"/>
    <x v="0"/>
    <s v="Rajkot"/>
    <x v="5"/>
    <x v="3"/>
    <x v="1"/>
    <x v="1"/>
    <x v="3"/>
    <n v="4"/>
    <n v="77440"/>
    <n v="309760"/>
    <n v="10"/>
    <n v="278784"/>
    <x v="0"/>
    <x v="0"/>
    <s v="Not Delivered"/>
    <n v="46464"/>
  </r>
  <r>
    <x v="369"/>
    <x v="1"/>
    <x v="112"/>
    <x v="7"/>
    <x v="299"/>
    <s v="+916695349600"/>
    <x v="0"/>
    <s v="Jaipur"/>
    <x v="3"/>
    <x v="3"/>
    <x v="0"/>
    <x v="0"/>
    <x v="7"/>
    <n v="2"/>
    <n v="77440"/>
    <n v="154880"/>
    <n v="0"/>
    <n v="154880"/>
    <x v="1"/>
    <x v="1"/>
    <s v="Not Delivered"/>
    <n v="23232"/>
  </r>
  <r>
    <x v="370"/>
    <x v="1"/>
    <x v="117"/>
    <x v="0"/>
    <x v="300"/>
    <s v="+916475269241"/>
    <x v="0"/>
    <s v="Chennai"/>
    <x v="7"/>
    <x v="2"/>
    <x v="23"/>
    <x v="4"/>
    <x v="8"/>
    <n v="4"/>
    <n v="77440"/>
    <n v="309760"/>
    <n v="0"/>
    <n v="309760"/>
    <x v="0"/>
    <x v="2"/>
    <d v="2025-06-01T00:00:00"/>
    <n v="46464"/>
  </r>
  <r>
    <x v="371"/>
    <x v="0"/>
    <x v="52"/>
    <x v="5"/>
    <x v="301"/>
    <s v="+917418522808"/>
    <x v="0"/>
    <s v="Chennai"/>
    <x v="7"/>
    <x v="0"/>
    <x v="25"/>
    <x v="3"/>
    <x v="4"/>
    <n v="1"/>
    <n v="77440"/>
    <n v="77440"/>
    <n v="5"/>
    <n v="73568"/>
    <x v="3"/>
    <x v="2"/>
    <d v="2024-06-26T00:00:00"/>
    <n v="11616"/>
  </r>
  <r>
    <x v="372"/>
    <x v="0"/>
    <x v="272"/>
    <x v="2"/>
    <x v="302"/>
    <s v="+916335443504"/>
    <x v="0"/>
    <s v="Kanpur"/>
    <x v="1"/>
    <x v="0"/>
    <x v="7"/>
    <x v="4"/>
    <x v="10"/>
    <n v="1"/>
    <n v="77440"/>
    <n v="77440"/>
    <n v="10"/>
    <n v="69696"/>
    <x v="1"/>
    <x v="1"/>
    <s v="Not Delivered"/>
    <n v="11616"/>
  </r>
  <r>
    <x v="373"/>
    <x v="0"/>
    <x v="75"/>
    <x v="3"/>
    <x v="303"/>
    <s v="+916833816895"/>
    <x v="0"/>
    <s v="Chennai"/>
    <x v="7"/>
    <x v="1"/>
    <x v="27"/>
    <x v="5"/>
    <x v="2"/>
    <n v="3"/>
    <n v="77440"/>
    <n v="232320"/>
    <n v="10"/>
    <n v="209088"/>
    <x v="1"/>
    <x v="2"/>
    <d v="2024-04-30T00:00:00"/>
    <n v="34848"/>
  </r>
  <r>
    <x v="374"/>
    <x v="1"/>
    <x v="95"/>
    <x v="9"/>
    <x v="175"/>
    <s v="+916669556673"/>
    <x v="0"/>
    <s v="Jaipur"/>
    <x v="3"/>
    <x v="0"/>
    <x v="26"/>
    <x v="4"/>
    <x v="10"/>
    <n v="5"/>
    <n v="77440"/>
    <n v="387200"/>
    <n v="5"/>
    <n v="367840"/>
    <x v="3"/>
    <x v="1"/>
    <s v="Not Delivered"/>
    <n v="58080"/>
  </r>
  <r>
    <x v="375"/>
    <x v="0"/>
    <x v="273"/>
    <x v="7"/>
    <x v="304"/>
    <s v="+919392503115"/>
    <x v="0"/>
    <s v="Amritsar"/>
    <x v="4"/>
    <x v="2"/>
    <x v="24"/>
    <x v="4"/>
    <x v="4"/>
    <n v="1"/>
    <n v="77440"/>
    <n v="77440"/>
    <n v="0"/>
    <n v="77440"/>
    <x v="3"/>
    <x v="0"/>
    <s v="Not Delivered"/>
    <n v="11616"/>
  </r>
  <r>
    <x v="376"/>
    <x v="0"/>
    <x v="113"/>
    <x v="4"/>
    <x v="305"/>
    <s v="+919093534713"/>
    <x v="0"/>
    <s v="Jaipur"/>
    <x v="3"/>
    <x v="0"/>
    <x v="24"/>
    <x v="4"/>
    <x v="3"/>
    <n v="4"/>
    <n v="77440"/>
    <n v="309760"/>
    <n v="20"/>
    <n v="247808"/>
    <x v="0"/>
    <x v="2"/>
    <d v="2024-07-27T00:00:00"/>
    <n v="46464"/>
  </r>
  <r>
    <x v="377"/>
    <x v="0"/>
    <x v="49"/>
    <x v="2"/>
    <x v="46"/>
    <s v="+916754317616"/>
    <x v="0"/>
    <s v="Coimbatore"/>
    <x v="7"/>
    <x v="1"/>
    <x v="11"/>
    <x v="1"/>
    <x v="10"/>
    <n v="1"/>
    <n v="77440"/>
    <n v="77440"/>
    <n v="5"/>
    <n v="73568"/>
    <x v="3"/>
    <x v="2"/>
    <d v="2024-04-03T00:00:00"/>
    <n v="11616"/>
  </r>
  <r>
    <x v="378"/>
    <x v="0"/>
    <x v="274"/>
    <x v="0"/>
    <x v="306"/>
    <s v="+916238403649"/>
    <x v="0"/>
    <s v="Nizamabad"/>
    <x v="9"/>
    <x v="0"/>
    <x v="20"/>
    <x v="2"/>
    <x v="5"/>
    <n v="1"/>
    <n v="77440"/>
    <n v="77440"/>
    <n v="15"/>
    <n v="65824"/>
    <x v="3"/>
    <x v="0"/>
    <s v="Not Delivered"/>
    <n v="11616"/>
  </r>
  <r>
    <x v="379"/>
    <x v="0"/>
    <x v="275"/>
    <x v="3"/>
    <x v="283"/>
    <s v="+919696181880"/>
    <x v="0"/>
    <s v="Chennai"/>
    <x v="7"/>
    <x v="1"/>
    <x v="16"/>
    <x v="5"/>
    <x v="11"/>
    <n v="4"/>
    <n v="77440"/>
    <n v="309760"/>
    <n v="5"/>
    <n v="294272"/>
    <x v="1"/>
    <x v="1"/>
    <s v="Not Delivered"/>
    <n v="46464"/>
  </r>
  <r>
    <x v="380"/>
    <x v="0"/>
    <x v="130"/>
    <x v="2"/>
    <x v="39"/>
    <s v="+916892484162"/>
    <x v="0"/>
    <s v="Surat"/>
    <x v="5"/>
    <x v="0"/>
    <x v="7"/>
    <x v="4"/>
    <x v="5"/>
    <n v="3"/>
    <n v="77440"/>
    <n v="232320"/>
    <n v="20"/>
    <n v="185856"/>
    <x v="3"/>
    <x v="1"/>
    <s v="Not Delivered"/>
    <n v="34848"/>
  </r>
  <r>
    <x v="381"/>
    <x v="0"/>
    <x v="245"/>
    <x v="8"/>
    <x v="46"/>
    <s v="+919332423543"/>
    <x v="0"/>
    <s v="Chennai"/>
    <x v="7"/>
    <x v="0"/>
    <x v="18"/>
    <x v="1"/>
    <x v="4"/>
    <n v="2"/>
    <n v="77440"/>
    <n v="154880"/>
    <n v="15"/>
    <n v="131648"/>
    <x v="3"/>
    <x v="1"/>
    <s v="Not Delivered"/>
    <n v="23232"/>
  </r>
  <r>
    <x v="382"/>
    <x v="0"/>
    <x v="49"/>
    <x v="1"/>
    <x v="215"/>
    <s v="+919318045146"/>
    <x v="0"/>
    <s v="Hyderabad"/>
    <x v="9"/>
    <x v="1"/>
    <x v="21"/>
    <x v="5"/>
    <x v="9"/>
    <n v="5"/>
    <n v="77440"/>
    <n v="387200"/>
    <n v="20"/>
    <n v="309760"/>
    <x v="2"/>
    <x v="1"/>
    <s v="Not Delivered"/>
    <n v="58080"/>
  </r>
  <r>
    <x v="383"/>
    <x v="1"/>
    <x v="60"/>
    <x v="6"/>
    <x v="307"/>
    <s v="+916927594286"/>
    <x v="0"/>
    <s v="Vadodara"/>
    <x v="5"/>
    <x v="2"/>
    <x v="27"/>
    <x v="5"/>
    <x v="2"/>
    <n v="5"/>
    <n v="77440"/>
    <n v="387200"/>
    <n v="15"/>
    <n v="329120"/>
    <x v="2"/>
    <x v="2"/>
    <d v="2025-03-13T00:00:00"/>
    <n v="58080"/>
  </r>
  <r>
    <x v="384"/>
    <x v="1"/>
    <x v="276"/>
    <x v="2"/>
    <x v="308"/>
    <s v="+917254462944"/>
    <x v="0"/>
    <s v="Mysore"/>
    <x v="8"/>
    <x v="2"/>
    <x v="22"/>
    <x v="0"/>
    <x v="9"/>
    <n v="1"/>
    <n v="77440"/>
    <n v="77440"/>
    <n v="0"/>
    <n v="77440"/>
    <x v="3"/>
    <x v="2"/>
    <d v="2025-04-07T00:00:00"/>
    <n v="11616"/>
  </r>
  <r>
    <x v="385"/>
    <x v="1"/>
    <x v="228"/>
    <x v="9"/>
    <x v="59"/>
    <s v="+917184838652"/>
    <x v="0"/>
    <s v="Mysore"/>
    <x v="8"/>
    <x v="1"/>
    <x v="10"/>
    <x v="3"/>
    <x v="3"/>
    <n v="1"/>
    <n v="77440"/>
    <n v="77440"/>
    <n v="15"/>
    <n v="65824"/>
    <x v="0"/>
    <x v="2"/>
    <d v="2025-03-02T00:00:00"/>
    <n v="11616"/>
  </r>
  <r>
    <x v="386"/>
    <x v="1"/>
    <x v="277"/>
    <x v="8"/>
    <x v="309"/>
    <s v="+916956491585"/>
    <x v="0"/>
    <s v="New Delhi"/>
    <x v="0"/>
    <x v="1"/>
    <x v="21"/>
    <x v="5"/>
    <x v="10"/>
    <n v="4"/>
    <n v="77440"/>
    <n v="309760"/>
    <n v="0"/>
    <n v="309760"/>
    <x v="3"/>
    <x v="2"/>
    <d v="2025-05-14T00:00:00"/>
    <n v="46464"/>
  </r>
  <r>
    <x v="387"/>
    <x v="1"/>
    <x v="95"/>
    <x v="1"/>
    <x v="310"/>
    <s v="+918884874089"/>
    <x v="0"/>
    <s v="Amritsar"/>
    <x v="4"/>
    <x v="0"/>
    <x v="10"/>
    <x v="3"/>
    <x v="1"/>
    <n v="2"/>
    <n v="77440"/>
    <n v="154880"/>
    <n v="20"/>
    <n v="123904"/>
    <x v="0"/>
    <x v="1"/>
    <s v="Not Delivered"/>
    <n v="23232"/>
  </r>
  <r>
    <x v="388"/>
    <x v="0"/>
    <x v="249"/>
    <x v="9"/>
    <x v="311"/>
    <s v="+919117769019"/>
    <x v="0"/>
    <s v="Varanasi"/>
    <x v="1"/>
    <x v="1"/>
    <x v="18"/>
    <x v="1"/>
    <x v="11"/>
    <n v="1"/>
    <n v="77440"/>
    <n v="77440"/>
    <n v="10"/>
    <n v="69696"/>
    <x v="1"/>
    <x v="0"/>
    <s v="Not Delivered"/>
    <n v="11616"/>
  </r>
  <r>
    <x v="389"/>
    <x v="0"/>
    <x v="278"/>
    <x v="5"/>
    <x v="312"/>
    <s v="+917008127605"/>
    <x v="0"/>
    <s v="Ahmedabad"/>
    <x v="5"/>
    <x v="2"/>
    <x v="3"/>
    <x v="2"/>
    <x v="6"/>
    <n v="5"/>
    <n v="77440"/>
    <n v="387200"/>
    <n v="5"/>
    <n v="367840"/>
    <x v="3"/>
    <x v="2"/>
    <d v="2024-07-24T00:00:00"/>
    <n v="58080"/>
  </r>
  <r>
    <x v="390"/>
    <x v="0"/>
    <x v="151"/>
    <x v="0"/>
    <x v="313"/>
    <s v="+919762121856"/>
    <x v="0"/>
    <s v="New Delhi"/>
    <x v="0"/>
    <x v="1"/>
    <x v="24"/>
    <x v="4"/>
    <x v="8"/>
    <n v="4"/>
    <n v="77440"/>
    <n v="309760"/>
    <n v="15"/>
    <n v="263296"/>
    <x v="1"/>
    <x v="1"/>
    <s v="Not Delivered"/>
    <n v="46464"/>
  </r>
  <r>
    <x v="391"/>
    <x v="1"/>
    <x v="192"/>
    <x v="7"/>
    <x v="314"/>
    <s v="+919765833434"/>
    <x v="0"/>
    <s v="Hyderabad"/>
    <x v="9"/>
    <x v="2"/>
    <x v="1"/>
    <x v="1"/>
    <x v="3"/>
    <n v="5"/>
    <n v="77440"/>
    <n v="387200"/>
    <n v="10"/>
    <n v="348480"/>
    <x v="0"/>
    <x v="0"/>
    <s v="Not Delivered"/>
    <n v="58080"/>
  </r>
  <r>
    <x v="392"/>
    <x v="1"/>
    <x v="279"/>
    <x v="6"/>
    <x v="315"/>
    <s v="+919759700791"/>
    <x v="0"/>
    <s v="Nizamabad"/>
    <x v="9"/>
    <x v="1"/>
    <x v="26"/>
    <x v="4"/>
    <x v="6"/>
    <n v="3"/>
    <n v="77440"/>
    <n v="232320"/>
    <n v="5"/>
    <n v="220704"/>
    <x v="3"/>
    <x v="0"/>
    <s v="Not Delivered"/>
    <n v="34848"/>
  </r>
  <r>
    <x v="393"/>
    <x v="0"/>
    <x v="280"/>
    <x v="2"/>
    <x v="304"/>
    <s v="+919824928267"/>
    <x v="0"/>
    <s v="Jodhpur"/>
    <x v="3"/>
    <x v="2"/>
    <x v="26"/>
    <x v="4"/>
    <x v="3"/>
    <n v="2"/>
    <n v="77440"/>
    <n v="154880"/>
    <n v="15"/>
    <n v="131648"/>
    <x v="1"/>
    <x v="0"/>
    <s v="Not Delivered"/>
    <n v="23232"/>
  </r>
  <r>
    <x v="394"/>
    <x v="0"/>
    <x v="51"/>
    <x v="6"/>
    <x v="300"/>
    <s v="+919384534152"/>
    <x v="0"/>
    <s v="Chandigarh"/>
    <x v="4"/>
    <x v="1"/>
    <x v="24"/>
    <x v="4"/>
    <x v="10"/>
    <n v="3"/>
    <n v="77440"/>
    <n v="232320"/>
    <n v="15"/>
    <n v="197472"/>
    <x v="0"/>
    <x v="2"/>
    <d v="2024-02-15T00:00:00"/>
    <n v="34848"/>
  </r>
  <r>
    <x v="395"/>
    <x v="0"/>
    <x v="281"/>
    <x v="5"/>
    <x v="316"/>
    <s v="+918541855876"/>
    <x v="0"/>
    <s v="Ludhiana"/>
    <x v="4"/>
    <x v="2"/>
    <x v="7"/>
    <x v="4"/>
    <x v="0"/>
    <n v="5"/>
    <n v="77440"/>
    <n v="387200"/>
    <n v="5"/>
    <n v="367840"/>
    <x v="0"/>
    <x v="0"/>
    <s v="Not Delivered"/>
    <n v="58080"/>
  </r>
  <r>
    <x v="396"/>
    <x v="1"/>
    <x v="254"/>
    <x v="6"/>
    <x v="317"/>
    <s v="+917875874423"/>
    <x v="0"/>
    <s v="Nagpur"/>
    <x v="6"/>
    <x v="1"/>
    <x v="17"/>
    <x v="2"/>
    <x v="10"/>
    <n v="4"/>
    <n v="77440"/>
    <n v="309760"/>
    <n v="20"/>
    <n v="247808"/>
    <x v="3"/>
    <x v="1"/>
    <s v="Not Delivered"/>
    <n v="46464"/>
  </r>
  <r>
    <x v="397"/>
    <x v="0"/>
    <x v="166"/>
    <x v="9"/>
    <x v="318"/>
    <s v="+919947489222"/>
    <x v="0"/>
    <s v="Durgapur"/>
    <x v="2"/>
    <x v="3"/>
    <x v="14"/>
    <x v="1"/>
    <x v="3"/>
    <n v="2"/>
    <n v="77440"/>
    <n v="154880"/>
    <n v="15"/>
    <n v="131648"/>
    <x v="1"/>
    <x v="2"/>
    <d v="2024-03-21T00:00:00"/>
    <n v="23232"/>
  </r>
  <r>
    <x v="398"/>
    <x v="0"/>
    <x v="282"/>
    <x v="5"/>
    <x v="319"/>
    <s v="+916370199913"/>
    <x v="0"/>
    <s v="Nizamabad"/>
    <x v="9"/>
    <x v="1"/>
    <x v="2"/>
    <x v="0"/>
    <x v="8"/>
    <n v="2"/>
    <n v="77440"/>
    <n v="154880"/>
    <n v="10"/>
    <n v="139392"/>
    <x v="3"/>
    <x v="2"/>
    <d v="2024-04-08T00:00:00"/>
    <n v="23232"/>
  </r>
  <r>
    <x v="399"/>
    <x v="0"/>
    <x v="275"/>
    <x v="3"/>
    <x v="304"/>
    <s v="+919428084845"/>
    <x v="0"/>
    <s v="New Delhi"/>
    <x v="0"/>
    <x v="1"/>
    <x v="11"/>
    <x v="1"/>
    <x v="3"/>
    <n v="2"/>
    <n v="77440"/>
    <n v="154880"/>
    <n v="5"/>
    <n v="147136"/>
    <x v="2"/>
    <x v="0"/>
    <s v="Not Delivered"/>
    <n v="23232"/>
  </r>
  <r>
    <x v="400"/>
    <x v="1"/>
    <x v="204"/>
    <x v="3"/>
    <x v="320"/>
    <s v="+917182484882"/>
    <x v="0"/>
    <s v="Ludhiana"/>
    <x v="4"/>
    <x v="1"/>
    <x v="17"/>
    <x v="2"/>
    <x v="8"/>
    <n v="2"/>
    <n v="77440"/>
    <n v="154880"/>
    <n v="20"/>
    <n v="123904"/>
    <x v="0"/>
    <x v="2"/>
    <d v="2025-05-06T00:00:00"/>
    <n v="23232"/>
  </r>
  <r>
    <x v="401"/>
    <x v="0"/>
    <x v="202"/>
    <x v="8"/>
    <x v="240"/>
    <s v="+917089221235"/>
    <x v="0"/>
    <s v="Hyderabad"/>
    <x v="9"/>
    <x v="2"/>
    <x v="6"/>
    <x v="3"/>
    <x v="7"/>
    <n v="4"/>
    <n v="77440"/>
    <n v="309760"/>
    <n v="10"/>
    <n v="278784"/>
    <x v="0"/>
    <x v="1"/>
    <s v="Not Delivered"/>
    <n v="46464"/>
  </r>
  <r>
    <x v="402"/>
    <x v="0"/>
    <x v="66"/>
    <x v="5"/>
    <x v="321"/>
    <s v="+918133566976"/>
    <x v="0"/>
    <s v="Amritsar"/>
    <x v="4"/>
    <x v="1"/>
    <x v="18"/>
    <x v="1"/>
    <x v="2"/>
    <n v="1"/>
    <n v="77440"/>
    <n v="77440"/>
    <n v="15"/>
    <n v="65824"/>
    <x v="3"/>
    <x v="2"/>
    <d v="2024-06-04T00:00:00"/>
    <n v="11616"/>
  </r>
  <r>
    <x v="403"/>
    <x v="1"/>
    <x v="283"/>
    <x v="7"/>
    <x v="104"/>
    <s v="+917058733163"/>
    <x v="0"/>
    <s v="Jodhpur"/>
    <x v="3"/>
    <x v="1"/>
    <x v="24"/>
    <x v="4"/>
    <x v="11"/>
    <n v="1"/>
    <n v="77440"/>
    <n v="77440"/>
    <n v="20"/>
    <n v="61952"/>
    <x v="2"/>
    <x v="1"/>
    <s v="Not Delivered"/>
    <n v="11616"/>
  </r>
  <r>
    <x v="404"/>
    <x v="0"/>
    <x v="80"/>
    <x v="1"/>
    <x v="322"/>
    <s v="+916120837536"/>
    <x v="0"/>
    <s v="Warangal"/>
    <x v="9"/>
    <x v="2"/>
    <x v="11"/>
    <x v="1"/>
    <x v="2"/>
    <n v="4"/>
    <n v="77440"/>
    <n v="309760"/>
    <n v="0"/>
    <n v="309760"/>
    <x v="0"/>
    <x v="0"/>
    <s v="Not Delivered"/>
    <n v="46464"/>
  </r>
  <r>
    <x v="405"/>
    <x v="1"/>
    <x v="231"/>
    <x v="3"/>
    <x v="85"/>
    <s v="+917963534461"/>
    <x v="0"/>
    <s v="Ludhiana"/>
    <x v="4"/>
    <x v="2"/>
    <x v="15"/>
    <x v="4"/>
    <x v="10"/>
    <n v="5"/>
    <n v="77440"/>
    <n v="387200"/>
    <n v="5"/>
    <n v="367840"/>
    <x v="1"/>
    <x v="2"/>
    <d v="2025-05-29T00:00:00"/>
    <n v="58080"/>
  </r>
  <r>
    <x v="406"/>
    <x v="1"/>
    <x v="176"/>
    <x v="4"/>
    <x v="238"/>
    <s v="+919064223482"/>
    <x v="0"/>
    <s v="Hyderabad"/>
    <x v="9"/>
    <x v="2"/>
    <x v="23"/>
    <x v="4"/>
    <x v="9"/>
    <n v="5"/>
    <n v="77440"/>
    <n v="387200"/>
    <n v="5"/>
    <n v="367840"/>
    <x v="2"/>
    <x v="2"/>
    <d v="2025-04-10T00:00:00"/>
    <n v="58080"/>
  </r>
  <r>
    <x v="407"/>
    <x v="0"/>
    <x v="284"/>
    <x v="2"/>
    <x v="323"/>
    <s v="+917236081076"/>
    <x v="0"/>
    <s v="Madurai"/>
    <x v="7"/>
    <x v="2"/>
    <x v="13"/>
    <x v="5"/>
    <x v="11"/>
    <n v="2"/>
    <n v="77440"/>
    <n v="154880"/>
    <n v="20"/>
    <n v="123904"/>
    <x v="2"/>
    <x v="0"/>
    <s v="Not Delivered"/>
    <n v="23232"/>
  </r>
  <r>
    <x v="408"/>
    <x v="0"/>
    <x v="285"/>
    <x v="4"/>
    <x v="16"/>
    <s v="+919805069645"/>
    <x v="0"/>
    <s v="Surat"/>
    <x v="5"/>
    <x v="3"/>
    <x v="14"/>
    <x v="1"/>
    <x v="3"/>
    <n v="4"/>
    <n v="77440"/>
    <n v="309760"/>
    <n v="5"/>
    <n v="294272"/>
    <x v="2"/>
    <x v="2"/>
    <d v="2024-09-23T00:00:00"/>
    <n v="46464"/>
  </r>
  <r>
    <x v="409"/>
    <x v="0"/>
    <x v="286"/>
    <x v="9"/>
    <x v="324"/>
    <s v="+916451138162"/>
    <x v="0"/>
    <s v="Aurangabad"/>
    <x v="6"/>
    <x v="2"/>
    <x v="19"/>
    <x v="3"/>
    <x v="1"/>
    <n v="2"/>
    <n v="77440"/>
    <n v="154880"/>
    <n v="15"/>
    <n v="131648"/>
    <x v="3"/>
    <x v="1"/>
    <s v="Not Delivered"/>
    <n v="23232"/>
  </r>
  <r>
    <x v="410"/>
    <x v="1"/>
    <x v="287"/>
    <x v="5"/>
    <x v="325"/>
    <s v="+916002289414"/>
    <x v="0"/>
    <s v="Aurangabad"/>
    <x v="6"/>
    <x v="0"/>
    <x v="27"/>
    <x v="5"/>
    <x v="9"/>
    <n v="3"/>
    <n v="77440"/>
    <n v="232320"/>
    <n v="15"/>
    <n v="197472"/>
    <x v="2"/>
    <x v="2"/>
    <d v="2025-03-26T00:00:00"/>
    <n v="34848"/>
  </r>
  <r>
    <x v="411"/>
    <x v="1"/>
    <x v="288"/>
    <x v="4"/>
    <x v="326"/>
    <s v="+919976369758"/>
    <x v="0"/>
    <s v="Lucknow"/>
    <x v="1"/>
    <x v="0"/>
    <x v="20"/>
    <x v="2"/>
    <x v="4"/>
    <n v="4"/>
    <n v="77440"/>
    <n v="309760"/>
    <n v="10"/>
    <n v="278784"/>
    <x v="0"/>
    <x v="1"/>
    <s v="Not Delivered"/>
    <n v="46464"/>
  </r>
  <r>
    <x v="412"/>
    <x v="0"/>
    <x v="89"/>
    <x v="1"/>
    <x v="327"/>
    <s v="+916653201438"/>
    <x v="0"/>
    <s v="Surat"/>
    <x v="5"/>
    <x v="1"/>
    <x v="5"/>
    <x v="1"/>
    <x v="0"/>
    <n v="3"/>
    <n v="77440"/>
    <n v="232320"/>
    <n v="5"/>
    <n v="220704"/>
    <x v="2"/>
    <x v="0"/>
    <s v="Not Delivered"/>
    <n v="34848"/>
  </r>
  <r>
    <x v="413"/>
    <x v="1"/>
    <x v="289"/>
    <x v="4"/>
    <x v="274"/>
    <s v="+918498093027"/>
    <x v="0"/>
    <s v="Madurai"/>
    <x v="7"/>
    <x v="3"/>
    <x v="2"/>
    <x v="0"/>
    <x v="9"/>
    <n v="3"/>
    <n v="77440"/>
    <n v="232320"/>
    <n v="5"/>
    <n v="220704"/>
    <x v="0"/>
    <x v="0"/>
    <s v="Not Delivered"/>
    <n v="34848"/>
  </r>
  <r>
    <x v="414"/>
    <x v="0"/>
    <x v="290"/>
    <x v="7"/>
    <x v="325"/>
    <s v="+919687179160"/>
    <x v="0"/>
    <s v="Chandigarh"/>
    <x v="4"/>
    <x v="0"/>
    <x v="16"/>
    <x v="5"/>
    <x v="9"/>
    <n v="3"/>
    <n v="77440"/>
    <n v="232320"/>
    <n v="5"/>
    <n v="220704"/>
    <x v="1"/>
    <x v="1"/>
    <s v="Not Delivered"/>
    <n v="34848"/>
  </r>
  <r>
    <x v="415"/>
    <x v="1"/>
    <x v="291"/>
    <x v="9"/>
    <x v="274"/>
    <s v="+916699123971"/>
    <x v="0"/>
    <s v="Jaipur"/>
    <x v="3"/>
    <x v="0"/>
    <x v="4"/>
    <x v="0"/>
    <x v="9"/>
    <n v="2"/>
    <n v="77440"/>
    <n v="154880"/>
    <n v="0"/>
    <n v="154880"/>
    <x v="2"/>
    <x v="0"/>
    <s v="Not Delivered"/>
    <n v="23232"/>
  </r>
  <r>
    <x v="416"/>
    <x v="1"/>
    <x v="292"/>
    <x v="4"/>
    <x v="328"/>
    <s v="+918313020817"/>
    <x v="0"/>
    <s v="Udaipur"/>
    <x v="3"/>
    <x v="3"/>
    <x v="15"/>
    <x v="4"/>
    <x v="2"/>
    <n v="2"/>
    <n v="77440"/>
    <n v="154880"/>
    <n v="20"/>
    <n v="123904"/>
    <x v="0"/>
    <x v="0"/>
    <s v="Not Delivered"/>
    <n v="23232"/>
  </r>
  <r>
    <x v="417"/>
    <x v="1"/>
    <x v="293"/>
    <x v="7"/>
    <x v="240"/>
    <s v="+918483722499"/>
    <x v="0"/>
    <s v="New Delhi"/>
    <x v="0"/>
    <x v="2"/>
    <x v="1"/>
    <x v="1"/>
    <x v="7"/>
    <n v="2"/>
    <n v="77440"/>
    <n v="154880"/>
    <n v="10"/>
    <n v="139392"/>
    <x v="3"/>
    <x v="1"/>
    <s v="Not Delivered"/>
    <n v="23232"/>
  </r>
  <r>
    <x v="418"/>
    <x v="1"/>
    <x v="294"/>
    <x v="2"/>
    <x v="329"/>
    <s v="+917129915586"/>
    <x v="0"/>
    <s v="Bangalore"/>
    <x v="8"/>
    <x v="1"/>
    <x v="1"/>
    <x v="1"/>
    <x v="6"/>
    <n v="4"/>
    <n v="77440"/>
    <n v="309760"/>
    <n v="15"/>
    <n v="263296"/>
    <x v="1"/>
    <x v="2"/>
    <d v="2025-04-17T00:00:00"/>
    <n v="46464"/>
  </r>
  <r>
    <x v="419"/>
    <x v="0"/>
    <x v="295"/>
    <x v="8"/>
    <x v="330"/>
    <s v="+919278048330"/>
    <x v="0"/>
    <s v="Madurai"/>
    <x v="7"/>
    <x v="3"/>
    <x v="20"/>
    <x v="2"/>
    <x v="10"/>
    <n v="4"/>
    <n v="77440"/>
    <n v="309760"/>
    <n v="10"/>
    <n v="278784"/>
    <x v="1"/>
    <x v="1"/>
    <s v="Not Delivered"/>
    <n v="46464"/>
  </r>
  <r>
    <x v="420"/>
    <x v="0"/>
    <x v="296"/>
    <x v="7"/>
    <x v="331"/>
    <s v="+919502501179"/>
    <x v="0"/>
    <s v="Aurangabad"/>
    <x v="6"/>
    <x v="2"/>
    <x v="4"/>
    <x v="0"/>
    <x v="8"/>
    <n v="4"/>
    <n v="77440"/>
    <n v="309760"/>
    <n v="10"/>
    <n v="278784"/>
    <x v="3"/>
    <x v="0"/>
    <s v="Not Delivered"/>
    <n v="46464"/>
  </r>
  <r>
    <x v="421"/>
    <x v="0"/>
    <x v="212"/>
    <x v="2"/>
    <x v="332"/>
    <s v="+919705975850"/>
    <x v="0"/>
    <s v="Howrah"/>
    <x v="2"/>
    <x v="1"/>
    <x v="7"/>
    <x v="4"/>
    <x v="6"/>
    <n v="4"/>
    <n v="77440"/>
    <n v="309760"/>
    <n v="20"/>
    <n v="247808"/>
    <x v="3"/>
    <x v="0"/>
    <s v="Not Delivered"/>
    <n v="46464"/>
  </r>
  <r>
    <x v="422"/>
    <x v="1"/>
    <x v="287"/>
    <x v="6"/>
    <x v="333"/>
    <s v="+916795756786"/>
    <x v="0"/>
    <s v="Jodhpur"/>
    <x v="3"/>
    <x v="0"/>
    <x v="22"/>
    <x v="0"/>
    <x v="2"/>
    <n v="2"/>
    <n v="77440"/>
    <n v="154880"/>
    <n v="10"/>
    <n v="139392"/>
    <x v="3"/>
    <x v="1"/>
    <s v="Not Delivered"/>
    <n v="23232"/>
  </r>
  <r>
    <x v="423"/>
    <x v="1"/>
    <x v="297"/>
    <x v="7"/>
    <x v="156"/>
    <s v="+919179282118"/>
    <x v="0"/>
    <s v="New Delhi"/>
    <x v="0"/>
    <x v="1"/>
    <x v="14"/>
    <x v="1"/>
    <x v="4"/>
    <n v="4"/>
    <n v="77440"/>
    <n v="309760"/>
    <n v="0"/>
    <n v="309760"/>
    <x v="1"/>
    <x v="1"/>
    <s v="Not Delivered"/>
    <n v="46464"/>
  </r>
  <r>
    <x v="424"/>
    <x v="1"/>
    <x v="298"/>
    <x v="0"/>
    <x v="334"/>
    <s v="+919125716394"/>
    <x v="0"/>
    <s v="Pune"/>
    <x v="6"/>
    <x v="0"/>
    <x v="2"/>
    <x v="0"/>
    <x v="10"/>
    <n v="5"/>
    <n v="77440"/>
    <n v="387200"/>
    <n v="15"/>
    <n v="329120"/>
    <x v="3"/>
    <x v="2"/>
    <d v="2025-06-25T00:00:00"/>
    <n v="58080"/>
  </r>
  <r>
    <x v="425"/>
    <x v="0"/>
    <x v="251"/>
    <x v="3"/>
    <x v="118"/>
    <s v="+918614855432"/>
    <x v="0"/>
    <s v="Bangalore"/>
    <x v="8"/>
    <x v="1"/>
    <x v="2"/>
    <x v="0"/>
    <x v="8"/>
    <n v="4"/>
    <n v="77440"/>
    <n v="309760"/>
    <n v="5"/>
    <n v="294272"/>
    <x v="0"/>
    <x v="2"/>
    <d v="2024-08-06T00:00:00"/>
    <n v="46464"/>
  </r>
  <r>
    <x v="426"/>
    <x v="0"/>
    <x v="169"/>
    <x v="1"/>
    <x v="335"/>
    <s v="+919282340095"/>
    <x v="0"/>
    <s v="Coimbatore"/>
    <x v="7"/>
    <x v="2"/>
    <x v="20"/>
    <x v="2"/>
    <x v="4"/>
    <n v="4"/>
    <n v="77440"/>
    <n v="309760"/>
    <n v="0"/>
    <n v="309760"/>
    <x v="3"/>
    <x v="2"/>
    <d v="2024-12-14T00:00:00"/>
    <n v="46464"/>
  </r>
  <r>
    <x v="427"/>
    <x v="1"/>
    <x v="84"/>
    <x v="4"/>
    <x v="336"/>
    <s v="+919481819604"/>
    <x v="0"/>
    <s v="Nagpur"/>
    <x v="6"/>
    <x v="0"/>
    <x v="16"/>
    <x v="5"/>
    <x v="1"/>
    <n v="1"/>
    <n v="77440"/>
    <n v="77440"/>
    <n v="15"/>
    <n v="65824"/>
    <x v="0"/>
    <x v="0"/>
    <s v="Not Delivered"/>
    <n v="11616"/>
  </r>
  <r>
    <x v="428"/>
    <x v="0"/>
    <x v="299"/>
    <x v="3"/>
    <x v="337"/>
    <s v="+916504897866"/>
    <x v="0"/>
    <s v="Udaipur"/>
    <x v="3"/>
    <x v="2"/>
    <x v="10"/>
    <x v="3"/>
    <x v="11"/>
    <n v="4"/>
    <n v="77440"/>
    <n v="309760"/>
    <n v="0"/>
    <n v="309760"/>
    <x v="0"/>
    <x v="0"/>
    <s v="Not Delivered"/>
    <n v="46464"/>
  </r>
  <r>
    <x v="429"/>
    <x v="0"/>
    <x v="300"/>
    <x v="6"/>
    <x v="338"/>
    <s v="+916359869813"/>
    <x v="0"/>
    <s v="New Delhi"/>
    <x v="0"/>
    <x v="3"/>
    <x v="17"/>
    <x v="2"/>
    <x v="1"/>
    <n v="4"/>
    <n v="77440"/>
    <n v="309760"/>
    <n v="0"/>
    <n v="309760"/>
    <x v="3"/>
    <x v="1"/>
    <s v="Not Delivered"/>
    <n v="46464"/>
  </r>
  <r>
    <x v="430"/>
    <x v="0"/>
    <x v="2"/>
    <x v="9"/>
    <x v="304"/>
    <s v="+917117801786"/>
    <x v="0"/>
    <s v="Jodhpur"/>
    <x v="3"/>
    <x v="3"/>
    <x v="1"/>
    <x v="1"/>
    <x v="1"/>
    <n v="3"/>
    <n v="77440"/>
    <n v="232320"/>
    <n v="15"/>
    <n v="197472"/>
    <x v="2"/>
    <x v="2"/>
    <d v="2024-11-08T00:00:00"/>
    <n v="34848"/>
  </r>
  <r>
    <x v="431"/>
    <x v="0"/>
    <x v="300"/>
    <x v="3"/>
    <x v="339"/>
    <s v="+919075950092"/>
    <x v="0"/>
    <s v="Mangalore"/>
    <x v="8"/>
    <x v="1"/>
    <x v="25"/>
    <x v="3"/>
    <x v="11"/>
    <n v="3"/>
    <n v="77440"/>
    <n v="232320"/>
    <n v="20"/>
    <n v="185856"/>
    <x v="0"/>
    <x v="2"/>
    <d v="2024-08-10T00:00:00"/>
    <n v="34848"/>
  </r>
  <r>
    <x v="432"/>
    <x v="0"/>
    <x v="173"/>
    <x v="6"/>
    <x v="340"/>
    <s v="+919723898464"/>
    <x v="0"/>
    <s v="Mumbai"/>
    <x v="6"/>
    <x v="1"/>
    <x v="6"/>
    <x v="3"/>
    <x v="7"/>
    <n v="2"/>
    <n v="77440"/>
    <n v="154880"/>
    <n v="0"/>
    <n v="154880"/>
    <x v="1"/>
    <x v="1"/>
    <s v="Not Delivered"/>
    <n v="23232"/>
  </r>
  <r>
    <x v="433"/>
    <x v="0"/>
    <x v="251"/>
    <x v="3"/>
    <x v="163"/>
    <s v="+916648621474"/>
    <x v="0"/>
    <s v="Pune"/>
    <x v="6"/>
    <x v="2"/>
    <x v="3"/>
    <x v="2"/>
    <x v="2"/>
    <n v="3"/>
    <n v="77440"/>
    <n v="232320"/>
    <n v="0"/>
    <n v="232320"/>
    <x v="0"/>
    <x v="1"/>
    <s v="Not Delivered"/>
    <n v="34848"/>
  </r>
  <r>
    <x v="434"/>
    <x v="1"/>
    <x v="34"/>
    <x v="4"/>
    <x v="39"/>
    <s v="+917729777758"/>
    <x v="0"/>
    <s v="Warangal"/>
    <x v="9"/>
    <x v="2"/>
    <x v="26"/>
    <x v="4"/>
    <x v="5"/>
    <n v="4"/>
    <n v="77440"/>
    <n v="309760"/>
    <n v="10"/>
    <n v="278784"/>
    <x v="0"/>
    <x v="1"/>
    <s v="Not Delivered"/>
    <n v="46464"/>
  </r>
  <r>
    <x v="435"/>
    <x v="1"/>
    <x v="294"/>
    <x v="7"/>
    <x v="20"/>
    <s v="+917701477461"/>
    <x v="0"/>
    <s v="Amritsar"/>
    <x v="4"/>
    <x v="3"/>
    <x v="2"/>
    <x v="0"/>
    <x v="8"/>
    <n v="4"/>
    <n v="77440"/>
    <n v="309760"/>
    <n v="15"/>
    <n v="263296"/>
    <x v="0"/>
    <x v="0"/>
    <s v="Not Delivered"/>
    <n v="46464"/>
  </r>
  <r>
    <x v="436"/>
    <x v="0"/>
    <x v="301"/>
    <x v="7"/>
    <x v="17"/>
    <s v="+918708403138"/>
    <x v="0"/>
    <s v="Udaipur"/>
    <x v="3"/>
    <x v="1"/>
    <x v="1"/>
    <x v="1"/>
    <x v="3"/>
    <n v="4"/>
    <n v="77440"/>
    <n v="309760"/>
    <n v="5"/>
    <n v="294272"/>
    <x v="3"/>
    <x v="1"/>
    <s v="Not Delivered"/>
    <n v="46464"/>
  </r>
  <r>
    <x v="437"/>
    <x v="0"/>
    <x v="302"/>
    <x v="6"/>
    <x v="341"/>
    <s v="+916244150531"/>
    <x v="0"/>
    <s v="Bangalore"/>
    <x v="8"/>
    <x v="2"/>
    <x v="17"/>
    <x v="2"/>
    <x v="11"/>
    <n v="3"/>
    <n v="77440"/>
    <n v="232320"/>
    <n v="20"/>
    <n v="185856"/>
    <x v="3"/>
    <x v="2"/>
    <d v="2025-01-03T00:00:00"/>
    <n v="34848"/>
  </r>
  <r>
    <x v="438"/>
    <x v="0"/>
    <x v="222"/>
    <x v="0"/>
    <x v="342"/>
    <s v="+917758742481"/>
    <x v="0"/>
    <s v="Surat"/>
    <x v="5"/>
    <x v="3"/>
    <x v="27"/>
    <x v="5"/>
    <x v="5"/>
    <n v="2"/>
    <n v="77440"/>
    <n v="154880"/>
    <n v="15"/>
    <n v="131648"/>
    <x v="1"/>
    <x v="2"/>
    <d v="2024-12-10T00:00:00"/>
    <n v="23232"/>
  </r>
  <r>
    <x v="439"/>
    <x v="0"/>
    <x v="303"/>
    <x v="0"/>
    <x v="343"/>
    <s v="+918039552567"/>
    <x v="0"/>
    <s v="Rajkot"/>
    <x v="5"/>
    <x v="0"/>
    <x v="27"/>
    <x v="5"/>
    <x v="5"/>
    <n v="3"/>
    <n v="77440"/>
    <n v="232320"/>
    <n v="10"/>
    <n v="209088"/>
    <x v="3"/>
    <x v="1"/>
    <s v="Not Delivered"/>
    <n v="34848"/>
  </r>
  <r>
    <x v="440"/>
    <x v="0"/>
    <x v="304"/>
    <x v="9"/>
    <x v="344"/>
    <s v="+919371982310"/>
    <x v="0"/>
    <s v="Noida"/>
    <x v="1"/>
    <x v="0"/>
    <x v="15"/>
    <x v="4"/>
    <x v="8"/>
    <n v="1"/>
    <n v="77440"/>
    <n v="77440"/>
    <n v="5"/>
    <n v="73568"/>
    <x v="2"/>
    <x v="0"/>
    <s v="Not Delivered"/>
    <n v="11616"/>
  </r>
  <r>
    <x v="441"/>
    <x v="0"/>
    <x v="305"/>
    <x v="5"/>
    <x v="345"/>
    <s v="+918200414538"/>
    <x v="0"/>
    <s v="Surat"/>
    <x v="5"/>
    <x v="2"/>
    <x v="6"/>
    <x v="3"/>
    <x v="11"/>
    <n v="3"/>
    <n v="77440"/>
    <n v="232320"/>
    <n v="20"/>
    <n v="185856"/>
    <x v="3"/>
    <x v="0"/>
    <s v="Not Delivered"/>
    <n v="34848"/>
  </r>
  <r>
    <x v="442"/>
    <x v="1"/>
    <x v="292"/>
    <x v="5"/>
    <x v="346"/>
    <s v="+918709232054"/>
    <x v="0"/>
    <s v="Coimbatore"/>
    <x v="7"/>
    <x v="2"/>
    <x v="5"/>
    <x v="1"/>
    <x v="11"/>
    <n v="3"/>
    <n v="77440"/>
    <n v="232320"/>
    <n v="20"/>
    <n v="185856"/>
    <x v="1"/>
    <x v="0"/>
    <s v="Not Delivered"/>
    <n v="34848"/>
  </r>
  <r>
    <x v="443"/>
    <x v="0"/>
    <x v="107"/>
    <x v="4"/>
    <x v="293"/>
    <s v="+918490452948"/>
    <x v="0"/>
    <s v="Lucknow"/>
    <x v="1"/>
    <x v="2"/>
    <x v="17"/>
    <x v="2"/>
    <x v="7"/>
    <n v="5"/>
    <n v="77440"/>
    <n v="387200"/>
    <n v="5"/>
    <n v="367840"/>
    <x v="0"/>
    <x v="2"/>
    <d v="2024-02-18T00:00:00"/>
    <n v="58080"/>
  </r>
  <r>
    <x v="444"/>
    <x v="1"/>
    <x v="175"/>
    <x v="8"/>
    <x v="347"/>
    <s v="+919964348853"/>
    <x v="0"/>
    <s v="Surat"/>
    <x v="5"/>
    <x v="2"/>
    <x v="0"/>
    <x v="0"/>
    <x v="0"/>
    <n v="5"/>
    <n v="77440"/>
    <n v="387200"/>
    <n v="5"/>
    <n v="367840"/>
    <x v="2"/>
    <x v="0"/>
    <s v="Not Delivered"/>
    <n v="58080"/>
  </r>
  <r>
    <x v="445"/>
    <x v="1"/>
    <x v="306"/>
    <x v="1"/>
    <x v="348"/>
    <s v="+919974501836"/>
    <x v="0"/>
    <s v="Amritsar"/>
    <x v="4"/>
    <x v="0"/>
    <x v="8"/>
    <x v="5"/>
    <x v="1"/>
    <n v="3"/>
    <n v="77440"/>
    <n v="232320"/>
    <n v="0"/>
    <n v="232320"/>
    <x v="3"/>
    <x v="0"/>
    <s v="Not Delivered"/>
    <n v="34848"/>
  </r>
  <r>
    <x v="446"/>
    <x v="0"/>
    <x v="57"/>
    <x v="6"/>
    <x v="43"/>
    <s v="+917476634156"/>
    <x v="0"/>
    <s v="Durgapur"/>
    <x v="2"/>
    <x v="2"/>
    <x v="9"/>
    <x v="3"/>
    <x v="5"/>
    <n v="2"/>
    <n v="77440"/>
    <n v="154880"/>
    <n v="10"/>
    <n v="139392"/>
    <x v="1"/>
    <x v="1"/>
    <s v="Not Delivered"/>
    <n v="23232"/>
  </r>
  <r>
    <x v="447"/>
    <x v="1"/>
    <x v="254"/>
    <x v="9"/>
    <x v="349"/>
    <s v="+917802822744"/>
    <x v="0"/>
    <s v="New Delhi"/>
    <x v="0"/>
    <x v="0"/>
    <x v="2"/>
    <x v="0"/>
    <x v="10"/>
    <n v="4"/>
    <n v="77440"/>
    <n v="309760"/>
    <n v="20"/>
    <n v="247808"/>
    <x v="0"/>
    <x v="0"/>
    <s v="Not Delivered"/>
    <n v="46464"/>
  </r>
  <r>
    <x v="448"/>
    <x v="0"/>
    <x v="307"/>
    <x v="1"/>
    <x v="350"/>
    <s v="+918119809987"/>
    <x v="0"/>
    <s v="Mangalore"/>
    <x v="8"/>
    <x v="1"/>
    <x v="9"/>
    <x v="3"/>
    <x v="5"/>
    <n v="4"/>
    <n v="77440"/>
    <n v="309760"/>
    <n v="15"/>
    <n v="263296"/>
    <x v="0"/>
    <x v="0"/>
    <s v="Not Delivered"/>
    <n v="46464"/>
  </r>
  <r>
    <x v="449"/>
    <x v="0"/>
    <x v="4"/>
    <x v="9"/>
    <x v="261"/>
    <s v="+919702504818"/>
    <x v="0"/>
    <s v="Hyderabad"/>
    <x v="9"/>
    <x v="0"/>
    <x v="6"/>
    <x v="3"/>
    <x v="10"/>
    <n v="4"/>
    <n v="77440"/>
    <n v="309760"/>
    <n v="20"/>
    <n v="247808"/>
    <x v="3"/>
    <x v="2"/>
    <d v="2024-05-15T00:00:00"/>
    <n v="46464"/>
  </r>
  <r>
    <x v="450"/>
    <x v="1"/>
    <x v="127"/>
    <x v="4"/>
    <x v="351"/>
    <s v="+917632701341"/>
    <x v="0"/>
    <s v="Jodhpur"/>
    <x v="3"/>
    <x v="3"/>
    <x v="16"/>
    <x v="5"/>
    <x v="4"/>
    <n v="3"/>
    <n v="77440"/>
    <n v="232320"/>
    <n v="5"/>
    <n v="220704"/>
    <x v="2"/>
    <x v="0"/>
    <s v="Not Delivered"/>
    <n v="34848"/>
  </r>
  <r>
    <x v="451"/>
    <x v="1"/>
    <x v="308"/>
    <x v="2"/>
    <x v="293"/>
    <s v="+916701123722"/>
    <x v="0"/>
    <s v="Kanpur"/>
    <x v="1"/>
    <x v="2"/>
    <x v="5"/>
    <x v="1"/>
    <x v="5"/>
    <n v="5"/>
    <n v="77440"/>
    <n v="387200"/>
    <n v="10"/>
    <n v="348480"/>
    <x v="1"/>
    <x v="2"/>
    <d v="2025-07-20T00:00:00"/>
    <n v="58080"/>
  </r>
  <r>
    <x v="452"/>
    <x v="1"/>
    <x v="288"/>
    <x v="2"/>
    <x v="217"/>
    <s v="+916277451644"/>
    <x v="0"/>
    <s v="Amritsar"/>
    <x v="4"/>
    <x v="2"/>
    <x v="4"/>
    <x v="0"/>
    <x v="2"/>
    <n v="3"/>
    <n v="77440"/>
    <n v="232320"/>
    <n v="15"/>
    <n v="197472"/>
    <x v="1"/>
    <x v="0"/>
    <s v="Not Delivered"/>
    <n v="34848"/>
  </r>
  <r>
    <x v="453"/>
    <x v="1"/>
    <x v="309"/>
    <x v="6"/>
    <x v="352"/>
    <s v="+917546560518"/>
    <x v="0"/>
    <s v="Vadodara"/>
    <x v="5"/>
    <x v="3"/>
    <x v="0"/>
    <x v="0"/>
    <x v="9"/>
    <n v="5"/>
    <n v="77440"/>
    <n v="387200"/>
    <n v="10"/>
    <n v="348480"/>
    <x v="0"/>
    <x v="2"/>
    <d v="2025-06-14T00:00:00"/>
    <n v="58080"/>
  </r>
  <r>
    <x v="454"/>
    <x v="1"/>
    <x v="310"/>
    <x v="4"/>
    <x v="353"/>
    <s v="+917259708065"/>
    <x v="0"/>
    <s v="New Delhi"/>
    <x v="0"/>
    <x v="3"/>
    <x v="23"/>
    <x v="4"/>
    <x v="6"/>
    <n v="4"/>
    <n v="77440"/>
    <n v="309760"/>
    <n v="5"/>
    <n v="294272"/>
    <x v="2"/>
    <x v="1"/>
    <s v="Not Delivered"/>
    <n v="46464"/>
  </r>
  <r>
    <x v="455"/>
    <x v="0"/>
    <x v="269"/>
    <x v="3"/>
    <x v="354"/>
    <s v="+918964339381"/>
    <x v="0"/>
    <s v="Aurangabad"/>
    <x v="6"/>
    <x v="2"/>
    <x v="23"/>
    <x v="4"/>
    <x v="3"/>
    <n v="1"/>
    <n v="77440"/>
    <n v="77440"/>
    <n v="0"/>
    <n v="77440"/>
    <x v="1"/>
    <x v="0"/>
    <s v="Not Delivered"/>
    <n v="11616"/>
  </r>
  <r>
    <x v="456"/>
    <x v="0"/>
    <x v="311"/>
    <x v="2"/>
    <x v="30"/>
    <s v="+917954350244"/>
    <x v="0"/>
    <s v="Chandigarh"/>
    <x v="4"/>
    <x v="3"/>
    <x v="26"/>
    <x v="4"/>
    <x v="2"/>
    <n v="4"/>
    <n v="77440"/>
    <n v="309760"/>
    <n v="20"/>
    <n v="247808"/>
    <x v="1"/>
    <x v="1"/>
    <s v="Not Delivered"/>
    <n v="46464"/>
  </r>
  <r>
    <x v="457"/>
    <x v="0"/>
    <x v="312"/>
    <x v="2"/>
    <x v="355"/>
    <s v="+918881880961"/>
    <x v="0"/>
    <s v="Ludhiana"/>
    <x v="4"/>
    <x v="1"/>
    <x v="5"/>
    <x v="1"/>
    <x v="5"/>
    <n v="1"/>
    <n v="77440"/>
    <n v="77440"/>
    <n v="20"/>
    <n v="61952"/>
    <x v="0"/>
    <x v="0"/>
    <s v="Not Delivered"/>
    <n v="11616"/>
  </r>
  <r>
    <x v="458"/>
    <x v="1"/>
    <x v="313"/>
    <x v="8"/>
    <x v="356"/>
    <s v="+918604747050"/>
    <x v="0"/>
    <s v="Howrah"/>
    <x v="2"/>
    <x v="3"/>
    <x v="10"/>
    <x v="3"/>
    <x v="5"/>
    <n v="1"/>
    <n v="77440"/>
    <n v="77440"/>
    <n v="20"/>
    <n v="61952"/>
    <x v="1"/>
    <x v="1"/>
    <s v="Not Delivered"/>
    <n v="11616"/>
  </r>
  <r>
    <x v="459"/>
    <x v="1"/>
    <x v="314"/>
    <x v="9"/>
    <x v="313"/>
    <s v="+916985243214"/>
    <x v="0"/>
    <s v="Hyderabad"/>
    <x v="9"/>
    <x v="0"/>
    <x v="22"/>
    <x v="0"/>
    <x v="4"/>
    <n v="4"/>
    <n v="77440"/>
    <n v="309760"/>
    <n v="10"/>
    <n v="278784"/>
    <x v="0"/>
    <x v="1"/>
    <s v="Not Delivered"/>
    <n v="46464"/>
  </r>
  <r>
    <x v="460"/>
    <x v="0"/>
    <x v="280"/>
    <x v="9"/>
    <x v="357"/>
    <s v="+918140991096"/>
    <x v="0"/>
    <s v="Chennai"/>
    <x v="7"/>
    <x v="2"/>
    <x v="13"/>
    <x v="5"/>
    <x v="9"/>
    <n v="1"/>
    <n v="77440"/>
    <n v="77440"/>
    <n v="20"/>
    <n v="61952"/>
    <x v="2"/>
    <x v="1"/>
    <s v="Not Delivered"/>
    <n v="11616"/>
  </r>
  <r>
    <x v="461"/>
    <x v="1"/>
    <x v="260"/>
    <x v="7"/>
    <x v="352"/>
    <s v="+919110339124"/>
    <x v="0"/>
    <s v="Udaipur"/>
    <x v="3"/>
    <x v="1"/>
    <x v="0"/>
    <x v="0"/>
    <x v="0"/>
    <n v="3"/>
    <n v="77440"/>
    <n v="232320"/>
    <n v="20"/>
    <n v="185856"/>
    <x v="2"/>
    <x v="0"/>
    <s v="Not Delivered"/>
    <n v="34848"/>
  </r>
  <r>
    <x v="462"/>
    <x v="0"/>
    <x v="315"/>
    <x v="4"/>
    <x v="301"/>
    <s v="+917826759241"/>
    <x v="0"/>
    <s v="New Delhi"/>
    <x v="0"/>
    <x v="1"/>
    <x v="11"/>
    <x v="1"/>
    <x v="11"/>
    <n v="1"/>
    <n v="77440"/>
    <n v="77440"/>
    <n v="10"/>
    <n v="69696"/>
    <x v="2"/>
    <x v="2"/>
    <d v="2024-02-01T00:00:00"/>
    <n v="11616"/>
  </r>
  <r>
    <x v="463"/>
    <x v="1"/>
    <x v="74"/>
    <x v="0"/>
    <x v="358"/>
    <s v="+917070011089"/>
    <x v="0"/>
    <s v="Nashik"/>
    <x v="6"/>
    <x v="0"/>
    <x v="13"/>
    <x v="5"/>
    <x v="5"/>
    <n v="3"/>
    <n v="77440"/>
    <n v="232320"/>
    <n v="10"/>
    <n v="209088"/>
    <x v="0"/>
    <x v="2"/>
    <d v="2025-02-12T00:00:00"/>
    <n v="34848"/>
  </r>
  <r>
    <x v="464"/>
    <x v="0"/>
    <x v="316"/>
    <x v="8"/>
    <x v="359"/>
    <s v="+919003185725"/>
    <x v="0"/>
    <s v="Varanasi"/>
    <x v="1"/>
    <x v="1"/>
    <x v="14"/>
    <x v="1"/>
    <x v="1"/>
    <n v="1"/>
    <n v="77440"/>
    <n v="77440"/>
    <n v="20"/>
    <n v="61952"/>
    <x v="1"/>
    <x v="2"/>
    <d v="2024-07-08T00:00:00"/>
    <n v="11616"/>
  </r>
  <r>
    <x v="465"/>
    <x v="0"/>
    <x v="177"/>
    <x v="6"/>
    <x v="360"/>
    <s v="+919721398193"/>
    <x v="0"/>
    <s v="Hyderabad"/>
    <x v="9"/>
    <x v="1"/>
    <x v="1"/>
    <x v="1"/>
    <x v="0"/>
    <n v="2"/>
    <n v="77440"/>
    <n v="154880"/>
    <n v="15"/>
    <n v="131648"/>
    <x v="2"/>
    <x v="2"/>
    <d v="2024-02-24T00:00:00"/>
    <n v="23232"/>
  </r>
  <r>
    <x v="466"/>
    <x v="1"/>
    <x v="317"/>
    <x v="9"/>
    <x v="361"/>
    <s v="+917701678984"/>
    <x v="0"/>
    <s v="Mysore"/>
    <x v="8"/>
    <x v="2"/>
    <x v="19"/>
    <x v="3"/>
    <x v="8"/>
    <n v="1"/>
    <n v="77440"/>
    <n v="77440"/>
    <n v="20"/>
    <n v="61952"/>
    <x v="2"/>
    <x v="1"/>
    <s v="Not Delivered"/>
    <n v="11616"/>
  </r>
  <r>
    <x v="467"/>
    <x v="0"/>
    <x v="1"/>
    <x v="2"/>
    <x v="133"/>
    <s v="+916263132678"/>
    <x v="0"/>
    <s v="Hyderabad"/>
    <x v="9"/>
    <x v="3"/>
    <x v="9"/>
    <x v="3"/>
    <x v="11"/>
    <n v="4"/>
    <n v="77440"/>
    <n v="309760"/>
    <n v="15"/>
    <n v="263296"/>
    <x v="2"/>
    <x v="2"/>
    <d v="2024-11-02T00:00:00"/>
    <n v="46464"/>
  </r>
  <r>
    <x v="468"/>
    <x v="0"/>
    <x v="318"/>
    <x v="0"/>
    <x v="362"/>
    <s v="+918035986159"/>
    <x v="0"/>
    <s v="Chennai"/>
    <x v="7"/>
    <x v="0"/>
    <x v="12"/>
    <x v="2"/>
    <x v="4"/>
    <n v="3"/>
    <n v="77440"/>
    <n v="232320"/>
    <n v="0"/>
    <n v="232320"/>
    <x v="2"/>
    <x v="1"/>
    <s v="Not Delivered"/>
    <n v="34848"/>
  </r>
  <r>
    <x v="469"/>
    <x v="1"/>
    <x v="172"/>
    <x v="9"/>
    <x v="363"/>
    <s v="+919049570578"/>
    <x v="0"/>
    <s v="Kanpur"/>
    <x v="1"/>
    <x v="2"/>
    <x v="14"/>
    <x v="1"/>
    <x v="6"/>
    <n v="4"/>
    <n v="77440"/>
    <n v="309760"/>
    <n v="15"/>
    <n v="263296"/>
    <x v="2"/>
    <x v="2"/>
    <d v="2025-04-18T00:00:00"/>
    <n v="46464"/>
  </r>
  <r>
    <x v="470"/>
    <x v="0"/>
    <x v="147"/>
    <x v="2"/>
    <x v="364"/>
    <s v="+919928251398"/>
    <x v="0"/>
    <s v="Noida"/>
    <x v="1"/>
    <x v="2"/>
    <x v="14"/>
    <x v="1"/>
    <x v="11"/>
    <n v="3"/>
    <n v="77440"/>
    <n v="232320"/>
    <n v="10"/>
    <n v="209088"/>
    <x v="1"/>
    <x v="2"/>
    <d v="2024-02-27T00:00:00"/>
    <n v="34848"/>
  </r>
  <r>
    <x v="471"/>
    <x v="0"/>
    <x v="115"/>
    <x v="7"/>
    <x v="365"/>
    <s v="+916069148556"/>
    <x v="0"/>
    <s v="Durgapur"/>
    <x v="2"/>
    <x v="1"/>
    <x v="6"/>
    <x v="3"/>
    <x v="10"/>
    <n v="2"/>
    <n v="77440"/>
    <n v="154880"/>
    <n v="5"/>
    <n v="147136"/>
    <x v="3"/>
    <x v="2"/>
    <d v="2024-06-22T00:00:00"/>
    <n v="23232"/>
  </r>
  <r>
    <x v="472"/>
    <x v="0"/>
    <x v="319"/>
    <x v="9"/>
    <x v="366"/>
    <s v="+918920221732"/>
    <x v="0"/>
    <s v="Kanpur"/>
    <x v="1"/>
    <x v="1"/>
    <x v="25"/>
    <x v="3"/>
    <x v="7"/>
    <n v="2"/>
    <n v="77440"/>
    <n v="154880"/>
    <n v="5"/>
    <n v="147136"/>
    <x v="1"/>
    <x v="1"/>
    <s v="Not Delivered"/>
    <n v="23232"/>
  </r>
  <r>
    <x v="473"/>
    <x v="1"/>
    <x v="320"/>
    <x v="4"/>
    <x v="221"/>
    <s v="+918389598736"/>
    <x v="0"/>
    <s v="Mumbai"/>
    <x v="6"/>
    <x v="2"/>
    <x v="14"/>
    <x v="1"/>
    <x v="9"/>
    <n v="1"/>
    <n v="77440"/>
    <n v="77440"/>
    <n v="10"/>
    <n v="69696"/>
    <x v="2"/>
    <x v="0"/>
    <s v="Not Delivered"/>
    <n v="11616"/>
  </r>
  <r>
    <x v="474"/>
    <x v="1"/>
    <x v="10"/>
    <x v="8"/>
    <x v="367"/>
    <s v="+919899513555"/>
    <x v="0"/>
    <s v="Mangalore"/>
    <x v="8"/>
    <x v="3"/>
    <x v="8"/>
    <x v="5"/>
    <x v="3"/>
    <n v="1"/>
    <n v="77440"/>
    <n v="77440"/>
    <n v="5"/>
    <n v="73568"/>
    <x v="1"/>
    <x v="0"/>
    <s v="Not Delivered"/>
    <n v="11616"/>
  </r>
  <r>
    <x v="475"/>
    <x v="0"/>
    <x v="188"/>
    <x v="1"/>
    <x v="104"/>
    <s v="+916509645209"/>
    <x v="0"/>
    <s v="Pune"/>
    <x v="6"/>
    <x v="0"/>
    <x v="21"/>
    <x v="5"/>
    <x v="7"/>
    <n v="2"/>
    <n v="77440"/>
    <n v="154880"/>
    <n v="20"/>
    <n v="123904"/>
    <x v="1"/>
    <x v="1"/>
    <s v="Not Delivered"/>
    <n v="23232"/>
  </r>
  <r>
    <x v="476"/>
    <x v="0"/>
    <x v="321"/>
    <x v="7"/>
    <x v="368"/>
    <s v="+917231867043"/>
    <x v="0"/>
    <s v="Rajkot"/>
    <x v="5"/>
    <x v="0"/>
    <x v="21"/>
    <x v="5"/>
    <x v="2"/>
    <n v="3"/>
    <n v="77440"/>
    <n v="232320"/>
    <n v="5"/>
    <n v="220704"/>
    <x v="1"/>
    <x v="0"/>
    <s v="Not Delivered"/>
    <n v="34848"/>
  </r>
  <r>
    <x v="477"/>
    <x v="1"/>
    <x v="322"/>
    <x v="7"/>
    <x v="369"/>
    <s v="+917555887905"/>
    <x v="0"/>
    <s v="Chandigarh"/>
    <x v="4"/>
    <x v="1"/>
    <x v="6"/>
    <x v="3"/>
    <x v="9"/>
    <n v="1"/>
    <n v="77440"/>
    <n v="77440"/>
    <n v="20"/>
    <n v="61952"/>
    <x v="2"/>
    <x v="1"/>
    <s v="Not Delivered"/>
    <n v="11616"/>
  </r>
  <r>
    <x v="478"/>
    <x v="0"/>
    <x v="232"/>
    <x v="1"/>
    <x v="370"/>
    <s v="+918968372935"/>
    <x v="0"/>
    <s v="Madurai"/>
    <x v="7"/>
    <x v="0"/>
    <x v="16"/>
    <x v="5"/>
    <x v="7"/>
    <n v="5"/>
    <n v="77440"/>
    <n v="387200"/>
    <n v="0"/>
    <n v="387200"/>
    <x v="2"/>
    <x v="2"/>
    <d v="2024-03-22T00:00:00"/>
    <n v="58080"/>
  </r>
  <r>
    <x v="479"/>
    <x v="0"/>
    <x v="27"/>
    <x v="1"/>
    <x v="276"/>
    <s v="+918511365898"/>
    <x v="0"/>
    <s v="Bangalore"/>
    <x v="8"/>
    <x v="2"/>
    <x v="20"/>
    <x v="2"/>
    <x v="11"/>
    <n v="5"/>
    <n v="77440"/>
    <n v="387200"/>
    <n v="0"/>
    <n v="387200"/>
    <x v="1"/>
    <x v="1"/>
    <s v="Not Delivered"/>
    <n v="58080"/>
  </r>
  <r>
    <x v="480"/>
    <x v="1"/>
    <x v="262"/>
    <x v="6"/>
    <x v="303"/>
    <s v="+918985468765"/>
    <x v="0"/>
    <s v="Chandigarh"/>
    <x v="4"/>
    <x v="1"/>
    <x v="18"/>
    <x v="1"/>
    <x v="11"/>
    <n v="3"/>
    <n v="77440"/>
    <n v="232320"/>
    <n v="20"/>
    <n v="185856"/>
    <x v="2"/>
    <x v="0"/>
    <s v="Not Delivered"/>
    <n v="34848"/>
  </r>
  <r>
    <x v="481"/>
    <x v="0"/>
    <x v="107"/>
    <x v="6"/>
    <x v="84"/>
    <s v="+918866107940"/>
    <x v="0"/>
    <s v="Chennai"/>
    <x v="7"/>
    <x v="3"/>
    <x v="9"/>
    <x v="3"/>
    <x v="4"/>
    <n v="3"/>
    <n v="77440"/>
    <n v="232320"/>
    <n v="15"/>
    <n v="197472"/>
    <x v="1"/>
    <x v="0"/>
    <s v="Not Delivered"/>
    <n v="34848"/>
  </r>
  <r>
    <x v="482"/>
    <x v="0"/>
    <x v="323"/>
    <x v="2"/>
    <x v="371"/>
    <s v="+917438879754"/>
    <x v="0"/>
    <s v="Coimbatore"/>
    <x v="7"/>
    <x v="1"/>
    <x v="22"/>
    <x v="0"/>
    <x v="6"/>
    <n v="4"/>
    <n v="77440"/>
    <n v="309760"/>
    <n v="15"/>
    <n v="263296"/>
    <x v="1"/>
    <x v="1"/>
    <s v="Not Delivered"/>
    <n v="46464"/>
  </r>
  <r>
    <x v="483"/>
    <x v="1"/>
    <x v="317"/>
    <x v="6"/>
    <x v="190"/>
    <s v="+916049015344"/>
    <x v="0"/>
    <s v="Ahmedabad"/>
    <x v="5"/>
    <x v="1"/>
    <x v="8"/>
    <x v="5"/>
    <x v="1"/>
    <n v="3"/>
    <n v="77440"/>
    <n v="232320"/>
    <n v="10"/>
    <n v="209088"/>
    <x v="0"/>
    <x v="1"/>
    <s v="Not Delivered"/>
    <n v="34848"/>
  </r>
  <r>
    <x v="484"/>
    <x v="0"/>
    <x v="324"/>
    <x v="0"/>
    <x v="129"/>
    <s v="+918264319524"/>
    <x v="0"/>
    <s v="Kolkata"/>
    <x v="2"/>
    <x v="1"/>
    <x v="17"/>
    <x v="2"/>
    <x v="5"/>
    <n v="4"/>
    <n v="77440"/>
    <n v="309760"/>
    <n v="0"/>
    <n v="309760"/>
    <x v="3"/>
    <x v="0"/>
    <s v="Not Delivered"/>
    <n v="46464"/>
  </r>
  <r>
    <x v="485"/>
    <x v="0"/>
    <x v="68"/>
    <x v="2"/>
    <x v="33"/>
    <s v="+919118985296"/>
    <x v="0"/>
    <s v="Kolkata"/>
    <x v="2"/>
    <x v="0"/>
    <x v="19"/>
    <x v="3"/>
    <x v="1"/>
    <n v="2"/>
    <n v="77440"/>
    <n v="154880"/>
    <n v="0"/>
    <n v="154880"/>
    <x v="2"/>
    <x v="2"/>
    <d v="2024-10-02T00:00:00"/>
    <n v="23232"/>
  </r>
  <r>
    <x v="486"/>
    <x v="0"/>
    <x v="78"/>
    <x v="4"/>
    <x v="372"/>
    <s v="+918747140045"/>
    <x v="0"/>
    <s v="Mangalore"/>
    <x v="8"/>
    <x v="1"/>
    <x v="15"/>
    <x v="4"/>
    <x v="2"/>
    <n v="1"/>
    <n v="77440"/>
    <n v="77440"/>
    <n v="20"/>
    <n v="61952"/>
    <x v="3"/>
    <x v="0"/>
    <s v="Not Delivered"/>
    <n v="11616"/>
  </r>
  <r>
    <x v="487"/>
    <x v="0"/>
    <x v="218"/>
    <x v="3"/>
    <x v="31"/>
    <s v="+916441497626"/>
    <x v="0"/>
    <s v="Howrah"/>
    <x v="2"/>
    <x v="3"/>
    <x v="2"/>
    <x v="0"/>
    <x v="0"/>
    <n v="5"/>
    <n v="77440"/>
    <n v="387200"/>
    <n v="0"/>
    <n v="387200"/>
    <x v="0"/>
    <x v="2"/>
    <d v="2024-03-23T00:00:00"/>
    <n v="58080"/>
  </r>
  <r>
    <x v="488"/>
    <x v="0"/>
    <x v="325"/>
    <x v="2"/>
    <x v="373"/>
    <s v="+918533198517"/>
    <x v="0"/>
    <s v="Chandigarh"/>
    <x v="4"/>
    <x v="2"/>
    <x v="21"/>
    <x v="5"/>
    <x v="2"/>
    <n v="2"/>
    <n v="77440"/>
    <n v="154880"/>
    <n v="5"/>
    <n v="147136"/>
    <x v="1"/>
    <x v="1"/>
    <s v="Not Delivered"/>
    <n v="23232"/>
  </r>
  <r>
    <x v="489"/>
    <x v="0"/>
    <x v="315"/>
    <x v="5"/>
    <x v="374"/>
    <s v="+916638294733"/>
    <x v="0"/>
    <s v="Mumbai"/>
    <x v="6"/>
    <x v="1"/>
    <x v="16"/>
    <x v="5"/>
    <x v="2"/>
    <n v="5"/>
    <n v="77440"/>
    <n v="387200"/>
    <n v="20"/>
    <n v="309760"/>
    <x v="1"/>
    <x v="1"/>
    <s v="Not Delivered"/>
    <n v="58080"/>
  </r>
  <r>
    <x v="490"/>
    <x v="0"/>
    <x v="29"/>
    <x v="7"/>
    <x v="375"/>
    <s v="+919884003125"/>
    <x v="0"/>
    <s v="Amritsar"/>
    <x v="4"/>
    <x v="0"/>
    <x v="16"/>
    <x v="5"/>
    <x v="6"/>
    <n v="5"/>
    <n v="77440"/>
    <n v="387200"/>
    <n v="10"/>
    <n v="348480"/>
    <x v="2"/>
    <x v="2"/>
    <d v="2024-02-25T00:00:00"/>
    <n v="58080"/>
  </r>
  <r>
    <x v="491"/>
    <x v="0"/>
    <x v="326"/>
    <x v="9"/>
    <x v="376"/>
    <s v="+917060499833"/>
    <x v="0"/>
    <s v="Madurai"/>
    <x v="7"/>
    <x v="2"/>
    <x v="7"/>
    <x v="4"/>
    <x v="9"/>
    <n v="3"/>
    <n v="77440"/>
    <n v="232320"/>
    <n v="5"/>
    <n v="220704"/>
    <x v="1"/>
    <x v="2"/>
    <d v="2024-09-06T00:00:00"/>
    <n v="34848"/>
  </r>
  <r>
    <x v="492"/>
    <x v="0"/>
    <x v="19"/>
    <x v="5"/>
    <x v="352"/>
    <s v="+917197820671"/>
    <x v="0"/>
    <s v="Nizamabad"/>
    <x v="9"/>
    <x v="0"/>
    <x v="17"/>
    <x v="2"/>
    <x v="8"/>
    <n v="5"/>
    <n v="77440"/>
    <n v="387200"/>
    <n v="15"/>
    <n v="329120"/>
    <x v="0"/>
    <x v="1"/>
    <s v="Not Delivered"/>
    <n v="58080"/>
  </r>
  <r>
    <x v="493"/>
    <x v="0"/>
    <x v="135"/>
    <x v="3"/>
    <x v="377"/>
    <s v="+919609876771"/>
    <x v="0"/>
    <s v="Chandigarh"/>
    <x v="4"/>
    <x v="1"/>
    <x v="4"/>
    <x v="0"/>
    <x v="7"/>
    <n v="3"/>
    <n v="77440"/>
    <n v="232320"/>
    <n v="15"/>
    <n v="197472"/>
    <x v="2"/>
    <x v="1"/>
    <s v="Not Delivered"/>
    <n v="34848"/>
  </r>
  <r>
    <x v="494"/>
    <x v="1"/>
    <x v="327"/>
    <x v="4"/>
    <x v="378"/>
    <s v="+919404372952"/>
    <x v="0"/>
    <s v="New Delhi"/>
    <x v="0"/>
    <x v="0"/>
    <x v="1"/>
    <x v="1"/>
    <x v="8"/>
    <n v="4"/>
    <n v="77440"/>
    <n v="309760"/>
    <n v="0"/>
    <n v="309760"/>
    <x v="1"/>
    <x v="0"/>
    <s v="Not Delivered"/>
    <n v="46464"/>
  </r>
  <r>
    <x v="495"/>
    <x v="1"/>
    <x v="328"/>
    <x v="0"/>
    <x v="379"/>
    <s v="+918663084494"/>
    <x v="0"/>
    <s v="Hyderabad"/>
    <x v="9"/>
    <x v="2"/>
    <x v="4"/>
    <x v="0"/>
    <x v="10"/>
    <n v="4"/>
    <n v="77440"/>
    <n v="309760"/>
    <n v="15"/>
    <n v="263296"/>
    <x v="0"/>
    <x v="1"/>
    <s v="Not Delivered"/>
    <n v="46464"/>
  </r>
  <r>
    <x v="496"/>
    <x v="1"/>
    <x v="329"/>
    <x v="4"/>
    <x v="380"/>
    <s v="+917707062968"/>
    <x v="0"/>
    <s v="Varanasi"/>
    <x v="1"/>
    <x v="3"/>
    <x v="27"/>
    <x v="5"/>
    <x v="5"/>
    <n v="1"/>
    <n v="77440"/>
    <n v="77440"/>
    <n v="0"/>
    <n v="77440"/>
    <x v="1"/>
    <x v="0"/>
    <s v="Not Delivered"/>
    <n v="11616"/>
  </r>
  <r>
    <x v="497"/>
    <x v="1"/>
    <x v="227"/>
    <x v="2"/>
    <x v="65"/>
    <s v="+919095318236"/>
    <x v="0"/>
    <s v="Ludhiana"/>
    <x v="4"/>
    <x v="2"/>
    <x v="6"/>
    <x v="3"/>
    <x v="7"/>
    <n v="2"/>
    <n v="77440"/>
    <n v="154880"/>
    <n v="5"/>
    <n v="147136"/>
    <x v="0"/>
    <x v="2"/>
    <d v="2025-04-08T00:00:00"/>
    <n v="23232"/>
  </r>
  <r>
    <x v="498"/>
    <x v="0"/>
    <x v="92"/>
    <x v="8"/>
    <x v="381"/>
    <s v="+919814774384"/>
    <x v="0"/>
    <s v="Nashik"/>
    <x v="6"/>
    <x v="0"/>
    <x v="5"/>
    <x v="1"/>
    <x v="5"/>
    <n v="4"/>
    <n v="77440"/>
    <n v="309760"/>
    <n v="5"/>
    <n v="294272"/>
    <x v="0"/>
    <x v="2"/>
    <d v="2024-12-13T00:00:00"/>
    <n v="46464"/>
  </r>
  <r>
    <x v="499"/>
    <x v="1"/>
    <x v="172"/>
    <x v="9"/>
    <x v="382"/>
    <s v="+918886573618"/>
    <x v="0"/>
    <s v="Aurangabad"/>
    <x v="6"/>
    <x v="1"/>
    <x v="9"/>
    <x v="3"/>
    <x v="9"/>
    <n v="5"/>
    <n v="77440"/>
    <n v="387200"/>
    <n v="10"/>
    <n v="348480"/>
    <x v="0"/>
    <x v="1"/>
    <s v="Not Delivered"/>
    <n v="58080"/>
  </r>
  <r>
    <x v="500"/>
    <x v="1"/>
    <x v="190"/>
    <x v="9"/>
    <x v="383"/>
    <s v="+917255228348"/>
    <x v="0"/>
    <s v="Udaipur"/>
    <x v="3"/>
    <x v="2"/>
    <x v="1"/>
    <x v="1"/>
    <x v="4"/>
    <n v="4"/>
    <n v="77440"/>
    <n v="309760"/>
    <n v="0"/>
    <n v="309760"/>
    <x v="3"/>
    <x v="1"/>
    <s v="Not Delivered"/>
    <n v="46464"/>
  </r>
  <r>
    <x v="501"/>
    <x v="1"/>
    <x v="306"/>
    <x v="2"/>
    <x v="384"/>
    <s v="+919313033909"/>
    <x v="0"/>
    <s v="Udaipur"/>
    <x v="3"/>
    <x v="1"/>
    <x v="17"/>
    <x v="2"/>
    <x v="11"/>
    <n v="1"/>
    <n v="77440"/>
    <n v="77440"/>
    <n v="0"/>
    <n v="77440"/>
    <x v="3"/>
    <x v="2"/>
    <d v="2025-02-23T00:00:00"/>
    <n v="11616"/>
  </r>
  <r>
    <x v="502"/>
    <x v="1"/>
    <x v="228"/>
    <x v="8"/>
    <x v="385"/>
    <s v="+917013225160"/>
    <x v="0"/>
    <s v="Aurangabad"/>
    <x v="6"/>
    <x v="0"/>
    <x v="7"/>
    <x v="4"/>
    <x v="5"/>
    <n v="1"/>
    <n v="77440"/>
    <n v="77440"/>
    <n v="10"/>
    <n v="69696"/>
    <x v="0"/>
    <x v="0"/>
    <s v="Not Delivered"/>
    <n v="11616"/>
  </r>
  <r>
    <x v="503"/>
    <x v="1"/>
    <x v="293"/>
    <x v="1"/>
    <x v="386"/>
    <s v="+919090593206"/>
    <x v="0"/>
    <s v="Chennai"/>
    <x v="7"/>
    <x v="3"/>
    <x v="14"/>
    <x v="1"/>
    <x v="3"/>
    <n v="3"/>
    <n v="77440"/>
    <n v="232320"/>
    <n v="0"/>
    <n v="232320"/>
    <x v="1"/>
    <x v="2"/>
    <d v="2025-05-07T00:00:00"/>
    <n v="34848"/>
  </r>
  <r>
    <x v="504"/>
    <x v="0"/>
    <x v="330"/>
    <x v="0"/>
    <x v="387"/>
    <s v="+919494931011"/>
    <x v="0"/>
    <s v="Kanpur"/>
    <x v="1"/>
    <x v="1"/>
    <x v="16"/>
    <x v="5"/>
    <x v="7"/>
    <n v="3"/>
    <n v="77440"/>
    <n v="232320"/>
    <n v="0"/>
    <n v="232320"/>
    <x v="1"/>
    <x v="1"/>
    <s v="Not Delivered"/>
    <n v="34848"/>
  </r>
  <r>
    <x v="505"/>
    <x v="1"/>
    <x v="331"/>
    <x v="6"/>
    <x v="388"/>
    <s v="+917663565794"/>
    <x v="0"/>
    <s v="Mysore"/>
    <x v="8"/>
    <x v="0"/>
    <x v="12"/>
    <x v="2"/>
    <x v="11"/>
    <n v="1"/>
    <n v="77440"/>
    <n v="77440"/>
    <n v="5"/>
    <n v="73568"/>
    <x v="3"/>
    <x v="1"/>
    <s v="Not Delivered"/>
    <n v="11616"/>
  </r>
  <r>
    <x v="506"/>
    <x v="0"/>
    <x v="249"/>
    <x v="3"/>
    <x v="172"/>
    <s v="+916896616186"/>
    <x v="0"/>
    <s v="Varanasi"/>
    <x v="1"/>
    <x v="2"/>
    <x v="5"/>
    <x v="1"/>
    <x v="7"/>
    <n v="3"/>
    <n v="77440"/>
    <n v="232320"/>
    <n v="10"/>
    <n v="209088"/>
    <x v="3"/>
    <x v="1"/>
    <s v="Not Delivered"/>
    <n v="34848"/>
  </r>
  <r>
    <x v="507"/>
    <x v="1"/>
    <x v="332"/>
    <x v="6"/>
    <x v="374"/>
    <s v="+917086232769"/>
    <x v="0"/>
    <s v="Mysore"/>
    <x v="8"/>
    <x v="0"/>
    <x v="12"/>
    <x v="2"/>
    <x v="5"/>
    <n v="5"/>
    <n v="77440"/>
    <n v="387200"/>
    <n v="0"/>
    <n v="387200"/>
    <x v="1"/>
    <x v="0"/>
    <s v="Not Delivered"/>
    <n v="58080"/>
  </r>
  <r>
    <x v="508"/>
    <x v="1"/>
    <x v="333"/>
    <x v="0"/>
    <x v="44"/>
    <s v="+918105798434"/>
    <x v="0"/>
    <s v="Chennai"/>
    <x v="7"/>
    <x v="2"/>
    <x v="0"/>
    <x v="0"/>
    <x v="11"/>
    <n v="1"/>
    <n v="77440"/>
    <n v="77440"/>
    <n v="20"/>
    <n v="61952"/>
    <x v="0"/>
    <x v="2"/>
    <d v="2025-01-14T00:00:00"/>
    <n v="11616"/>
  </r>
  <r>
    <x v="509"/>
    <x v="0"/>
    <x v="149"/>
    <x v="3"/>
    <x v="389"/>
    <s v="+916738204702"/>
    <x v="0"/>
    <s v="Kanpur"/>
    <x v="1"/>
    <x v="3"/>
    <x v="22"/>
    <x v="0"/>
    <x v="8"/>
    <n v="2"/>
    <n v="77440"/>
    <n v="154880"/>
    <n v="10"/>
    <n v="139392"/>
    <x v="1"/>
    <x v="0"/>
    <s v="Not Delivered"/>
    <n v="23232"/>
  </r>
  <r>
    <x v="510"/>
    <x v="1"/>
    <x v="334"/>
    <x v="1"/>
    <x v="109"/>
    <s v="+917876633244"/>
    <x v="0"/>
    <s v="New Delhi"/>
    <x v="0"/>
    <x v="0"/>
    <x v="21"/>
    <x v="5"/>
    <x v="9"/>
    <n v="1"/>
    <n v="77440"/>
    <n v="77440"/>
    <n v="20"/>
    <n v="61952"/>
    <x v="2"/>
    <x v="1"/>
    <s v="Not Delivered"/>
    <n v="11616"/>
  </r>
  <r>
    <x v="511"/>
    <x v="0"/>
    <x v="35"/>
    <x v="1"/>
    <x v="390"/>
    <s v="+919907055600"/>
    <x v="0"/>
    <s v="Jodhpur"/>
    <x v="3"/>
    <x v="1"/>
    <x v="20"/>
    <x v="2"/>
    <x v="11"/>
    <n v="5"/>
    <n v="77440"/>
    <n v="387200"/>
    <n v="15"/>
    <n v="329120"/>
    <x v="2"/>
    <x v="1"/>
    <s v="Not Delivered"/>
    <n v="58080"/>
  </r>
  <r>
    <x v="512"/>
    <x v="0"/>
    <x v="335"/>
    <x v="7"/>
    <x v="65"/>
    <s v="+919888633426"/>
    <x v="0"/>
    <s v="Ludhiana"/>
    <x v="4"/>
    <x v="1"/>
    <x v="27"/>
    <x v="5"/>
    <x v="2"/>
    <n v="5"/>
    <n v="77440"/>
    <n v="387200"/>
    <n v="10"/>
    <n v="348480"/>
    <x v="3"/>
    <x v="1"/>
    <s v="Not Delivered"/>
    <n v="58080"/>
  </r>
  <r>
    <x v="513"/>
    <x v="1"/>
    <x v="117"/>
    <x v="3"/>
    <x v="391"/>
    <s v="+919425660729"/>
    <x v="0"/>
    <s v="Howrah"/>
    <x v="2"/>
    <x v="0"/>
    <x v="1"/>
    <x v="1"/>
    <x v="1"/>
    <n v="3"/>
    <n v="77440"/>
    <n v="232320"/>
    <n v="15"/>
    <n v="197472"/>
    <x v="3"/>
    <x v="2"/>
    <d v="2025-06-01T00:00:00"/>
    <n v="34848"/>
  </r>
  <r>
    <x v="514"/>
    <x v="0"/>
    <x v="336"/>
    <x v="2"/>
    <x v="209"/>
    <s v="+918642655979"/>
    <x v="0"/>
    <s v="Nashik"/>
    <x v="6"/>
    <x v="1"/>
    <x v="12"/>
    <x v="2"/>
    <x v="11"/>
    <n v="2"/>
    <n v="77440"/>
    <n v="154880"/>
    <n v="0"/>
    <n v="154880"/>
    <x v="1"/>
    <x v="0"/>
    <s v="Not Delivered"/>
    <n v="23232"/>
  </r>
  <r>
    <x v="515"/>
    <x v="0"/>
    <x v="337"/>
    <x v="6"/>
    <x v="392"/>
    <s v="+919225162081"/>
    <x v="0"/>
    <s v="Noida"/>
    <x v="1"/>
    <x v="3"/>
    <x v="6"/>
    <x v="3"/>
    <x v="10"/>
    <n v="1"/>
    <n v="77440"/>
    <n v="77440"/>
    <n v="20"/>
    <n v="61952"/>
    <x v="0"/>
    <x v="0"/>
    <s v="Not Delivered"/>
    <n v="11616"/>
  </r>
  <r>
    <x v="516"/>
    <x v="0"/>
    <x v="109"/>
    <x v="1"/>
    <x v="58"/>
    <s v="+919635489084"/>
    <x v="0"/>
    <s v="Chennai"/>
    <x v="7"/>
    <x v="2"/>
    <x v="16"/>
    <x v="5"/>
    <x v="2"/>
    <n v="5"/>
    <n v="77440"/>
    <n v="387200"/>
    <n v="10"/>
    <n v="348480"/>
    <x v="3"/>
    <x v="1"/>
    <s v="Not Delivered"/>
    <n v="58080"/>
  </r>
  <r>
    <x v="517"/>
    <x v="1"/>
    <x v="338"/>
    <x v="7"/>
    <x v="393"/>
    <s v="+918110618028"/>
    <x v="0"/>
    <s v="New Delhi"/>
    <x v="0"/>
    <x v="2"/>
    <x v="11"/>
    <x v="1"/>
    <x v="9"/>
    <n v="3"/>
    <n v="77440"/>
    <n v="232320"/>
    <n v="15"/>
    <n v="197472"/>
    <x v="1"/>
    <x v="0"/>
    <s v="Not Delivered"/>
    <n v="34848"/>
  </r>
  <r>
    <x v="518"/>
    <x v="0"/>
    <x v="339"/>
    <x v="4"/>
    <x v="68"/>
    <s v="+916188707324"/>
    <x v="0"/>
    <s v="Coimbatore"/>
    <x v="7"/>
    <x v="0"/>
    <x v="8"/>
    <x v="5"/>
    <x v="7"/>
    <n v="5"/>
    <n v="77440"/>
    <n v="387200"/>
    <n v="20"/>
    <n v="309760"/>
    <x v="1"/>
    <x v="2"/>
    <d v="2024-03-10T00:00:00"/>
    <n v="58080"/>
  </r>
  <r>
    <x v="519"/>
    <x v="0"/>
    <x v="219"/>
    <x v="5"/>
    <x v="394"/>
    <s v="+916822838676"/>
    <x v="0"/>
    <s v="Aurangabad"/>
    <x v="6"/>
    <x v="3"/>
    <x v="25"/>
    <x v="3"/>
    <x v="11"/>
    <n v="2"/>
    <n v="77440"/>
    <n v="154880"/>
    <n v="15"/>
    <n v="131648"/>
    <x v="2"/>
    <x v="1"/>
    <s v="Not Delivered"/>
    <n v="23232"/>
  </r>
  <r>
    <x v="520"/>
    <x v="0"/>
    <x v="30"/>
    <x v="5"/>
    <x v="379"/>
    <s v="+917893289654"/>
    <x v="0"/>
    <s v="Warangal"/>
    <x v="9"/>
    <x v="1"/>
    <x v="13"/>
    <x v="5"/>
    <x v="9"/>
    <n v="3"/>
    <n v="77440"/>
    <n v="232320"/>
    <n v="10"/>
    <n v="209088"/>
    <x v="1"/>
    <x v="1"/>
    <s v="Not Delivered"/>
    <n v="34848"/>
  </r>
  <r>
    <x v="521"/>
    <x v="1"/>
    <x v="340"/>
    <x v="2"/>
    <x v="238"/>
    <s v="+918165938298"/>
    <x v="0"/>
    <s v="Chennai"/>
    <x v="7"/>
    <x v="0"/>
    <x v="5"/>
    <x v="1"/>
    <x v="11"/>
    <n v="1"/>
    <n v="77440"/>
    <n v="77440"/>
    <n v="0"/>
    <n v="77440"/>
    <x v="0"/>
    <x v="0"/>
    <s v="Not Delivered"/>
    <n v="11616"/>
  </r>
  <r>
    <x v="522"/>
    <x v="0"/>
    <x v="93"/>
    <x v="9"/>
    <x v="395"/>
    <s v="+917493085217"/>
    <x v="0"/>
    <s v="Mangalore"/>
    <x v="8"/>
    <x v="0"/>
    <x v="17"/>
    <x v="2"/>
    <x v="6"/>
    <n v="2"/>
    <n v="77440"/>
    <n v="154880"/>
    <n v="0"/>
    <n v="154880"/>
    <x v="2"/>
    <x v="0"/>
    <s v="Not Delivered"/>
    <n v="23232"/>
  </r>
  <r>
    <x v="523"/>
    <x v="1"/>
    <x v="341"/>
    <x v="2"/>
    <x v="188"/>
    <s v="+917178594648"/>
    <x v="0"/>
    <s v="Madurai"/>
    <x v="7"/>
    <x v="2"/>
    <x v="4"/>
    <x v="0"/>
    <x v="4"/>
    <n v="3"/>
    <n v="77440"/>
    <n v="232320"/>
    <n v="10"/>
    <n v="209088"/>
    <x v="1"/>
    <x v="1"/>
    <s v="Not Delivered"/>
    <n v="34848"/>
  </r>
  <r>
    <x v="524"/>
    <x v="1"/>
    <x v="254"/>
    <x v="5"/>
    <x v="166"/>
    <s v="+919208461244"/>
    <x v="0"/>
    <s v="Chennai"/>
    <x v="7"/>
    <x v="3"/>
    <x v="26"/>
    <x v="4"/>
    <x v="2"/>
    <n v="4"/>
    <n v="77440"/>
    <n v="309760"/>
    <n v="15"/>
    <n v="263296"/>
    <x v="1"/>
    <x v="2"/>
    <d v="2025-07-15T00:00:00"/>
    <n v="46464"/>
  </r>
  <r>
    <x v="525"/>
    <x v="1"/>
    <x v="94"/>
    <x v="2"/>
    <x v="280"/>
    <s v="+916487242508"/>
    <x v="0"/>
    <s v="Udaipur"/>
    <x v="3"/>
    <x v="2"/>
    <x v="19"/>
    <x v="3"/>
    <x v="6"/>
    <n v="4"/>
    <n v="77440"/>
    <n v="309760"/>
    <n v="10"/>
    <n v="278784"/>
    <x v="0"/>
    <x v="2"/>
    <d v="2025-05-02T00:00:00"/>
    <n v="46464"/>
  </r>
  <r>
    <x v="526"/>
    <x v="0"/>
    <x v="342"/>
    <x v="7"/>
    <x v="154"/>
    <s v="+917493647407"/>
    <x v="0"/>
    <s v="Chandigarh"/>
    <x v="4"/>
    <x v="2"/>
    <x v="5"/>
    <x v="1"/>
    <x v="5"/>
    <n v="2"/>
    <n v="77440"/>
    <n v="154880"/>
    <n v="20"/>
    <n v="123904"/>
    <x v="2"/>
    <x v="2"/>
    <d v="2024-04-25T00:00:00"/>
    <n v="23232"/>
  </r>
  <r>
    <x v="527"/>
    <x v="0"/>
    <x v="89"/>
    <x v="8"/>
    <x v="396"/>
    <s v="+916199748814"/>
    <x v="0"/>
    <s v="Chennai"/>
    <x v="7"/>
    <x v="0"/>
    <x v="14"/>
    <x v="1"/>
    <x v="1"/>
    <n v="2"/>
    <n v="77440"/>
    <n v="154880"/>
    <n v="5"/>
    <n v="147136"/>
    <x v="1"/>
    <x v="0"/>
    <s v="Not Delivered"/>
    <n v="23232"/>
  </r>
  <r>
    <x v="528"/>
    <x v="1"/>
    <x v="288"/>
    <x v="7"/>
    <x v="397"/>
    <s v="+919193502729"/>
    <x v="0"/>
    <s v="Durgapur"/>
    <x v="2"/>
    <x v="1"/>
    <x v="10"/>
    <x v="3"/>
    <x v="5"/>
    <n v="4"/>
    <n v="77440"/>
    <n v="309760"/>
    <n v="0"/>
    <n v="309760"/>
    <x v="0"/>
    <x v="0"/>
    <s v="Not Delivered"/>
    <n v="46464"/>
  </r>
  <r>
    <x v="529"/>
    <x v="0"/>
    <x v="263"/>
    <x v="4"/>
    <x v="398"/>
    <s v="+919118462647"/>
    <x v="0"/>
    <s v="Lucknow"/>
    <x v="1"/>
    <x v="2"/>
    <x v="21"/>
    <x v="5"/>
    <x v="1"/>
    <n v="4"/>
    <n v="77440"/>
    <n v="309760"/>
    <n v="0"/>
    <n v="309760"/>
    <x v="0"/>
    <x v="0"/>
    <s v="Not Delivered"/>
    <n v="46464"/>
  </r>
  <r>
    <x v="530"/>
    <x v="0"/>
    <x v="145"/>
    <x v="7"/>
    <x v="104"/>
    <s v="+919360971352"/>
    <x v="0"/>
    <s v="Vadodara"/>
    <x v="5"/>
    <x v="2"/>
    <x v="1"/>
    <x v="1"/>
    <x v="5"/>
    <n v="5"/>
    <n v="77440"/>
    <n v="387200"/>
    <n v="5"/>
    <n v="367840"/>
    <x v="2"/>
    <x v="0"/>
    <s v="Not Delivered"/>
    <n v="58080"/>
  </r>
  <r>
    <x v="531"/>
    <x v="0"/>
    <x v="57"/>
    <x v="0"/>
    <x v="399"/>
    <s v="+916980464252"/>
    <x v="0"/>
    <s v="Kanpur"/>
    <x v="1"/>
    <x v="3"/>
    <x v="16"/>
    <x v="5"/>
    <x v="2"/>
    <n v="2"/>
    <n v="77440"/>
    <n v="154880"/>
    <n v="20"/>
    <n v="123904"/>
    <x v="2"/>
    <x v="1"/>
    <s v="Not Delivered"/>
    <n v="23232"/>
  </r>
  <r>
    <x v="532"/>
    <x v="1"/>
    <x v="343"/>
    <x v="2"/>
    <x v="400"/>
    <s v="+919810436731"/>
    <x v="0"/>
    <s v="Durgapur"/>
    <x v="2"/>
    <x v="1"/>
    <x v="17"/>
    <x v="2"/>
    <x v="1"/>
    <n v="3"/>
    <n v="77440"/>
    <n v="232320"/>
    <n v="15"/>
    <n v="197472"/>
    <x v="3"/>
    <x v="2"/>
    <d v="2025-03-10T00:00:00"/>
    <n v="34848"/>
  </r>
  <r>
    <x v="533"/>
    <x v="0"/>
    <x v="21"/>
    <x v="6"/>
    <x v="296"/>
    <s v="+917800411891"/>
    <x v="0"/>
    <s v="Chennai"/>
    <x v="7"/>
    <x v="0"/>
    <x v="19"/>
    <x v="3"/>
    <x v="3"/>
    <n v="3"/>
    <n v="77440"/>
    <n v="232320"/>
    <n v="0"/>
    <n v="232320"/>
    <x v="3"/>
    <x v="0"/>
    <s v="Not Delivered"/>
    <n v="34848"/>
  </r>
  <r>
    <x v="534"/>
    <x v="1"/>
    <x v="178"/>
    <x v="7"/>
    <x v="363"/>
    <s v="+919461391591"/>
    <x v="0"/>
    <s v="Chennai"/>
    <x v="7"/>
    <x v="3"/>
    <x v="12"/>
    <x v="2"/>
    <x v="7"/>
    <n v="2"/>
    <n v="77440"/>
    <n v="154880"/>
    <n v="0"/>
    <n v="154880"/>
    <x v="1"/>
    <x v="2"/>
    <d v="2025-07-05T00:00:00"/>
    <n v="23232"/>
  </r>
  <r>
    <x v="535"/>
    <x v="0"/>
    <x v="344"/>
    <x v="2"/>
    <x v="401"/>
    <s v="+918177730409"/>
    <x v="0"/>
    <s v="Amritsar"/>
    <x v="4"/>
    <x v="0"/>
    <x v="25"/>
    <x v="3"/>
    <x v="11"/>
    <n v="5"/>
    <n v="77440"/>
    <n v="387200"/>
    <n v="10"/>
    <n v="348480"/>
    <x v="3"/>
    <x v="1"/>
    <s v="Not Delivered"/>
    <n v="58080"/>
  </r>
  <r>
    <x v="536"/>
    <x v="0"/>
    <x v="151"/>
    <x v="8"/>
    <x v="402"/>
    <s v="+917073238054"/>
    <x v="0"/>
    <s v="New Delhi"/>
    <x v="0"/>
    <x v="2"/>
    <x v="16"/>
    <x v="5"/>
    <x v="4"/>
    <n v="3"/>
    <n v="77440"/>
    <n v="232320"/>
    <n v="0"/>
    <n v="232320"/>
    <x v="0"/>
    <x v="1"/>
    <s v="Not Delivered"/>
    <n v="34848"/>
  </r>
  <r>
    <x v="537"/>
    <x v="1"/>
    <x v="34"/>
    <x v="4"/>
    <x v="403"/>
    <s v="+918966462715"/>
    <x v="0"/>
    <s v="Durgapur"/>
    <x v="2"/>
    <x v="3"/>
    <x v="3"/>
    <x v="2"/>
    <x v="5"/>
    <n v="1"/>
    <n v="77440"/>
    <n v="77440"/>
    <n v="0"/>
    <n v="77440"/>
    <x v="1"/>
    <x v="0"/>
    <s v="Not Delivered"/>
    <n v="11616"/>
  </r>
  <r>
    <x v="538"/>
    <x v="0"/>
    <x v="79"/>
    <x v="7"/>
    <x v="376"/>
    <s v="+918615544860"/>
    <x v="0"/>
    <s v="Ludhiana"/>
    <x v="4"/>
    <x v="3"/>
    <x v="17"/>
    <x v="2"/>
    <x v="10"/>
    <n v="3"/>
    <n v="77440"/>
    <n v="232320"/>
    <n v="10"/>
    <n v="209088"/>
    <x v="2"/>
    <x v="0"/>
    <s v="Not Delivered"/>
    <n v="34848"/>
  </r>
  <r>
    <x v="539"/>
    <x v="1"/>
    <x v="158"/>
    <x v="0"/>
    <x v="394"/>
    <s v="+919764151557"/>
    <x v="0"/>
    <s v="Warangal"/>
    <x v="9"/>
    <x v="0"/>
    <x v="2"/>
    <x v="0"/>
    <x v="6"/>
    <n v="2"/>
    <n v="77440"/>
    <n v="154880"/>
    <n v="10"/>
    <n v="139392"/>
    <x v="0"/>
    <x v="1"/>
    <s v="Not Delivered"/>
    <n v="23232"/>
  </r>
  <r>
    <x v="540"/>
    <x v="1"/>
    <x v="13"/>
    <x v="2"/>
    <x v="404"/>
    <s v="+916225950838"/>
    <x v="0"/>
    <s v="Amritsar"/>
    <x v="4"/>
    <x v="0"/>
    <x v="11"/>
    <x v="1"/>
    <x v="5"/>
    <n v="3"/>
    <n v="77440"/>
    <n v="232320"/>
    <n v="15"/>
    <n v="197472"/>
    <x v="2"/>
    <x v="1"/>
    <s v="Not Delivered"/>
    <n v="34848"/>
  </r>
  <r>
    <x v="541"/>
    <x v="0"/>
    <x v="137"/>
    <x v="9"/>
    <x v="405"/>
    <s v="+918075880933"/>
    <x v="0"/>
    <s v="New Delhi"/>
    <x v="0"/>
    <x v="3"/>
    <x v="5"/>
    <x v="1"/>
    <x v="1"/>
    <n v="3"/>
    <n v="77440"/>
    <n v="232320"/>
    <n v="5"/>
    <n v="220704"/>
    <x v="1"/>
    <x v="1"/>
    <s v="Not Delivered"/>
    <n v="34848"/>
  </r>
  <r>
    <x v="542"/>
    <x v="1"/>
    <x v="259"/>
    <x v="1"/>
    <x v="406"/>
    <s v="+917807830715"/>
    <x v="0"/>
    <s v="Durgapur"/>
    <x v="2"/>
    <x v="2"/>
    <x v="23"/>
    <x v="4"/>
    <x v="3"/>
    <n v="4"/>
    <n v="77440"/>
    <n v="309760"/>
    <n v="20"/>
    <n v="247808"/>
    <x v="3"/>
    <x v="0"/>
    <s v="Not Delivered"/>
    <n v="46464"/>
  </r>
  <r>
    <x v="543"/>
    <x v="1"/>
    <x v="345"/>
    <x v="1"/>
    <x v="114"/>
    <s v="+919179192509"/>
    <x v="0"/>
    <s v="Nashik"/>
    <x v="6"/>
    <x v="0"/>
    <x v="0"/>
    <x v="0"/>
    <x v="10"/>
    <n v="3"/>
    <n v="77440"/>
    <n v="232320"/>
    <n v="10"/>
    <n v="209088"/>
    <x v="3"/>
    <x v="2"/>
    <d v="2025-04-23T00:00:00"/>
    <n v="34848"/>
  </r>
  <r>
    <x v="544"/>
    <x v="1"/>
    <x v="64"/>
    <x v="7"/>
    <x v="357"/>
    <s v="+917438234160"/>
    <x v="0"/>
    <s v="Chennai"/>
    <x v="7"/>
    <x v="2"/>
    <x v="5"/>
    <x v="1"/>
    <x v="5"/>
    <n v="2"/>
    <n v="77440"/>
    <n v="154880"/>
    <n v="10"/>
    <n v="139392"/>
    <x v="0"/>
    <x v="0"/>
    <s v="Not Delivered"/>
    <n v="23232"/>
  </r>
  <r>
    <x v="545"/>
    <x v="1"/>
    <x v="134"/>
    <x v="3"/>
    <x v="255"/>
    <s v="+918337453365"/>
    <x v="0"/>
    <s v="Mumbai"/>
    <x v="6"/>
    <x v="1"/>
    <x v="14"/>
    <x v="1"/>
    <x v="8"/>
    <n v="2"/>
    <n v="77440"/>
    <n v="154880"/>
    <n v="10"/>
    <n v="139392"/>
    <x v="2"/>
    <x v="0"/>
    <s v="Not Delivered"/>
    <n v="23232"/>
  </r>
  <r>
    <x v="546"/>
    <x v="0"/>
    <x v="311"/>
    <x v="1"/>
    <x v="407"/>
    <s v="+917681136070"/>
    <x v="0"/>
    <s v="Howrah"/>
    <x v="2"/>
    <x v="3"/>
    <x v="3"/>
    <x v="2"/>
    <x v="9"/>
    <n v="2"/>
    <n v="77440"/>
    <n v="154880"/>
    <n v="0"/>
    <n v="154880"/>
    <x v="1"/>
    <x v="1"/>
    <s v="Not Delivered"/>
    <n v="23232"/>
  </r>
  <r>
    <x v="547"/>
    <x v="0"/>
    <x v="346"/>
    <x v="6"/>
    <x v="408"/>
    <s v="+918830603880"/>
    <x v="0"/>
    <s v="Mangalore"/>
    <x v="8"/>
    <x v="2"/>
    <x v="5"/>
    <x v="1"/>
    <x v="10"/>
    <n v="5"/>
    <n v="77440"/>
    <n v="387200"/>
    <n v="10"/>
    <n v="348480"/>
    <x v="1"/>
    <x v="2"/>
    <d v="2024-11-24T00:00:00"/>
    <n v="58080"/>
  </r>
  <r>
    <x v="548"/>
    <x v="0"/>
    <x v="347"/>
    <x v="1"/>
    <x v="342"/>
    <s v="+919345292536"/>
    <x v="0"/>
    <s v="Chandigarh"/>
    <x v="4"/>
    <x v="1"/>
    <x v="25"/>
    <x v="3"/>
    <x v="11"/>
    <n v="2"/>
    <n v="77440"/>
    <n v="154880"/>
    <n v="5"/>
    <n v="147136"/>
    <x v="3"/>
    <x v="2"/>
    <d v="2024-01-25T00:00:00"/>
    <n v="23232"/>
  </r>
  <r>
    <x v="549"/>
    <x v="0"/>
    <x v="20"/>
    <x v="9"/>
    <x v="40"/>
    <s v="+918253825609"/>
    <x v="0"/>
    <s v="Nizamabad"/>
    <x v="9"/>
    <x v="3"/>
    <x v="9"/>
    <x v="3"/>
    <x v="9"/>
    <n v="4"/>
    <n v="77440"/>
    <n v="309760"/>
    <n v="5"/>
    <n v="294272"/>
    <x v="2"/>
    <x v="1"/>
    <s v="Not Delivered"/>
    <n v="46464"/>
  </r>
  <r>
    <x v="550"/>
    <x v="0"/>
    <x v="261"/>
    <x v="7"/>
    <x v="289"/>
    <s v="+917943568122"/>
    <x v="0"/>
    <s v="Jodhpur"/>
    <x v="3"/>
    <x v="3"/>
    <x v="11"/>
    <x v="1"/>
    <x v="9"/>
    <n v="3"/>
    <n v="77440"/>
    <n v="232320"/>
    <n v="15"/>
    <n v="197472"/>
    <x v="3"/>
    <x v="1"/>
    <s v="Not Delivered"/>
    <n v="34848"/>
  </r>
  <r>
    <x v="551"/>
    <x v="0"/>
    <x v="202"/>
    <x v="4"/>
    <x v="409"/>
    <s v="+916103083961"/>
    <x v="0"/>
    <s v="New Delhi"/>
    <x v="0"/>
    <x v="3"/>
    <x v="27"/>
    <x v="5"/>
    <x v="2"/>
    <n v="1"/>
    <n v="77440"/>
    <n v="77440"/>
    <n v="10"/>
    <n v="69696"/>
    <x v="1"/>
    <x v="1"/>
    <s v="Not Delivered"/>
    <n v="11616"/>
  </r>
  <r>
    <x v="552"/>
    <x v="1"/>
    <x v="48"/>
    <x v="8"/>
    <x v="410"/>
    <s v="+916319337626"/>
    <x v="0"/>
    <s v="New Delhi"/>
    <x v="0"/>
    <x v="2"/>
    <x v="16"/>
    <x v="5"/>
    <x v="8"/>
    <n v="2"/>
    <n v="77440"/>
    <n v="154880"/>
    <n v="0"/>
    <n v="154880"/>
    <x v="1"/>
    <x v="0"/>
    <s v="Not Delivered"/>
    <n v="23232"/>
  </r>
  <r>
    <x v="553"/>
    <x v="0"/>
    <x v="348"/>
    <x v="8"/>
    <x v="411"/>
    <s v="+917204290397"/>
    <x v="0"/>
    <s v="Durgapur"/>
    <x v="2"/>
    <x v="2"/>
    <x v="24"/>
    <x v="4"/>
    <x v="7"/>
    <n v="2"/>
    <n v="77440"/>
    <n v="154880"/>
    <n v="5"/>
    <n v="147136"/>
    <x v="3"/>
    <x v="2"/>
    <d v="2024-07-13T00:00:00"/>
    <n v="23232"/>
  </r>
  <r>
    <x v="554"/>
    <x v="0"/>
    <x v="349"/>
    <x v="5"/>
    <x v="46"/>
    <s v="+919058139867"/>
    <x v="0"/>
    <s v="Ahmedabad"/>
    <x v="5"/>
    <x v="0"/>
    <x v="2"/>
    <x v="0"/>
    <x v="6"/>
    <n v="1"/>
    <n v="77440"/>
    <n v="77440"/>
    <n v="20"/>
    <n v="61952"/>
    <x v="3"/>
    <x v="2"/>
    <d v="2024-09-02T00:00:00"/>
    <n v="11616"/>
  </r>
  <r>
    <x v="555"/>
    <x v="1"/>
    <x v="350"/>
    <x v="8"/>
    <x v="412"/>
    <s v="+918324516480"/>
    <x v="0"/>
    <s v="Amritsar"/>
    <x v="4"/>
    <x v="0"/>
    <x v="25"/>
    <x v="3"/>
    <x v="1"/>
    <n v="1"/>
    <n v="77440"/>
    <n v="77440"/>
    <n v="20"/>
    <n v="61952"/>
    <x v="2"/>
    <x v="0"/>
    <s v="Not Delivered"/>
    <n v="11616"/>
  </r>
  <r>
    <x v="556"/>
    <x v="1"/>
    <x v="351"/>
    <x v="7"/>
    <x v="413"/>
    <s v="+919246971110"/>
    <x v="0"/>
    <s v="Jaipur"/>
    <x v="3"/>
    <x v="3"/>
    <x v="20"/>
    <x v="2"/>
    <x v="4"/>
    <n v="3"/>
    <n v="77440"/>
    <n v="232320"/>
    <n v="5"/>
    <n v="220704"/>
    <x v="3"/>
    <x v="2"/>
    <d v="2025-07-27T00:00:00"/>
    <n v="34848"/>
  </r>
  <r>
    <x v="557"/>
    <x v="0"/>
    <x v="352"/>
    <x v="8"/>
    <x v="414"/>
    <s v="+918374824881"/>
    <x v="0"/>
    <s v="Hyderabad"/>
    <x v="9"/>
    <x v="0"/>
    <x v="10"/>
    <x v="3"/>
    <x v="3"/>
    <n v="1"/>
    <n v="77440"/>
    <n v="77440"/>
    <n v="0"/>
    <n v="77440"/>
    <x v="0"/>
    <x v="2"/>
    <d v="2024-05-17T00:00:00"/>
    <n v="11616"/>
  </r>
  <r>
    <x v="558"/>
    <x v="1"/>
    <x v="353"/>
    <x v="8"/>
    <x v="415"/>
    <s v="+917011666922"/>
    <x v="0"/>
    <s v="Howrah"/>
    <x v="2"/>
    <x v="3"/>
    <x v="0"/>
    <x v="0"/>
    <x v="8"/>
    <n v="5"/>
    <n v="77440"/>
    <n v="387200"/>
    <n v="5"/>
    <n v="367840"/>
    <x v="1"/>
    <x v="1"/>
    <s v="Not Delivered"/>
    <n v="58080"/>
  </r>
  <r>
    <x v="559"/>
    <x v="0"/>
    <x v="354"/>
    <x v="5"/>
    <x v="416"/>
    <s v="+919798175920"/>
    <x v="0"/>
    <s v="Howrah"/>
    <x v="2"/>
    <x v="1"/>
    <x v="0"/>
    <x v="0"/>
    <x v="3"/>
    <n v="4"/>
    <n v="77440"/>
    <n v="309760"/>
    <n v="10"/>
    <n v="278784"/>
    <x v="2"/>
    <x v="1"/>
    <s v="Not Delivered"/>
    <n v="46464"/>
  </r>
  <r>
    <x v="560"/>
    <x v="0"/>
    <x v="121"/>
    <x v="3"/>
    <x v="417"/>
    <s v="+919561607331"/>
    <x v="0"/>
    <s v="Durgapur"/>
    <x v="2"/>
    <x v="1"/>
    <x v="15"/>
    <x v="4"/>
    <x v="10"/>
    <n v="1"/>
    <n v="77440"/>
    <n v="77440"/>
    <n v="10"/>
    <n v="69696"/>
    <x v="1"/>
    <x v="0"/>
    <s v="Not Delivered"/>
    <n v="11616"/>
  </r>
  <r>
    <x v="561"/>
    <x v="0"/>
    <x v="352"/>
    <x v="4"/>
    <x v="271"/>
    <s v="+918926932962"/>
    <x v="0"/>
    <s v="Bangalore"/>
    <x v="8"/>
    <x v="2"/>
    <x v="24"/>
    <x v="4"/>
    <x v="5"/>
    <n v="5"/>
    <n v="77440"/>
    <n v="387200"/>
    <n v="0"/>
    <n v="387200"/>
    <x v="2"/>
    <x v="1"/>
    <s v="Not Delivered"/>
    <n v="58080"/>
  </r>
  <r>
    <x v="562"/>
    <x v="1"/>
    <x v="355"/>
    <x v="9"/>
    <x v="61"/>
    <s v="+917680731149"/>
    <x v="0"/>
    <s v="Jaipur"/>
    <x v="3"/>
    <x v="0"/>
    <x v="21"/>
    <x v="5"/>
    <x v="8"/>
    <n v="4"/>
    <n v="77440"/>
    <n v="309760"/>
    <n v="0"/>
    <n v="309760"/>
    <x v="0"/>
    <x v="1"/>
    <s v="Not Delivered"/>
    <n v="46464"/>
  </r>
  <r>
    <x v="563"/>
    <x v="0"/>
    <x v="284"/>
    <x v="0"/>
    <x v="418"/>
    <s v="+919687310120"/>
    <x v="0"/>
    <s v="Ludhiana"/>
    <x v="4"/>
    <x v="0"/>
    <x v="26"/>
    <x v="4"/>
    <x v="2"/>
    <n v="4"/>
    <n v="77440"/>
    <n v="309760"/>
    <n v="20"/>
    <n v="247808"/>
    <x v="3"/>
    <x v="1"/>
    <s v="Not Delivered"/>
    <n v="46464"/>
  </r>
  <r>
    <x v="564"/>
    <x v="0"/>
    <x v="197"/>
    <x v="1"/>
    <x v="419"/>
    <s v="+918535584465"/>
    <x v="0"/>
    <s v="Warangal"/>
    <x v="9"/>
    <x v="3"/>
    <x v="22"/>
    <x v="0"/>
    <x v="4"/>
    <n v="2"/>
    <n v="77440"/>
    <n v="154880"/>
    <n v="0"/>
    <n v="154880"/>
    <x v="2"/>
    <x v="1"/>
    <s v="Not Delivered"/>
    <n v="23232"/>
  </r>
  <r>
    <x v="565"/>
    <x v="0"/>
    <x v="356"/>
    <x v="2"/>
    <x v="420"/>
    <s v="+917026084124"/>
    <x v="0"/>
    <s v="Ludhiana"/>
    <x v="4"/>
    <x v="3"/>
    <x v="19"/>
    <x v="3"/>
    <x v="4"/>
    <n v="3"/>
    <n v="77440"/>
    <n v="232320"/>
    <n v="0"/>
    <n v="232320"/>
    <x v="0"/>
    <x v="2"/>
    <d v="2024-01-29T00:00:00"/>
    <n v="34848"/>
  </r>
  <r>
    <x v="566"/>
    <x v="0"/>
    <x v="5"/>
    <x v="9"/>
    <x v="354"/>
    <s v="+919528305526"/>
    <x v="0"/>
    <s v="Udaipur"/>
    <x v="3"/>
    <x v="2"/>
    <x v="1"/>
    <x v="1"/>
    <x v="5"/>
    <n v="5"/>
    <n v="77440"/>
    <n v="387200"/>
    <n v="10"/>
    <n v="348480"/>
    <x v="2"/>
    <x v="0"/>
    <s v="Not Delivered"/>
    <n v="58080"/>
  </r>
  <r>
    <x v="567"/>
    <x v="0"/>
    <x v="357"/>
    <x v="9"/>
    <x v="421"/>
    <s v="+916922069780"/>
    <x v="0"/>
    <s v="New Delhi"/>
    <x v="0"/>
    <x v="0"/>
    <x v="5"/>
    <x v="1"/>
    <x v="7"/>
    <n v="1"/>
    <n v="77440"/>
    <n v="77440"/>
    <n v="20"/>
    <n v="61952"/>
    <x v="0"/>
    <x v="2"/>
    <d v="2024-04-23T00:00:00"/>
    <n v="11616"/>
  </r>
  <r>
    <x v="568"/>
    <x v="0"/>
    <x v="325"/>
    <x v="3"/>
    <x v="148"/>
    <s v="+919470309173"/>
    <x v="0"/>
    <s v="New Delhi"/>
    <x v="0"/>
    <x v="2"/>
    <x v="0"/>
    <x v="0"/>
    <x v="5"/>
    <n v="2"/>
    <n v="77440"/>
    <n v="154880"/>
    <n v="5"/>
    <n v="147136"/>
    <x v="3"/>
    <x v="0"/>
    <s v="Not Delivered"/>
    <n v="23232"/>
  </r>
  <r>
    <x v="569"/>
    <x v="0"/>
    <x v="358"/>
    <x v="6"/>
    <x v="360"/>
    <s v="+918541247081"/>
    <x v="0"/>
    <s v="Noida"/>
    <x v="1"/>
    <x v="3"/>
    <x v="3"/>
    <x v="2"/>
    <x v="11"/>
    <n v="4"/>
    <n v="77440"/>
    <n v="309760"/>
    <n v="10"/>
    <n v="278784"/>
    <x v="3"/>
    <x v="0"/>
    <s v="Not Delivered"/>
    <n v="46464"/>
  </r>
  <r>
    <x v="570"/>
    <x v="0"/>
    <x v="157"/>
    <x v="1"/>
    <x v="83"/>
    <s v="+916031405076"/>
    <x v="0"/>
    <s v="Hyderabad"/>
    <x v="9"/>
    <x v="1"/>
    <x v="12"/>
    <x v="2"/>
    <x v="11"/>
    <n v="5"/>
    <n v="77440"/>
    <n v="387200"/>
    <n v="20"/>
    <n v="309760"/>
    <x v="1"/>
    <x v="0"/>
    <s v="Not Delivered"/>
    <n v="58080"/>
  </r>
  <r>
    <x v="571"/>
    <x v="0"/>
    <x v="157"/>
    <x v="5"/>
    <x v="115"/>
    <s v="+917513555536"/>
    <x v="0"/>
    <s v="Bangalore"/>
    <x v="8"/>
    <x v="1"/>
    <x v="0"/>
    <x v="0"/>
    <x v="3"/>
    <n v="1"/>
    <n v="77440"/>
    <n v="77440"/>
    <n v="0"/>
    <n v="77440"/>
    <x v="3"/>
    <x v="2"/>
    <d v="2024-02-11T00:00:00"/>
    <n v="11616"/>
  </r>
  <r>
    <x v="572"/>
    <x v="0"/>
    <x v="359"/>
    <x v="2"/>
    <x v="422"/>
    <s v="+918986196579"/>
    <x v="0"/>
    <s v="Udaipur"/>
    <x v="3"/>
    <x v="0"/>
    <x v="22"/>
    <x v="0"/>
    <x v="9"/>
    <n v="2"/>
    <n v="77440"/>
    <n v="154880"/>
    <n v="0"/>
    <n v="154880"/>
    <x v="0"/>
    <x v="1"/>
    <s v="Not Delivered"/>
    <n v="23232"/>
  </r>
  <r>
    <x v="573"/>
    <x v="1"/>
    <x v="287"/>
    <x v="2"/>
    <x v="423"/>
    <s v="+916039185229"/>
    <x v="0"/>
    <s v="New Delhi"/>
    <x v="0"/>
    <x v="3"/>
    <x v="14"/>
    <x v="1"/>
    <x v="1"/>
    <n v="3"/>
    <n v="77440"/>
    <n v="232320"/>
    <n v="0"/>
    <n v="232320"/>
    <x v="2"/>
    <x v="2"/>
    <d v="2025-03-26T00:00:00"/>
    <n v="34848"/>
  </r>
  <r>
    <x v="574"/>
    <x v="0"/>
    <x v="354"/>
    <x v="5"/>
    <x v="424"/>
    <s v="+918047199976"/>
    <x v="0"/>
    <s v="Varanasi"/>
    <x v="1"/>
    <x v="0"/>
    <x v="6"/>
    <x v="3"/>
    <x v="7"/>
    <n v="1"/>
    <n v="77440"/>
    <n v="77440"/>
    <n v="0"/>
    <n v="77440"/>
    <x v="3"/>
    <x v="0"/>
    <s v="Not Delivered"/>
    <n v="11616"/>
  </r>
  <r>
    <x v="575"/>
    <x v="1"/>
    <x v="292"/>
    <x v="0"/>
    <x v="425"/>
    <s v="+916241309686"/>
    <x v="0"/>
    <s v="Nashik"/>
    <x v="6"/>
    <x v="3"/>
    <x v="20"/>
    <x v="2"/>
    <x v="0"/>
    <n v="5"/>
    <n v="77440"/>
    <n v="387200"/>
    <n v="15"/>
    <n v="329120"/>
    <x v="3"/>
    <x v="2"/>
    <d v="2025-02-09T00:00:00"/>
    <n v="58080"/>
  </r>
  <r>
    <x v="576"/>
    <x v="0"/>
    <x v="226"/>
    <x v="5"/>
    <x v="384"/>
    <s v="+919057968949"/>
    <x v="0"/>
    <s v="Aurangabad"/>
    <x v="6"/>
    <x v="0"/>
    <x v="2"/>
    <x v="0"/>
    <x v="9"/>
    <n v="3"/>
    <n v="77440"/>
    <n v="232320"/>
    <n v="0"/>
    <n v="232320"/>
    <x v="1"/>
    <x v="0"/>
    <s v="Not Delivered"/>
    <n v="34848"/>
  </r>
  <r>
    <x v="577"/>
    <x v="0"/>
    <x v="360"/>
    <x v="7"/>
    <x v="426"/>
    <s v="+918336210628"/>
    <x v="0"/>
    <s v="Aurangabad"/>
    <x v="6"/>
    <x v="0"/>
    <x v="16"/>
    <x v="5"/>
    <x v="7"/>
    <n v="1"/>
    <n v="77440"/>
    <n v="77440"/>
    <n v="20"/>
    <n v="61952"/>
    <x v="2"/>
    <x v="2"/>
    <d v="2024-12-06T00:00:00"/>
    <n v="11616"/>
  </r>
  <r>
    <x v="578"/>
    <x v="1"/>
    <x v="124"/>
    <x v="3"/>
    <x v="427"/>
    <s v="+916417481595"/>
    <x v="0"/>
    <s v="Howrah"/>
    <x v="2"/>
    <x v="2"/>
    <x v="3"/>
    <x v="2"/>
    <x v="1"/>
    <n v="2"/>
    <n v="77440"/>
    <n v="154880"/>
    <n v="20"/>
    <n v="123904"/>
    <x v="1"/>
    <x v="2"/>
    <d v="2025-05-30T00:00:00"/>
    <n v="23232"/>
  </r>
  <r>
    <x v="579"/>
    <x v="0"/>
    <x v="305"/>
    <x v="0"/>
    <x v="208"/>
    <s v="+919003342614"/>
    <x v="0"/>
    <s v="Chennai"/>
    <x v="7"/>
    <x v="2"/>
    <x v="19"/>
    <x v="3"/>
    <x v="4"/>
    <n v="5"/>
    <n v="77440"/>
    <n v="387200"/>
    <n v="5"/>
    <n v="367840"/>
    <x v="0"/>
    <x v="1"/>
    <s v="Not Delivered"/>
    <n v="58080"/>
  </r>
  <r>
    <x v="580"/>
    <x v="1"/>
    <x v="361"/>
    <x v="5"/>
    <x v="294"/>
    <s v="+917270011878"/>
    <x v="0"/>
    <s v="Hyderabad"/>
    <x v="9"/>
    <x v="3"/>
    <x v="20"/>
    <x v="2"/>
    <x v="5"/>
    <n v="2"/>
    <n v="77440"/>
    <n v="154880"/>
    <n v="20"/>
    <n v="123904"/>
    <x v="3"/>
    <x v="1"/>
    <s v="Not Delivered"/>
    <n v="23232"/>
  </r>
  <r>
    <x v="581"/>
    <x v="0"/>
    <x v="114"/>
    <x v="9"/>
    <x v="267"/>
    <s v="+917637179037"/>
    <x v="0"/>
    <s v="Rajkot"/>
    <x v="5"/>
    <x v="3"/>
    <x v="21"/>
    <x v="5"/>
    <x v="10"/>
    <n v="1"/>
    <n v="77440"/>
    <n v="77440"/>
    <n v="10"/>
    <n v="69696"/>
    <x v="2"/>
    <x v="0"/>
    <s v="Not Delivered"/>
    <n v="11616"/>
  </r>
  <r>
    <x v="582"/>
    <x v="0"/>
    <x v="362"/>
    <x v="8"/>
    <x v="408"/>
    <s v="+919275892004"/>
    <x v="0"/>
    <s v="Durgapur"/>
    <x v="2"/>
    <x v="3"/>
    <x v="2"/>
    <x v="0"/>
    <x v="3"/>
    <n v="1"/>
    <n v="77440"/>
    <n v="77440"/>
    <n v="20"/>
    <n v="61952"/>
    <x v="1"/>
    <x v="1"/>
    <s v="Not Delivered"/>
    <n v="11616"/>
  </r>
  <r>
    <x v="583"/>
    <x v="0"/>
    <x v="363"/>
    <x v="9"/>
    <x v="428"/>
    <s v="+919828485664"/>
    <x v="0"/>
    <s v="Ahmedabad"/>
    <x v="5"/>
    <x v="3"/>
    <x v="10"/>
    <x v="3"/>
    <x v="8"/>
    <n v="5"/>
    <n v="77440"/>
    <n v="387200"/>
    <n v="0"/>
    <n v="387200"/>
    <x v="1"/>
    <x v="0"/>
    <s v="Not Delivered"/>
    <n v="58080"/>
  </r>
  <r>
    <x v="584"/>
    <x v="0"/>
    <x v="364"/>
    <x v="1"/>
    <x v="284"/>
    <s v="+918734586884"/>
    <x v="0"/>
    <s v="Mumbai"/>
    <x v="6"/>
    <x v="1"/>
    <x v="27"/>
    <x v="5"/>
    <x v="4"/>
    <n v="3"/>
    <n v="77440"/>
    <n v="232320"/>
    <n v="20"/>
    <n v="185856"/>
    <x v="0"/>
    <x v="0"/>
    <s v="Not Delivered"/>
    <n v="34848"/>
  </r>
  <r>
    <x v="585"/>
    <x v="1"/>
    <x v="332"/>
    <x v="8"/>
    <x v="52"/>
    <s v="+917140553117"/>
    <x v="0"/>
    <s v="Kanpur"/>
    <x v="1"/>
    <x v="1"/>
    <x v="18"/>
    <x v="1"/>
    <x v="5"/>
    <n v="4"/>
    <n v="77440"/>
    <n v="309760"/>
    <n v="10"/>
    <n v="278784"/>
    <x v="2"/>
    <x v="2"/>
    <d v="2025-04-06T00:00:00"/>
    <n v="46464"/>
  </r>
  <r>
    <x v="586"/>
    <x v="0"/>
    <x v="365"/>
    <x v="9"/>
    <x v="429"/>
    <s v="+919931250459"/>
    <x v="0"/>
    <s v="Madurai"/>
    <x v="7"/>
    <x v="1"/>
    <x v="23"/>
    <x v="4"/>
    <x v="8"/>
    <n v="2"/>
    <n v="77440"/>
    <n v="154880"/>
    <n v="20"/>
    <n v="123904"/>
    <x v="3"/>
    <x v="2"/>
    <d v="2024-01-11T00:00:00"/>
    <n v="23232"/>
  </r>
  <r>
    <x v="587"/>
    <x v="0"/>
    <x v="62"/>
    <x v="2"/>
    <x v="57"/>
    <s v="+917044134762"/>
    <x v="0"/>
    <s v="Bangalore"/>
    <x v="8"/>
    <x v="1"/>
    <x v="20"/>
    <x v="2"/>
    <x v="5"/>
    <n v="3"/>
    <n v="77440"/>
    <n v="232320"/>
    <n v="15"/>
    <n v="197472"/>
    <x v="0"/>
    <x v="0"/>
    <s v="Not Delivered"/>
    <n v="34848"/>
  </r>
  <r>
    <x v="588"/>
    <x v="0"/>
    <x v="336"/>
    <x v="1"/>
    <x v="236"/>
    <s v="+917176203195"/>
    <x v="0"/>
    <s v="Aurangabad"/>
    <x v="6"/>
    <x v="3"/>
    <x v="0"/>
    <x v="0"/>
    <x v="4"/>
    <n v="5"/>
    <n v="77440"/>
    <n v="387200"/>
    <n v="5"/>
    <n v="367840"/>
    <x v="3"/>
    <x v="1"/>
    <s v="Not Delivered"/>
    <n v="58080"/>
  </r>
  <r>
    <x v="589"/>
    <x v="0"/>
    <x v="366"/>
    <x v="1"/>
    <x v="430"/>
    <s v="+916457278473"/>
    <x v="0"/>
    <s v="Chennai"/>
    <x v="7"/>
    <x v="3"/>
    <x v="9"/>
    <x v="3"/>
    <x v="8"/>
    <n v="1"/>
    <n v="77440"/>
    <n v="77440"/>
    <n v="5"/>
    <n v="73568"/>
    <x v="3"/>
    <x v="2"/>
    <d v="2024-04-10T00:00:00"/>
    <n v="11616"/>
  </r>
  <r>
    <x v="590"/>
    <x v="0"/>
    <x v="133"/>
    <x v="9"/>
    <x v="66"/>
    <s v="+918472075352"/>
    <x v="0"/>
    <s v="Vadodara"/>
    <x v="5"/>
    <x v="0"/>
    <x v="8"/>
    <x v="5"/>
    <x v="0"/>
    <n v="4"/>
    <n v="77440"/>
    <n v="309760"/>
    <n v="20"/>
    <n v="247808"/>
    <x v="2"/>
    <x v="0"/>
    <s v="Not Delivered"/>
    <n v="46464"/>
  </r>
  <r>
    <x v="591"/>
    <x v="0"/>
    <x v="357"/>
    <x v="9"/>
    <x v="195"/>
    <s v="+918105173126"/>
    <x v="0"/>
    <s v="Howrah"/>
    <x v="2"/>
    <x v="3"/>
    <x v="25"/>
    <x v="3"/>
    <x v="2"/>
    <n v="5"/>
    <n v="77440"/>
    <n v="387200"/>
    <n v="5"/>
    <n v="367840"/>
    <x v="3"/>
    <x v="1"/>
    <s v="Not Delivered"/>
    <n v="58080"/>
  </r>
  <r>
    <x v="592"/>
    <x v="1"/>
    <x v="367"/>
    <x v="3"/>
    <x v="403"/>
    <s v="+918881687649"/>
    <x v="0"/>
    <s v="Kolkata"/>
    <x v="2"/>
    <x v="2"/>
    <x v="12"/>
    <x v="2"/>
    <x v="2"/>
    <n v="3"/>
    <n v="77440"/>
    <n v="232320"/>
    <n v="20"/>
    <n v="185856"/>
    <x v="3"/>
    <x v="0"/>
    <s v="Not Delivered"/>
    <n v="34848"/>
  </r>
  <r>
    <x v="593"/>
    <x v="1"/>
    <x v="179"/>
    <x v="1"/>
    <x v="431"/>
    <s v="+916088043651"/>
    <x v="0"/>
    <s v="Kanpur"/>
    <x v="1"/>
    <x v="3"/>
    <x v="25"/>
    <x v="3"/>
    <x v="4"/>
    <n v="2"/>
    <n v="77440"/>
    <n v="154880"/>
    <n v="5"/>
    <n v="147136"/>
    <x v="3"/>
    <x v="2"/>
    <d v="2025-02-18T00:00:00"/>
    <n v="23232"/>
  </r>
  <r>
    <x v="594"/>
    <x v="0"/>
    <x v="366"/>
    <x v="4"/>
    <x v="432"/>
    <s v="+916866408551"/>
    <x v="0"/>
    <s v="Coimbatore"/>
    <x v="7"/>
    <x v="3"/>
    <x v="1"/>
    <x v="1"/>
    <x v="5"/>
    <n v="2"/>
    <n v="77440"/>
    <n v="154880"/>
    <n v="0"/>
    <n v="154880"/>
    <x v="0"/>
    <x v="2"/>
    <d v="2024-04-10T00:00:00"/>
    <n v="23232"/>
  </r>
  <r>
    <x v="595"/>
    <x v="0"/>
    <x v="368"/>
    <x v="8"/>
    <x v="57"/>
    <s v="+918672416833"/>
    <x v="0"/>
    <s v="Durgapur"/>
    <x v="2"/>
    <x v="3"/>
    <x v="2"/>
    <x v="0"/>
    <x v="3"/>
    <n v="5"/>
    <n v="77440"/>
    <n v="387200"/>
    <n v="10"/>
    <n v="348480"/>
    <x v="2"/>
    <x v="2"/>
    <d v="2024-03-18T00:00:00"/>
    <n v="58080"/>
  </r>
  <r>
    <x v="596"/>
    <x v="0"/>
    <x v="369"/>
    <x v="8"/>
    <x v="433"/>
    <s v="+919484535224"/>
    <x v="0"/>
    <s v="Amritsar"/>
    <x v="4"/>
    <x v="0"/>
    <x v="0"/>
    <x v="0"/>
    <x v="9"/>
    <n v="1"/>
    <n v="77440"/>
    <n v="77440"/>
    <n v="15"/>
    <n v="65824"/>
    <x v="0"/>
    <x v="1"/>
    <s v="Not Delivered"/>
    <n v="11616"/>
  </r>
  <r>
    <x v="597"/>
    <x v="0"/>
    <x v="18"/>
    <x v="7"/>
    <x v="434"/>
    <s v="+919431811853"/>
    <x v="0"/>
    <s v="Varanasi"/>
    <x v="1"/>
    <x v="3"/>
    <x v="15"/>
    <x v="4"/>
    <x v="1"/>
    <n v="5"/>
    <n v="77440"/>
    <n v="387200"/>
    <n v="10"/>
    <n v="348480"/>
    <x v="3"/>
    <x v="1"/>
    <s v="Not Delivered"/>
    <n v="58080"/>
  </r>
  <r>
    <x v="598"/>
    <x v="0"/>
    <x v="370"/>
    <x v="2"/>
    <x v="435"/>
    <s v="+916805082749"/>
    <x v="0"/>
    <s v="Udaipur"/>
    <x v="3"/>
    <x v="2"/>
    <x v="26"/>
    <x v="4"/>
    <x v="1"/>
    <n v="5"/>
    <n v="77440"/>
    <n v="387200"/>
    <n v="5"/>
    <n v="367840"/>
    <x v="0"/>
    <x v="1"/>
    <s v="Not Delivered"/>
    <n v="58080"/>
  </r>
  <r>
    <x v="599"/>
    <x v="0"/>
    <x v="116"/>
    <x v="5"/>
    <x v="193"/>
    <s v="+916900660658"/>
    <x v="0"/>
    <s v="New Delhi"/>
    <x v="0"/>
    <x v="2"/>
    <x v="19"/>
    <x v="3"/>
    <x v="0"/>
    <n v="1"/>
    <n v="77440"/>
    <n v="77440"/>
    <n v="10"/>
    <n v="69696"/>
    <x v="0"/>
    <x v="2"/>
    <d v="2024-10-20T00:00:00"/>
    <n v="11616"/>
  </r>
  <r>
    <x v="600"/>
    <x v="0"/>
    <x v="371"/>
    <x v="8"/>
    <x v="122"/>
    <s v="+918448032169"/>
    <x v="0"/>
    <s v="Aurangabad"/>
    <x v="6"/>
    <x v="3"/>
    <x v="22"/>
    <x v="0"/>
    <x v="0"/>
    <n v="4"/>
    <n v="77440"/>
    <n v="309760"/>
    <n v="20"/>
    <n v="247808"/>
    <x v="1"/>
    <x v="1"/>
    <s v="Not Delivered"/>
    <n v="46464"/>
  </r>
  <r>
    <x v="601"/>
    <x v="1"/>
    <x v="260"/>
    <x v="3"/>
    <x v="303"/>
    <s v="+917415189761"/>
    <x v="0"/>
    <s v="Amritsar"/>
    <x v="4"/>
    <x v="0"/>
    <x v="20"/>
    <x v="2"/>
    <x v="1"/>
    <n v="1"/>
    <n v="77440"/>
    <n v="77440"/>
    <n v="0"/>
    <n v="77440"/>
    <x v="1"/>
    <x v="1"/>
    <s v="Not Delivered"/>
    <n v="11616"/>
  </r>
  <r>
    <x v="602"/>
    <x v="0"/>
    <x v="199"/>
    <x v="2"/>
    <x v="436"/>
    <s v="+917333120140"/>
    <x v="0"/>
    <s v="Warangal"/>
    <x v="9"/>
    <x v="1"/>
    <x v="27"/>
    <x v="5"/>
    <x v="1"/>
    <n v="3"/>
    <n v="77440"/>
    <n v="232320"/>
    <n v="5"/>
    <n v="220704"/>
    <x v="3"/>
    <x v="1"/>
    <s v="Not Delivered"/>
    <n v="34848"/>
  </r>
  <r>
    <x v="603"/>
    <x v="1"/>
    <x v="367"/>
    <x v="7"/>
    <x v="437"/>
    <s v="+919468421051"/>
    <x v="0"/>
    <s v="Kanpur"/>
    <x v="1"/>
    <x v="3"/>
    <x v="24"/>
    <x v="4"/>
    <x v="0"/>
    <n v="5"/>
    <n v="77440"/>
    <n v="387200"/>
    <n v="0"/>
    <n v="387200"/>
    <x v="1"/>
    <x v="0"/>
    <s v="Not Delivered"/>
    <n v="58080"/>
  </r>
  <r>
    <x v="604"/>
    <x v="1"/>
    <x v="317"/>
    <x v="3"/>
    <x v="346"/>
    <s v="+917046072475"/>
    <x v="0"/>
    <s v="Warangal"/>
    <x v="9"/>
    <x v="1"/>
    <x v="12"/>
    <x v="2"/>
    <x v="8"/>
    <n v="2"/>
    <n v="77440"/>
    <n v="154880"/>
    <n v="15"/>
    <n v="131648"/>
    <x v="3"/>
    <x v="1"/>
    <s v="Not Delivered"/>
    <n v="23232"/>
  </r>
  <r>
    <x v="605"/>
    <x v="0"/>
    <x v="129"/>
    <x v="1"/>
    <x v="438"/>
    <s v="+919493082098"/>
    <x v="0"/>
    <s v="Bangalore"/>
    <x v="8"/>
    <x v="3"/>
    <x v="27"/>
    <x v="5"/>
    <x v="10"/>
    <n v="5"/>
    <n v="77440"/>
    <n v="387200"/>
    <n v="20"/>
    <n v="309760"/>
    <x v="3"/>
    <x v="1"/>
    <s v="Not Delivered"/>
    <n v="58080"/>
  </r>
  <r>
    <x v="606"/>
    <x v="0"/>
    <x v="363"/>
    <x v="0"/>
    <x v="60"/>
    <s v="+918697689337"/>
    <x v="0"/>
    <s v="Amritsar"/>
    <x v="4"/>
    <x v="2"/>
    <x v="17"/>
    <x v="2"/>
    <x v="5"/>
    <n v="2"/>
    <n v="77440"/>
    <n v="154880"/>
    <n v="0"/>
    <n v="154880"/>
    <x v="1"/>
    <x v="2"/>
    <d v="2024-01-14T00:00:00"/>
    <n v="23232"/>
  </r>
  <r>
    <x v="607"/>
    <x v="0"/>
    <x v="372"/>
    <x v="9"/>
    <x v="179"/>
    <s v="+917012487408"/>
    <x v="0"/>
    <s v="Coimbatore"/>
    <x v="7"/>
    <x v="3"/>
    <x v="24"/>
    <x v="4"/>
    <x v="11"/>
    <n v="5"/>
    <n v="77440"/>
    <n v="387200"/>
    <n v="5"/>
    <n v="367840"/>
    <x v="3"/>
    <x v="2"/>
    <d v="2024-12-20T00:00:00"/>
    <n v="58080"/>
  </r>
  <r>
    <x v="608"/>
    <x v="1"/>
    <x v="87"/>
    <x v="8"/>
    <x v="143"/>
    <s v="+917074749522"/>
    <x v="0"/>
    <s v="Durgapur"/>
    <x v="2"/>
    <x v="0"/>
    <x v="0"/>
    <x v="0"/>
    <x v="3"/>
    <n v="4"/>
    <n v="77440"/>
    <n v="309760"/>
    <n v="0"/>
    <n v="309760"/>
    <x v="1"/>
    <x v="1"/>
    <s v="Not Delivered"/>
    <n v="46464"/>
  </r>
  <r>
    <x v="609"/>
    <x v="0"/>
    <x v="245"/>
    <x v="8"/>
    <x v="339"/>
    <s v="+919005950859"/>
    <x v="0"/>
    <s v="Madurai"/>
    <x v="7"/>
    <x v="1"/>
    <x v="12"/>
    <x v="2"/>
    <x v="9"/>
    <n v="3"/>
    <n v="77440"/>
    <n v="232320"/>
    <n v="0"/>
    <n v="232320"/>
    <x v="2"/>
    <x v="1"/>
    <s v="Not Delivered"/>
    <n v="34848"/>
  </r>
  <r>
    <x v="610"/>
    <x v="0"/>
    <x v="373"/>
    <x v="0"/>
    <x v="439"/>
    <s v="+916049706721"/>
    <x v="0"/>
    <s v="Rajkot"/>
    <x v="5"/>
    <x v="0"/>
    <x v="18"/>
    <x v="1"/>
    <x v="3"/>
    <n v="4"/>
    <n v="77440"/>
    <n v="309760"/>
    <n v="15"/>
    <n v="263296"/>
    <x v="2"/>
    <x v="0"/>
    <s v="Not Delivered"/>
    <n v="46464"/>
  </r>
  <r>
    <x v="611"/>
    <x v="0"/>
    <x v="212"/>
    <x v="5"/>
    <x v="440"/>
    <s v="+917486654497"/>
    <x v="0"/>
    <s v="Madurai"/>
    <x v="7"/>
    <x v="0"/>
    <x v="20"/>
    <x v="2"/>
    <x v="9"/>
    <n v="2"/>
    <n v="77440"/>
    <n v="154880"/>
    <n v="10"/>
    <n v="139392"/>
    <x v="1"/>
    <x v="1"/>
    <s v="Not Delivered"/>
    <n v="23232"/>
  </r>
  <r>
    <x v="612"/>
    <x v="0"/>
    <x v="374"/>
    <x v="1"/>
    <x v="441"/>
    <s v="+917392626424"/>
    <x v="0"/>
    <s v="Pune"/>
    <x v="6"/>
    <x v="1"/>
    <x v="15"/>
    <x v="4"/>
    <x v="6"/>
    <n v="3"/>
    <n v="77440"/>
    <n v="232320"/>
    <n v="5"/>
    <n v="220704"/>
    <x v="2"/>
    <x v="1"/>
    <s v="Not Delivered"/>
    <n v="34848"/>
  </r>
  <r>
    <x v="613"/>
    <x v="1"/>
    <x v="375"/>
    <x v="7"/>
    <x v="339"/>
    <s v="+918015299074"/>
    <x v="0"/>
    <s v="Lucknow"/>
    <x v="1"/>
    <x v="2"/>
    <x v="26"/>
    <x v="4"/>
    <x v="8"/>
    <n v="2"/>
    <n v="77440"/>
    <n v="154880"/>
    <n v="20"/>
    <n v="123904"/>
    <x v="2"/>
    <x v="0"/>
    <s v="Not Delivered"/>
    <n v="23232"/>
  </r>
  <r>
    <x v="614"/>
    <x v="1"/>
    <x v="112"/>
    <x v="3"/>
    <x v="442"/>
    <s v="+918290261799"/>
    <x v="0"/>
    <s v="Pune"/>
    <x v="6"/>
    <x v="0"/>
    <x v="5"/>
    <x v="1"/>
    <x v="7"/>
    <n v="5"/>
    <n v="77440"/>
    <n v="387200"/>
    <n v="10"/>
    <n v="348480"/>
    <x v="1"/>
    <x v="2"/>
    <d v="2025-07-31T00:00:00"/>
    <n v="58080"/>
  </r>
  <r>
    <x v="615"/>
    <x v="0"/>
    <x v="330"/>
    <x v="3"/>
    <x v="23"/>
    <s v="+918354794224"/>
    <x v="0"/>
    <s v="Hyderabad"/>
    <x v="9"/>
    <x v="1"/>
    <x v="21"/>
    <x v="5"/>
    <x v="4"/>
    <n v="5"/>
    <n v="77440"/>
    <n v="387200"/>
    <n v="15"/>
    <n v="329120"/>
    <x v="1"/>
    <x v="0"/>
    <s v="Not Delivered"/>
    <n v="58080"/>
  </r>
  <r>
    <x v="616"/>
    <x v="1"/>
    <x v="257"/>
    <x v="9"/>
    <x v="443"/>
    <s v="+918719918278"/>
    <x v="0"/>
    <s v="Kolkata"/>
    <x v="2"/>
    <x v="0"/>
    <x v="10"/>
    <x v="3"/>
    <x v="4"/>
    <n v="2"/>
    <n v="77440"/>
    <n v="154880"/>
    <n v="15"/>
    <n v="131648"/>
    <x v="1"/>
    <x v="2"/>
    <d v="2025-07-03T00:00:00"/>
    <n v="23232"/>
  </r>
  <r>
    <x v="617"/>
    <x v="0"/>
    <x v="376"/>
    <x v="0"/>
    <x v="164"/>
    <s v="+918332049905"/>
    <x v="0"/>
    <s v="Vadodara"/>
    <x v="5"/>
    <x v="1"/>
    <x v="6"/>
    <x v="3"/>
    <x v="7"/>
    <n v="1"/>
    <n v="77440"/>
    <n v="77440"/>
    <n v="15"/>
    <n v="65824"/>
    <x v="1"/>
    <x v="2"/>
    <d v="2024-01-21T00:00:00"/>
    <n v="11616"/>
  </r>
  <r>
    <x v="618"/>
    <x v="1"/>
    <x v="377"/>
    <x v="5"/>
    <x v="365"/>
    <s v="+919617220292"/>
    <x v="0"/>
    <s v="Mumbai"/>
    <x v="6"/>
    <x v="0"/>
    <x v="7"/>
    <x v="4"/>
    <x v="4"/>
    <n v="5"/>
    <n v="77440"/>
    <n v="387200"/>
    <n v="5"/>
    <n v="367840"/>
    <x v="0"/>
    <x v="2"/>
    <d v="2025-03-28T00:00:00"/>
    <n v="58080"/>
  </r>
  <r>
    <x v="619"/>
    <x v="1"/>
    <x v="378"/>
    <x v="5"/>
    <x v="306"/>
    <s v="+917876646150"/>
    <x v="0"/>
    <s v="Mangalore"/>
    <x v="8"/>
    <x v="3"/>
    <x v="20"/>
    <x v="2"/>
    <x v="1"/>
    <n v="1"/>
    <n v="77440"/>
    <n v="77440"/>
    <n v="5"/>
    <n v="73568"/>
    <x v="2"/>
    <x v="1"/>
    <s v="Not Delivered"/>
    <n v="11616"/>
  </r>
  <r>
    <x v="620"/>
    <x v="0"/>
    <x v="379"/>
    <x v="4"/>
    <x v="435"/>
    <s v="+918844874279"/>
    <x v="0"/>
    <s v="Warangal"/>
    <x v="9"/>
    <x v="2"/>
    <x v="24"/>
    <x v="4"/>
    <x v="2"/>
    <n v="3"/>
    <n v="77440"/>
    <n v="232320"/>
    <n v="5"/>
    <n v="220704"/>
    <x v="0"/>
    <x v="0"/>
    <s v="Not Delivered"/>
    <n v="34848"/>
  </r>
  <r>
    <x v="621"/>
    <x v="0"/>
    <x v="380"/>
    <x v="6"/>
    <x v="444"/>
    <s v="+916884716576"/>
    <x v="0"/>
    <s v="Kolkata"/>
    <x v="2"/>
    <x v="2"/>
    <x v="9"/>
    <x v="3"/>
    <x v="0"/>
    <n v="4"/>
    <n v="77440"/>
    <n v="309760"/>
    <n v="15"/>
    <n v="263296"/>
    <x v="3"/>
    <x v="2"/>
    <d v="2024-01-22T00:00:00"/>
    <n v="46464"/>
  </r>
  <r>
    <x v="622"/>
    <x v="0"/>
    <x v="381"/>
    <x v="1"/>
    <x v="229"/>
    <s v="+916943061164"/>
    <x v="0"/>
    <s v="Aurangabad"/>
    <x v="6"/>
    <x v="1"/>
    <x v="0"/>
    <x v="0"/>
    <x v="0"/>
    <n v="3"/>
    <n v="77440"/>
    <n v="232320"/>
    <n v="15"/>
    <n v="197472"/>
    <x v="2"/>
    <x v="1"/>
    <s v="Not Delivered"/>
    <n v="34848"/>
  </r>
  <r>
    <x v="623"/>
    <x v="1"/>
    <x v="94"/>
    <x v="6"/>
    <x v="445"/>
    <s v="+916042256491"/>
    <x v="0"/>
    <s v="Vadodara"/>
    <x v="5"/>
    <x v="0"/>
    <x v="5"/>
    <x v="1"/>
    <x v="3"/>
    <n v="5"/>
    <n v="77440"/>
    <n v="387200"/>
    <n v="5"/>
    <n v="367840"/>
    <x v="3"/>
    <x v="0"/>
    <s v="Not Delivered"/>
    <n v="58080"/>
  </r>
  <r>
    <x v="624"/>
    <x v="0"/>
    <x v="125"/>
    <x v="9"/>
    <x v="405"/>
    <s v="+918871211021"/>
    <x v="0"/>
    <s v="Durgapur"/>
    <x v="2"/>
    <x v="2"/>
    <x v="6"/>
    <x v="3"/>
    <x v="6"/>
    <n v="4"/>
    <n v="77440"/>
    <n v="309760"/>
    <n v="10"/>
    <n v="278784"/>
    <x v="1"/>
    <x v="0"/>
    <s v="Not Delivered"/>
    <n v="46464"/>
  </r>
  <r>
    <x v="625"/>
    <x v="1"/>
    <x v="382"/>
    <x v="0"/>
    <x v="44"/>
    <s v="+918786641400"/>
    <x v="0"/>
    <s v="New Delhi"/>
    <x v="0"/>
    <x v="0"/>
    <x v="26"/>
    <x v="4"/>
    <x v="0"/>
    <n v="4"/>
    <n v="77440"/>
    <n v="309760"/>
    <n v="0"/>
    <n v="309760"/>
    <x v="0"/>
    <x v="0"/>
    <s v="Not Delivered"/>
    <n v="46464"/>
  </r>
  <r>
    <x v="626"/>
    <x v="0"/>
    <x v="302"/>
    <x v="5"/>
    <x v="446"/>
    <s v="+917602216104"/>
    <x v="0"/>
    <s v="New Delhi"/>
    <x v="0"/>
    <x v="0"/>
    <x v="9"/>
    <x v="3"/>
    <x v="4"/>
    <n v="4"/>
    <n v="77440"/>
    <n v="309760"/>
    <n v="20"/>
    <n v="247808"/>
    <x v="1"/>
    <x v="0"/>
    <s v="Not Delivered"/>
    <n v="46464"/>
  </r>
  <r>
    <x v="627"/>
    <x v="0"/>
    <x v="300"/>
    <x v="4"/>
    <x v="447"/>
    <s v="+919783805347"/>
    <x v="0"/>
    <s v="Pune"/>
    <x v="6"/>
    <x v="2"/>
    <x v="12"/>
    <x v="2"/>
    <x v="7"/>
    <n v="1"/>
    <n v="77440"/>
    <n v="77440"/>
    <n v="5"/>
    <n v="73568"/>
    <x v="2"/>
    <x v="2"/>
    <d v="2024-08-10T00:00:00"/>
    <n v="11616"/>
  </r>
  <r>
    <x v="628"/>
    <x v="0"/>
    <x v="187"/>
    <x v="8"/>
    <x v="72"/>
    <s v="+916577287333"/>
    <x v="0"/>
    <s v="Udaipur"/>
    <x v="3"/>
    <x v="2"/>
    <x v="12"/>
    <x v="2"/>
    <x v="6"/>
    <n v="4"/>
    <n v="77440"/>
    <n v="309760"/>
    <n v="20"/>
    <n v="247808"/>
    <x v="1"/>
    <x v="2"/>
    <d v="2024-08-12T00:00:00"/>
    <n v="46464"/>
  </r>
  <r>
    <x v="629"/>
    <x v="0"/>
    <x v="281"/>
    <x v="8"/>
    <x v="448"/>
    <s v="+916335386903"/>
    <x v="0"/>
    <s v="Udaipur"/>
    <x v="3"/>
    <x v="1"/>
    <x v="5"/>
    <x v="1"/>
    <x v="4"/>
    <n v="2"/>
    <n v="77440"/>
    <n v="154880"/>
    <n v="20"/>
    <n v="123904"/>
    <x v="3"/>
    <x v="1"/>
    <s v="Not Delivered"/>
    <n v="23232"/>
  </r>
  <r>
    <x v="630"/>
    <x v="1"/>
    <x v="332"/>
    <x v="3"/>
    <x v="250"/>
    <s v="+918656091196"/>
    <x v="0"/>
    <s v="Nizamabad"/>
    <x v="9"/>
    <x v="3"/>
    <x v="27"/>
    <x v="5"/>
    <x v="11"/>
    <n v="5"/>
    <n v="77440"/>
    <n v="387200"/>
    <n v="5"/>
    <n v="367840"/>
    <x v="0"/>
    <x v="1"/>
    <s v="Not Delivered"/>
    <n v="58080"/>
  </r>
  <r>
    <x v="631"/>
    <x v="0"/>
    <x v="383"/>
    <x v="3"/>
    <x v="449"/>
    <s v="+916084926867"/>
    <x v="0"/>
    <s v="Udaipur"/>
    <x v="3"/>
    <x v="1"/>
    <x v="7"/>
    <x v="4"/>
    <x v="4"/>
    <n v="3"/>
    <n v="77440"/>
    <n v="232320"/>
    <n v="10"/>
    <n v="209088"/>
    <x v="1"/>
    <x v="1"/>
    <s v="Not Delivered"/>
    <n v="34848"/>
  </r>
  <r>
    <x v="632"/>
    <x v="0"/>
    <x v="384"/>
    <x v="9"/>
    <x v="450"/>
    <s v="+917927001855"/>
    <x v="0"/>
    <s v="Durgapur"/>
    <x v="2"/>
    <x v="1"/>
    <x v="26"/>
    <x v="4"/>
    <x v="4"/>
    <n v="2"/>
    <n v="77440"/>
    <n v="154880"/>
    <n v="0"/>
    <n v="154880"/>
    <x v="0"/>
    <x v="0"/>
    <s v="Not Delivered"/>
    <n v="23232"/>
  </r>
  <r>
    <x v="633"/>
    <x v="0"/>
    <x v="385"/>
    <x v="0"/>
    <x v="171"/>
    <s v="+919557478256"/>
    <x v="0"/>
    <s v="Rajkot"/>
    <x v="5"/>
    <x v="0"/>
    <x v="12"/>
    <x v="2"/>
    <x v="9"/>
    <n v="1"/>
    <n v="77440"/>
    <n v="77440"/>
    <n v="5"/>
    <n v="73568"/>
    <x v="2"/>
    <x v="2"/>
    <d v="2024-12-24T00:00:00"/>
    <n v="11616"/>
  </r>
  <r>
    <x v="634"/>
    <x v="0"/>
    <x v="379"/>
    <x v="4"/>
    <x v="451"/>
    <s v="+918229666477"/>
    <x v="0"/>
    <s v="Bangalore"/>
    <x v="8"/>
    <x v="3"/>
    <x v="22"/>
    <x v="0"/>
    <x v="3"/>
    <n v="2"/>
    <n v="77440"/>
    <n v="154880"/>
    <n v="15"/>
    <n v="131648"/>
    <x v="3"/>
    <x v="1"/>
    <s v="Not Delivered"/>
    <n v="23232"/>
  </r>
  <r>
    <x v="635"/>
    <x v="1"/>
    <x v="386"/>
    <x v="7"/>
    <x v="452"/>
    <s v="+916638702502"/>
    <x v="0"/>
    <s v="Aurangabad"/>
    <x v="6"/>
    <x v="3"/>
    <x v="16"/>
    <x v="5"/>
    <x v="5"/>
    <n v="4"/>
    <n v="77440"/>
    <n v="309760"/>
    <n v="5"/>
    <n v="294272"/>
    <x v="2"/>
    <x v="1"/>
    <s v="Not Delivered"/>
    <n v="46464"/>
  </r>
  <r>
    <x v="636"/>
    <x v="1"/>
    <x v="276"/>
    <x v="2"/>
    <x v="73"/>
    <s v="+918941270285"/>
    <x v="0"/>
    <s v="Coimbatore"/>
    <x v="7"/>
    <x v="0"/>
    <x v="4"/>
    <x v="0"/>
    <x v="4"/>
    <n v="2"/>
    <n v="77440"/>
    <n v="154880"/>
    <n v="5"/>
    <n v="147136"/>
    <x v="2"/>
    <x v="1"/>
    <s v="Not Delivered"/>
    <n v="23232"/>
  </r>
  <r>
    <x v="637"/>
    <x v="0"/>
    <x v="387"/>
    <x v="3"/>
    <x v="453"/>
    <s v="+919560442434"/>
    <x v="0"/>
    <s v="Jodhpur"/>
    <x v="3"/>
    <x v="0"/>
    <x v="18"/>
    <x v="1"/>
    <x v="1"/>
    <n v="3"/>
    <n v="77440"/>
    <n v="232320"/>
    <n v="20"/>
    <n v="185856"/>
    <x v="2"/>
    <x v="1"/>
    <s v="Not Delivered"/>
    <n v="34848"/>
  </r>
  <r>
    <x v="638"/>
    <x v="0"/>
    <x v="151"/>
    <x v="0"/>
    <x v="454"/>
    <s v="+919557286598"/>
    <x v="0"/>
    <s v="New Delhi"/>
    <x v="0"/>
    <x v="0"/>
    <x v="13"/>
    <x v="5"/>
    <x v="8"/>
    <n v="4"/>
    <n v="77440"/>
    <n v="309760"/>
    <n v="0"/>
    <n v="309760"/>
    <x v="0"/>
    <x v="0"/>
    <s v="Not Delivered"/>
    <n v="46464"/>
  </r>
  <r>
    <x v="639"/>
    <x v="0"/>
    <x v="173"/>
    <x v="4"/>
    <x v="412"/>
    <s v="+918431687555"/>
    <x v="0"/>
    <s v="Noida"/>
    <x v="1"/>
    <x v="2"/>
    <x v="4"/>
    <x v="0"/>
    <x v="6"/>
    <n v="4"/>
    <n v="77440"/>
    <n v="309760"/>
    <n v="0"/>
    <n v="309760"/>
    <x v="1"/>
    <x v="0"/>
    <s v="Not Delivered"/>
    <n v="46464"/>
  </r>
  <r>
    <x v="640"/>
    <x v="0"/>
    <x v="362"/>
    <x v="3"/>
    <x v="326"/>
    <s v="+919456640902"/>
    <x v="0"/>
    <s v="Noida"/>
    <x v="1"/>
    <x v="0"/>
    <x v="21"/>
    <x v="5"/>
    <x v="11"/>
    <n v="5"/>
    <n v="77440"/>
    <n v="387200"/>
    <n v="0"/>
    <n v="387200"/>
    <x v="2"/>
    <x v="0"/>
    <s v="Not Delivered"/>
    <n v="58080"/>
  </r>
  <r>
    <x v="641"/>
    <x v="0"/>
    <x v="388"/>
    <x v="6"/>
    <x v="455"/>
    <s v="+916668416411"/>
    <x v="0"/>
    <s v="Mysore"/>
    <x v="8"/>
    <x v="3"/>
    <x v="2"/>
    <x v="0"/>
    <x v="6"/>
    <n v="4"/>
    <n v="77440"/>
    <n v="309760"/>
    <n v="5"/>
    <n v="294272"/>
    <x v="1"/>
    <x v="1"/>
    <s v="Not Delivered"/>
    <n v="46464"/>
  </r>
  <r>
    <x v="642"/>
    <x v="0"/>
    <x v="39"/>
    <x v="9"/>
    <x v="456"/>
    <s v="+916338621931"/>
    <x v="0"/>
    <s v="Durgapur"/>
    <x v="2"/>
    <x v="1"/>
    <x v="26"/>
    <x v="4"/>
    <x v="0"/>
    <n v="5"/>
    <n v="77440"/>
    <n v="387200"/>
    <n v="0"/>
    <n v="387200"/>
    <x v="3"/>
    <x v="2"/>
    <d v="2024-09-09T00:00:00"/>
    <n v="58080"/>
  </r>
  <r>
    <x v="643"/>
    <x v="0"/>
    <x v="63"/>
    <x v="5"/>
    <x v="457"/>
    <s v="+917102043864"/>
    <x v="0"/>
    <s v="Nashik"/>
    <x v="6"/>
    <x v="1"/>
    <x v="3"/>
    <x v="2"/>
    <x v="2"/>
    <n v="3"/>
    <n v="77440"/>
    <n v="232320"/>
    <n v="15"/>
    <n v="197472"/>
    <x v="0"/>
    <x v="2"/>
    <d v="2024-10-15T00:00:00"/>
    <n v="34848"/>
  </r>
  <r>
    <x v="644"/>
    <x v="0"/>
    <x v="389"/>
    <x v="6"/>
    <x v="458"/>
    <s v="+918309712295"/>
    <x v="0"/>
    <s v="Bangalore"/>
    <x v="8"/>
    <x v="3"/>
    <x v="11"/>
    <x v="1"/>
    <x v="9"/>
    <n v="1"/>
    <n v="77440"/>
    <n v="77440"/>
    <n v="15"/>
    <n v="65824"/>
    <x v="3"/>
    <x v="0"/>
    <s v="Not Delivered"/>
    <n v="11616"/>
  </r>
  <r>
    <x v="645"/>
    <x v="0"/>
    <x v="390"/>
    <x v="2"/>
    <x v="459"/>
    <s v="+917113061667"/>
    <x v="0"/>
    <s v="New Delhi"/>
    <x v="0"/>
    <x v="2"/>
    <x v="20"/>
    <x v="2"/>
    <x v="2"/>
    <n v="5"/>
    <n v="77440"/>
    <n v="387200"/>
    <n v="20"/>
    <n v="309760"/>
    <x v="0"/>
    <x v="0"/>
    <s v="Not Delivered"/>
    <n v="58080"/>
  </r>
  <r>
    <x v="646"/>
    <x v="1"/>
    <x v="391"/>
    <x v="2"/>
    <x v="46"/>
    <s v="+919259569350"/>
    <x v="0"/>
    <s v="Durgapur"/>
    <x v="2"/>
    <x v="0"/>
    <x v="18"/>
    <x v="1"/>
    <x v="11"/>
    <n v="2"/>
    <n v="77440"/>
    <n v="154880"/>
    <n v="10"/>
    <n v="139392"/>
    <x v="1"/>
    <x v="2"/>
    <d v="2025-05-05T00:00:00"/>
    <n v="23232"/>
  </r>
  <r>
    <x v="647"/>
    <x v="0"/>
    <x v="392"/>
    <x v="2"/>
    <x v="460"/>
    <s v="+919154775297"/>
    <x v="0"/>
    <s v="Kanpur"/>
    <x v="1"/>
    <x v="2"/>
    <x v="17"/>
    <x v="2"/>
    <x v="5"/>
    <n v="3"/>
    <n v="77440"/>
    <n v="232320"/>
    <n v="15"/>
    <n v="197472"/>
    <x v="3"/>
    <x v="0"/>
    <s v="Not Delivered"/>
    <n v="34848"/>
  </r>
  <r>
    <x v="648"/>
    <x v="1"/>
    <x v="207"/>
    <x v="4"/>
    <x v="109"/>
    <s v="+916854587890"/>
    <x v="0"/>
    <s v="Warangal"/>
    <x v="9"/>
    <x v="0"/>
    <x v="10"/>
    <x v="3"/>
    <x v="8"/>
    <n v="5"/>
    <n v="77440"/>
    <n v="387200"/>
    <n v="15"/>
    <n v="329120"/>
    <x v="1"/>
    <x v="2"/>
    <d v="2025-07-08T00:00:00"/>
    <n v="58080"/>
  </r>
  <r>
    <x v="649"/>
    <x v="1"/>
    <x v="64"/>
    <x v="4"/>
    <x v="461"/>
    <s v="+919094369596"/>
    <x v="0"/>
    <s v="Mangalore"/>
    <x v="8"/>
    <x v="2"/>
    <x v="19"/>
    <x v="3"/>
    <x v="5"/>
    <n v="3"/>
    <n v="77440"/>
    <n v="232320"/>
    <n v="15"/>
    <n v="197472"/>
    <x v="0"/>
    <x v="0"/>
    <s v="Not Delivered"/>
    <n v="34848"/>
  </r>
  <r>
    <x v="650"/>
    <x v="0"/>
    <x v="208"/>
    <x v="6"/>
    <x v="462"/>
    <s v="+917794273220"/>
    <x v="0"/>
    <s v="Vadodara"/>
    <x v="5"/>
    <x v="3"/>
    <x v="21"/>
    <x v="5"/>
    <x v="3"/>
    <n v="5"/>
    <n v="77440"/>
    <n v="387200"/>
    <n v="20"/>
    <n v="309760"/>
    <x v="2"/>
    <x v="0"/>
    <s v="Not Delivered"/>
    <n v="58080"/>
  </r>
  <r>
    <x v="651"/>
    <x v="0"/>
    <x v="393"/>
    <x v="0"/>
    <x v="463"/>
    <s v="+919432871901"/>
    <x v="0"/>
    <s v="Aurangabad"/>
    <x v="6"/>
    <x v="3"/>
    <x v="16"/>
    <x v="5"/>
    <x v="3"/>
    <n v="4"/>
    <n v="77440"/>
    <n v="309760"/>
    <n v="0"/>
    <n v="309760"/>
    <x v="1"/>
    <x v="1"/>
    <s v="Not Delivered"/>
    <n v="46464"/>
  </r>
  <r>
    <x v="652"/>
    <x v="0"/>
    <x v="62"/>
    <x v="9"/>
    <x v="464"/>
    <s v="+919253213247"/>
    <x v="0"/>
    <s v="Kolkata"/>
    <x v="2"/>
    <x v="1"/>
    <x v="14"/>
    <x v="1"/>
    <x v="6"/>
    <n v="3"/>
    <n v="77440"/>
    <n v="232320"/>
    <n v="5"/>
    <n v="220704"/>
    <x v="3"/>
    <x v="2"/>
    <d v="2024-02-08T00:00:00"/>
    <n v="34848"/>
  </r>
  <r>
    <x v="653"/>
    <x v="0"/>
    <x v="235"/>
    <x v="9"/>
    <x v="465"/>
    <s v="+916007516129"/>
    <x v="0"/>
    <s v="Udaipur"/>
    <x v="3"/>
    <x v="2"/>
    <x v="18"/>
    <x v="1"/>
    <x v="1"/>
    <n v="2"/>
    <n v="77440"/>
    <n v="154880"/>
    <n v="20"/>
    <n v="123904"/>
    <x v="0"/>
    <x v="0"/>
    <s v="Not Delivered"/>
    <n v="23232"/>
  </r>
  <r>
    <x v="654"/>
    <x v="0"/>
    <x v="394"/>
    <x v="3"/>
    <x v="466"/>
    <s v="+918920747238"/>
    <x v="0"/>
    <s v="Ludhiana"/>
    <x v="4"/>
    <x v="3"/>
    <x v="10"/>
    <x v="3"/>
    <x v="8"/>
    <n v="3"/>
    <n v="77440"/>
    <n v="232320"/>
    <n v="10"/>
    <n v="209088"/>
    <x v="2"/>
    <x v="1"/>
    <s v="Not Delivered"/>
    <n v="34848"/>
  </r>
  <r>
    <x v="655"/>
    <x v="1"/>
    <x v="95"/>
    <x v="8"/>
    <x v="448"/>
    <s v="+918285901261"/>
    <x v="0"/>
    <s v="Lucknow"/>
    <x v="1"/>
    <x v="1"/>
    <x v="19"/>
    <x v="3"/>
    <x v="0"/>
    <n v="1"/>
    <n v="77440"/>
    <n v="77440"/>
    <n v="20"/>
    <n v="61952"/>
    <x v="2"/>
    <x v="1"/>
    <s v="Not Delivered"/>
    <n v="11616"/>
  </r>
  <r>
    <x v="656"/>
    <x v="0"/>
    <x v="47"/>
    <x v="3"/>
    <x v="424"/>
    <s v="+919461016088"/>
    <x v="0"/>
    <s v="Ahmedabad"/>
    <x v="5"/>
    <x v="1"/>
    <x v="14"/>
    <x v="1"/>
    <x v="8"/>
    <n v="5"/>
    <n v="77440"/>
    <n v="387200"/>
    <n v="20"/>
    <n v="309760"/>
    <x v="3"/>
    <x v="1"/>
    <s v="Not Delivered"/>
    <n v="58080"/>
  </r>
  <r>
    <x v="657"/>
    <x v="0"/>
    <x v="395"/>
    <x v="2"/>
    <x v="467"/>
    <s v="+918818427847"/>
    <x v="0"/>
    <s v="Udaipur"/>
    <x v="3"/>
    <x v="3"/>
    <x v="27"/>
    <x v="5"/>
    <x v="5"/>
    <n v="5"/>
    <n v="77440"/>
    <n v="387200"/>
    <n v="10"/>
    <n v="348480"/>
    <x v="3"/>
    <x v="0"/>
    <s v="Not Delivered"/>
    <n v="58080"/>
  </r>
  <r>
    <x v="658"/>
    <x v="0"/>
    <x v="108"/>
    <x v="6"/>
    <x v="368"/>
    <s v="+919965617796"/>
    <x v="0"/>
    <s v="Noida"/>
    <x v="1"/>
    <x v="1"/>
    <x v="0"/>
    <x v="0"/>
    <x v="11"/>
    <n v="3"/>
    <n v="77440"/>
    <n v="232320"/>
    <n v="20"/>
    <n v="185856"/>
    <x v="1"/>
    <x v="0"/>
    <s v="Not Delivered"/>
    <n v="34848"/>
  </r>
  <r>
    <x v="659"/>
    <x v="0"/>
    <x v="316"/>
    <x v="0"/>
    <x v="186"/>
    <s v="+917874879721"/>
    <x v="0"/>
    <s v="New Delhi"/>
    <x v="0"/>
    <x v="0"/>
    <x v="6"/>
    <x v="3"/>
    <x v="11"/>
    <n v="5"/>
    <n v="77440"/>
    <n v="387200"/>
    <n v="20"/>
    <n v="309760"/>
    <x v="1"/>
    <x v="1"/>
    <s v="Not Delivered"/>
    <n v="58080"/>
  </r>
  <r>
    <x v="660"/>
    <x v="0"/>
    <x v="251"/>
    <x v="5"/>
    <x v="419"/>
    <s v="+918603411825"/>
    <x v="0"/>
    <s v="Aurangabad"/>
    <x v="6"/>
    <x v="1"/>
    <x v="9"/>
    <x v="3"/>
    <x v="7"/>
    <n v="2"/>
    <n v="77440"/>
    <n v="154880"/>
    <n v="5"/>
    <n v="147136"/>
    <x v="3"/>
    <x v="1"/>
    <s v="Not Delivered"/>
    <n v="23232"/>
  </r>
  <r>
    <x v="661"/>
    <x v="1"/>
    <x v="204"/>
    <x v="4"/>
    <x v="468"/>
    <s v="+917097223719"/>
    <x v="0"/>
    <s v="Bangalore"/>
    <x v="8"/>
    <x v="1"/>
    <x v="1"/>
    <x v="1"/>
    <x v="9"/>
    <n v="4"/>
    <n v="77440"/>
    <n v="309760"/>
    <n v="15"/>
    <n v="263296"/>
    <x v="1"/>
    <x v="0"/>
    <s v="Not Delivered"/>
    <n v="46464"/>
  </r>
  <r>
    <x v="662"/>
    <x v="0"/>
    <x v="396"/>
    <x v="4"/>
    <x v="469"/>
    <s v="+919194475545"/>
    <x v="0"/>
    <s v="Warangal"/>
    <x v="9"/>
    <x v="1"/>
    <x v="11"/>
    <x v="1"/>
    <x v="0"/>
    <n v="2"/>
    <n v="77440"/>
    <n v="154880"/>
    <n v="0"/>
    <n v="154880"/>
    <x v="3"/>
    <x v="2"/>
    <d v="2024-09-11T00:00:00"/>
    <n v="23232"/>
  </r>
  <r>
    <x v="663"/>
    <x v="1"/>
    <x v="397"/>
    <x v="9"/>
    <x v="455"/>
    <s v="+919714926836"/>
    <x v="0"/>
    <s v="Chandigarh"/>
    <x v="4"/>
    <x v="1"/>
    <x v="0"/>
    <x v="0"/>
    <x v="1"/>
    <n v="5"/>
    <n v="77440"/>
    <n v="387200"/>
    <n v="20"/>
    <n v="309760"/>
    <x v="0"/>
    <x v="0"/>
    <s v="Not Delivered"/>
    <n v="58080"/>
  </r>
  <r>
    <x v="664"/>
    <x v="1"/>
    <x v="398"/>
    <x v="3"/>
    <x v="470"/>
    <s v="+916891106488"/>
    <x v="0"/>
    <s v="Nashik"/>
    <x v="6"/>
    <x v="1"/>
    <x v="20"/>
    <x v="2"/>
    <x v="6"/>
    <n v="1"/>
    <n v="77440"/>
    <n v="77440"/>
    <n v="5"/>
    <n v="73568"/>
    <x v="1"/>
    <x v="0"/>
    <s v="Not Delivered"/>
    <n v="11616"/>
  </r>
  <r>
    <x v="665"/>
    <x v="0"/>
    <x v="389"/>
    <x v="7"/>
    <x v="243"/>
    <s v="+919224133274"/>
    <x v="0"/>
    <s v="Coimbatore"/>
    <x v="7"/>
    <x v="2"/>
    <x v="18"/>
    <x v="1"/>
    <x v="7"/>
    <n v="3"/>
    <n v="77440"/>
    <n v="232320"/>
    <n v="5"/>
    <n v="220704"/>
    <x v="3"/>
    <x v="2"/>
    <d v="2024-02-05T00:00:00"/>
    <n v="34848"/>
  </r>
  <r>
    <x v="666"/>
    <x v="0"/>
    <x v="396"/>
    <x v="6"/>
    <x v="35"/>
    <s v="+918071697595"/>
    <x v="0"/>
    <s v="Surat"/>
    <x v="5"/>
    <x v="3"/>
    <x v="15"/>
    <x v="4"/>
    <x v="0"/>
    <n v="2"/>
    <n v="77440"/>
    <n v="154880"/>
    <n v="0"/>
    <n v="154880"/>
    <x v="0"/>
    <x v="2"/>
    <d v="2024-09-11T00:00:00"/>
    <n v="23232"/>
  </r>
  <r>
    <x v="667"/>
    <x v="0"/>
    <x v="395"/>
    <x v="1"/>
    <x v="46"/>
    <s v="+919249168478"/>
    <x v="0"/>
    <s v="New Delhi"/>
    <x v="0"/>
    <x v="3"/>
    <x v="11"/>
    <x v="1"/>
    <x v="8"/>
    <n v="2"/>
    <n v="77440"/>
    <n v="154880"/>
    <n v="5"/>
    <n v="147136"/>
    <x v="0"/>
    <x v="1"/>
    <s v="Not Delivered"/>
    <n v="23232"/>
  </r>
  <r>
    <x v="668"/>
    <x v="0"/>
    <x v="376"/>
    <x v="7"/>
    <x v="345"/>
    <s v="+919929810022"/>
    <x v="0"/>
    <s v="New Delhi"/>
    <x v="0"/>
    <x v="2"/>
    <x v="18"/>
    <x v="1"/>
    <x v="1"/>
    <n v="1"/>
    <n v="77440"/>
    <n v="77440"/>
    <n v="20"/>
    <n v="61952"/>
    <x v="2"/>
    <x v="0"/>
    <s v="Not Delivered"/>
    <n v="11616"/>
  </r>
  <r>
    <x v="669"/>
    <x v="1"/>
    <x v="198"/>
    <x v="3"/>
    <x v="156"/>
    <s v="+916118647684"/>
    <x v="0"/>
    <s v="Mysore"/>
    <x v="8"/>
    <x v="2"/>
    <x v="16"/>
    <x v="5"/>
    <x v="10"/>
    <n v="3"/>
    <n v="77440"/>
    <n v="232320"/>
    <n v="5"/>
    <n v="220704"/>
    <x v="2"/>
    <x v="1"/>
    <s v="Not Delivered"/>
    <n v="34848"/>
  </r>
  <r>
    <x v="670"/>
    <x v="0"/>
    <x v="26"/>
    <x v="1"/>
    <x v="471"/>
    <s v="+916274837866"/>
    <x v="0"/>
    <s v="Jaipur"/>
    <x v="3"/>
    <x v="2"/>
    <x v="2"/>
    <x v="0"/>
    <x v="11"/>
    <n v="4"/>
    <n v="77440"/>
    <n v="309760"/>
    <n v="20"/>
    <n v="247808"/>
    <x v="0"/>
    <x v="0"/>
    <s v="Not Delivered"/>
    <n v="46464"/>
  </r>
  <r>
    <x v="671"/>
    <x v="1"/>
    <x v="333"/>
    <x v="1"/>
    <x v="217"/>
    <s v="+918193001239"/>
    <x v="0"/>
    <s v="New Delhi"/>
    <x v="0"/>
    <x v="1"/>
    <x v="6"/>
    <x v="3"/>
    <x v="7"/>
    <n v="5"/>
    <n v="77440"/>
    <n v="387200"/>
    <n v="15"/>
    <n v="329120"/>
    <x v="2"/>
    <x v="2"/>
    <d v="2025-01-14T00:00:00"/>
    <n v="58080"/>
  </r>
  <r>
    <x v="672"/>
    <x v="0"/>
    <x v="177"/>
    <x v="0"/>
    <x v="128"/>
    <s v="+917726540279"/>
    <x v="0"/>
    <s v="Bangalore"/>
    <x v="8"/>
    <x v="3"/>
    <x v="2"/>
    <x v="0"/>
    <x v="2"/>
    <n v="2"/>
    <n v="77440"/>
    <n v="154880"/>
    <n v="0"/>
    <n v="154880"/>
    <x v="2"/>
    <x v="0"/>
    <s v="Not Delivered"/>
    <n v="23232"/>
  </r>
  <r>
    <x v="673"/>
    <x v="0"/>
    <x v="144"/>
    <x v="0"/>
    <x v="472"/>
    <s v="+917306595123"/>
    <x v="0"/>
    <s v="Amritsar"/>
    <x v="4"/>
    <x v="3"/>
    <x v="8"/>
    <x v="5"/>
    <x v="7"/>
    <n v="3"/>
    <n v="77440"/>
    <n v="232320"/>
    <n v="10"/>
    <n v="209088"/>
    <x v="2"/>
    <x v="0"/>
    <s v="Not Delivered"/>
    <n v="34848"/>
  </r>
  <r>
    <x v="674"/>
    <x v="0"/>
    <x v="399"/>
    <x v="5"/>
    <x v="66"/>
    <s v="+919543967716"/>
    <x v="0"/>
    <s v="Varanasi"/>
    <x v="1"/>
    <x v="0"/>
    <x v="3"/>
    <x v="2"/>
    <x v="7"/>
    <n v="3"/>
    <n v="77440"/>
    <n v="232320"/>
    <n v="0"/>
    <n v="232320"/>
    <x v="3"/>
    <x v="2"/>
    <d v="2024-09-28T00:00:00"/>
    <n v="34848"/>
  </r>
  <r>
    <x v="675"/>
    <x v="1"/>
    <x v="400"/>
    <x v="8"/>
    <x v="473"/>
    <s v="+919918396295"/>
    <x v="0"/>
    <s v="New Delhi"/>
    <x v="0"/>
    <x v="3"/>
    <x v="20"/>
    <x v="2"/>
    <x v="8"/>
    <n v="2"/>
    <n v="77440"/>
    <n v="154880"/>
    <n v="15"/>
    <n v="131648"/>
    <x v="2"/>
    <x v="1"/>
    <s v="Not Delivered"/>
    <n v="23232"/>
  </r>
  <r>
    <x v="676"/>
    <x v="1"/>
    <x v="262"/>
    <x v="4"/>
    <x v="474"/>
    <s v="+917741839264"/>
    <x v="0"/>
    <s v="Hyderabad"/>
    <x v="9"/>
    <x v="0"/>
    <x v="1"/>
    <x v="1"/>
    <x v="10"/>
    <n v="3"/>
    <n v="77440"/>
    <n v="232320"/>
    <n v="20"/>
    <n v="185856"/>
    <x v="0"/>
    <x v="1"/>
    <s v="Not Delivered"/>
    <n v="34848"/>
  </r>
  <r>
    <x v="677"/>
    <x v="0"/>
    <x v="401"/>
    <x v="7"/>
    <x v="274"/>
    <s v="+919611485133"/>
    <x v="0"/>
    <s v="Vadodara"/>
    <x v="5"/>
    <x v="3"/>
    <x v="15"/>
    <x v="4"/>
    <x v="11"/>
    <n v="2"/>
    <n v="77440"/>
    <n v="154880"/>
    <n v="15"/>
    <n v="131648"/>
    <x v="0"/>
    <x v="0"/>
    <s v="Not Delivered"/>
    <n v="23232"/>
  </r>
  <r>
    <x v="678"/>
    <x v="0"/>
    <x v="337"/>
    <x v="6"/>
    <x v="475"/>
    <s v="+917369287210"/>
    <x v="0"/>
    <s v="Chandigarh"/>
    <x v="4"/>
    <x v="3"/>
    <x v="10"/>
    <x v="3"/>
    <x v="5"/>
    <n v="2"/>
    <n v="77440"/>
    <n v="154880"/>
    <n v="5"/>
    <n v="147136"/>
    <x v="0"/>
    <x v="2"/>
    <d v="2024-12-15T00:00:00"/>
    <n v="23232"/>
  </r>
  <r>
    <x v="679"/>
    <x v="0"/>
    <x v="209"/>
    <x v="5"/>
    <x v="476"/>
    <s v="+919052249539"/>
    <x v="0"/>
    <s v="Mumbai"/>
    <x v="6"/>
    <x v="3"/>
    <x v="8"/>
    <x v="5"/>
    <x v="10"/>
    <n v="2"/>
    <n v="77440"/>
    <n v="154880"/>
    <n v="5"/>
    <n v="147136"/>
    <x v="3"/>
    <x v="0"/>
    <s v="Not Delivered"/>
    <n v="23232"/>
  </r>
  <r>
    <x v="680"/>
    <x v="0"/>
    <x v="168"/>
    <x v="4"/>
    <x v="477"/>
    <s v="+917217125461"/>
    <x v="0"/>
    <s v="New Delhi"/>
    <x v="0"/>
    <x v="0"/>
    <x v="11"/>
    <x v="1"/>
    <x v="5"/>
    <n v="5"/>
    <n v="77440"/>
    <n v="387200"/>
    <n v="15"/>
    <n v="329120"/>
    <x v="1"/>
    <x v="0"/>
    <s v="Not Delivered"/>
    <n v="58080"/>
  </r>
  <r>
    <x v="681"/>
    <x v="0"/>
    <x v="144"/>
    <x v="0"/>
    <x v="122"/>
    <s v="+917958402172"/>
    <x v="0"/>
    <s v="Udaipur"/>
    <x v="3"/>
    <x v="1"/>
    <x v="20"/>
    <x v="2"/>
    <x v="6"/>
    <n v="4"/>
    <n v="77440"/>
    <n v="309760"/>
    <n v="10"/>
    <n v="278784"/>
    <x v="0"/>
    <x v="1"/>
    <s v="Not Delivered"/>
    <n v="46464"/>
  </r>
  <r>
    <x v="682"/>
    <x v="1"/>
    <x v="178"/>
    <x v="2"/>
    <x v="478"/>
    <s v="+916356586516"/>
    <x v="0"/>
    <s v="Mangalore"/>
    <x v="8"/>
    <x v="0"/>
    <x v="24"/>
    <x v="4"/>
    <x v="4"/>
    <n v="4"/>
    <n v="77440"/>
    <n v="309760"/>
    <n v="15"/>
    <n v="263296"/>
    <x v="1"/>
    <x v="1"/>
    <s v="Not Delivered"/>
    <n v="46464"/>
  </r>
  <r>
    <x v="683"/>
    <x v="1"/>
    <x v="402"/>
    <x v="6"/>
    <x v="338"/>
    <s v="+919342657969"/>
    <x v="0"/>
    <s v="Lucknow"/>
    <x v="1"/>
    <x v="2"/>
    <x v="23"/>
    <x v="4"/>
    <x v="9"/>
    <n v="4"/>
    <n v="77440"/>
    <n v="309760"/>
    <n v="10"/>
    <n v="278784"/>
    <x v="0"/>
    <x v="0"/>
    <s v="Not Delivered"/>
    <n v="46464"/>
  </r>
  <r>
    <x v="684"/>
    <x v="0"/>
    <x v="403"/>
    <x v="7"/>
    <x v="479"/>
    <s v="+916192847076"/>
    <x v="0"/>
    <s v="Coimbatore"/>
    <x v="7"/>
    <x v="2"/>
    <x v="4"/>
    <x v="0"/>
    <x v="2"/>
    <n v="1"/>
    <n v="77440"/>
    <n v="77440"/>
    <n v="0"/>
    <n v="77440"/>
    <x v="3"/>
    <x v="2"/>
    <d v="2025-01-01T00:00:00"/>
    <n v="11616"/>
  </r>
  <r>
    <x v="685"/>
    <x v="0"/>
    <x v="52"/>
    <x v="1"/>
    <x v="296"/>
    <s v="+917168939403"/>
    <x v="0"/>
    <s v="Amritsar"/>
    <x v="4"/>
    <x v="1"/>
    <x v="3"/>
    <x v="2"/>
    <x v="6"/>
    <n v="2"/>
    <n v="77440"/>
    <n v="154880"/>
    <n v="5"/>
    <n v="147136"/>
    <x v="0"/>
    <x v="0"/>
    <s v="Not Delivered"/>
    <n v="23232"/>
  </r>
  <r>
    <x v="686"/>
    <x v="1"/>
    <x v="44"/>
    <x v="5"/>
    <x v="480"/>
    <s v="+918385088852"/>
    <x v="0"/>
    <s v="Vadodara"/>
    <x v="5"/>
    <x v="2"/>
    <x v="2"/>
    <x v="0"/>
    <x v="5"/>
    <n v="3"/>
    <n v="77440"/>
    <n v="232320"/>
    <n v="20"/>
    <n v="185856"/>
    <x v="0"/>
    <x v="2"/>
    <d v="2025-07-25T00:00:00"/>
    <n v="34848"/>
  </r>
  <r>
    <x v="687"/>
    <x v="0"/>
    <x v="404"/>
    <x v="4"/>
    <x v="481"/>
    <s v="+918430571991"/>
    <x v="0"/>
    <s v="Chandigarh"/>
    <x v="4"/>
    <x v="1"/>
    <x v="5"/>
    <x v="1"/>
    <x v="8"/>
    <n v="3"/>
    <n v="77440"/>
    <n v="232320"/>
    <n v="15"/>
    <n v="197472"/>
    <x v="1"/>
    <x v="2"/>
    <d v="2024-01-10T00:00:00"/>
    <n v="34848"/>
  </r>
  <r>
    <x v="688"/>
    <x v="0"/>
    <x v="278"/>
    <x v="1"/>
    <x v="180"/>
    <s v="+917878074285"/>
    <x v="0"/>
    <s v="Rajkot"/>
    <x v="5"/>
    <x v="3"/>
    <x v="18"/>
    <x v="1"/>
    <x v="7"/>
    <n v="1"/>
    <n v="77440"/>
    <n v="77440"/>
    <n v="10"/>
    <n v="69696"/>
    <x v="3"/>
    <x v="2"/>
    <d v="2024-07-24T00:00:00"/>
    <n v="11616"/>
  </r>
  <r>
    <x v="689"/>
    <x v="0"/>
    <x v="33"/>
    <x v="8"/>
    <x v="119"/>
    <s v="+918136119561"/>
    <x v="0"/>
    <s v="Warangal"/>
    <x v="9"/>
    <x v="0"/>
    <x v="18"/>
    <x v="1"/>
    <x v="10"/>
    <n v="3"/>
    <n v="77440"/>
    <n v="232320"/>
    <n v="10"/>
    <n v="209088"/>
    <x v="2"/>
    <x v="1"/>
    <s v="Not Delivered"/>
    <n v="34848"/>
  </r>
  <r>
    <x v="690"/>
    <x v="0"/>
    <x v="405"/>
    <x v="8"/>
    <x v="110"/>
    <s v="+919541074659"/>
    <x v="0"/>
    <s v="Mangalore"/>
    <x v="8"/>
    <x v="0"/>
    <x v="0"/>
    <x v="0"/>
    <x v="6"/>
    <n v="3"/>
    <n v="77440"/>
    <n v="232320"/>
    <n v="15"/>
    <n v="197472"/>
    <x v="1"/>
    <x v="2"/>
    <d v="2024-02-22T00:00:00"/>
    <n v="34848"/>
  </r>
  <r>
    <x v="691"/>
    <x v="1"/>
    <x v="406"/>
    <x v="3"/>
    <x v="354"/>
    <s v="+918351086016"/>
    <x v="0"/>
    <s v="Coimbatore"/>
    <x v="7"/>
    <x v="3"/>
    <x v="7"/>
    <x v="4"/>
    <x v="0"/>
    <n v="5"/>
    <n v="77440"/>
    <n v="387200"/>
    <n v="10"/>
    <n v="348480"/>
    <x v="0"/>
    <x v="0"/>
    <s v="Not Delivered"/>
    <n v="58080"/>
  </r>
  <r>
    <x v="692"/>
    <x v="0"/>
    <x v="407"/>
    <x v="1"/>
    <x v="482"/>
    <s v="+919012499266"/>
    <x v="0"/>
    <s v="Ludhiana"/>
    <x v="4"/>
    <x v="2"/>
    <x v="23"/>
    <x v="4"/>
    <x v="3"/>
    <n v="5"/>
    <n v="77440"/>
    <n v="387200"/>
    <n v="20"/>
    <n v="309760"/>
    <x v="1"/>
    <x v="2"/>
    <d v="2024-03-16T00:00:00"/>
    <n v="58080"/>
  </r>
  <r>
    <x v="693"/>
    <x v="0"/>
    <x v="300"/>
    <x v="2"/>
    <x v="483"/>
    <s v="+919251539520"/>
    <x v="0"/>
    <s v="Kolkata"/>
    <x v="2"/>
    <x v="0"/>
    <x v="7"/>
    <x v="4"/>
    <x v="3"/>
    <n v="1"/>
    <n v="77440"/>
    <n v="77440"/>
    <n v="0"/>
    <n v="77440"/>
    <x v="0"/>
    <x v="0"/>
    <s v="Not Delivered"/>
    <n v="11616"/>
  </r>
  <r>
    <x v="694"/>
    <x v="0"/>
    <x v="374"/>
    <x v="3"/>
    <x v="484"/>
    <s v="+919244990846"/>
    <x v="0"/>
    <s v="Amritsar"/>
    <x v="4"/>
    <x v="1"/>
    <x v="12"/>
    <x v="2"/>
    <x v="2"/>
    <n v="5"/>
    <n v="77440"/>
    <n v="387200"/>
    <n v="0"/>
    <n v="387200"/>
    <x v="1"/>
    <x v="2"/>
    <d v="2024-06-23T00:00:00"/>
    <n v="58080"/>
  </r>
  <r>
    <x v="695"/>
    <x v="0"/>
    <x v="243"/>
    <x v="5"/>
    <x v="485"/>
    <s v="+916675277387"/>
    <x v="0"/>
    <s v="Nizamabad"/>
    <x v="9"/>
    <x v="1"/>
    <x v="26"/>
    <x v="4"/>
    <x v="11"/>
    <n v="4"/>
    <n v="77440"/>
    <n v="309760"/>
    <n v="0"/>
    <n v="309760"/>
    <x v="1"/>
    <x v="1"/>
    <s v="Not Delivered"/>
    <n v="46464"/>
  </r>
  <r>
    <x v="696"/>
    <x v="1"/>
    <x v="32"/>
    <x v="0"/>
    <x v="486"/>
    <s v="+919647691031"/>
    <x v="0"/>
    <s v="Ahmedabad"/>
    <x v="5"/>
    <x v="1"/>
    <x v="25"/>
    <x v="3"/>
    <x v="4"/>
    <n v="4"/>
    <n v="77440"/>
    <n v="309760"/>
    <n v="15"/>
    <n v="263296"/>
    <x v="1"/>
    <x v="1"/>
    <s v="Not Delivered"/>
    <n v="46464"/>
  </r>
  <r>
    <x v="697"/>
    <x v="1"/>
    <x v="327"/>
    <x v="2"/>
    <x v="487"/>
    <s v="+918481355964"/>
    <x v="0"/>
    <s v="Rajkot"/>
    <x v="5"/>
    <x v="2"/>
    <x v="9"/>
    <x v="3"/>
    <x v="5"/>
    <n v="5"/>
    <n v="77440"/>
    <n v="387200"/>
    <n v="15"/>
    <n v="329120"/>
    <x v="3"/>
    <x v="1"/>
    <s v="Not Delivered"/>
    <n v="58080"/>
  </r>
  <r>
    <x v="698"/>
    <x v="0"/>
    <x v="399"/>
    <x v="9"/>
    <x v="416"/>
    <s v="+919997606799"/>
    <x v="0"/>
    <s v="Coimbatore"/>
    <x v="7"/>
    <x v="2"/>
    <x v="14"/>
    <x v="1"/>
    <x v="4"/>
    <n v="4"/>
    <n v="77440"/>
    <n v="309760"/>
    <n v="15"/>
    <n v="263296"/>
    <x v="2"/>
    <x v="0"/>
    <s v="Not Delivered"/>
    <n v="46464"/>
  </r>
  <r>
    <x v="699"/>
    <x v="1"/>
    <x v="150"/>
    <x v="7"/>
    <x v="200"/>
    <s v="+917280872862"/>
    <x v="0"/>
    <s v="Jodhpur"/>
    <x v="3"/>
    <x v="3"/>
    <x v="12"/>
    <x v="2"/>
    <x v="11"/>
    <n v="3"/>
    <n v="77440"/>
    <n v="232320"/>
    <n v="10"/>
    <n v="209088"/>
    <x v="0"/>
    <x v="2"/>
    <d v="2025-07-30T00:00:00"/>
    <n v="34848"/>
  </r>
  <r>
    <x v="700"/>
    <x v="1"/>
    <x v="340"/>
    <x v="0"/>
    <x v="488"/>
    <s v="+916859854611"/>
    <x v="0"/>
    <s v="Kolkata"/>
    <x v="2"/>
    <x v="2"/>
    <x v="26"/>
    <x v="4"/>
    <x v="10"/>
    <n v="3"/>
    <n v="77440"/>
    <n v="232320"/>
    <n v="5"/>
    <n v="220704"/>
    <x v="1"/>
    <x v="1"/>
    <s v="Not Delivered"/>
    <n v="34848"/>
  </r>
  <r>
    <x v="701"/>
    <x v="0"/>
    <x v="408"/>
    <x v="7"/>
    <x v="140"/>
    <s v="+916131342662"/>
    <x v="0"/>
    <s v="Coimbatore"/>
    <x v="7"/>
    <x v="2"/>
    <x v="6"/>
    <x v="3"/>
    <x v="8"/>
    <n v="4"/>
    <n v="77440"/>
    <n v="309760"/>
    <n v="20"/>
    <n v="247808"/>
    <x v="2"/>
    <x v="2"/>
    <d v="2024-03-01T00:00:00"/>
    <n v="46464"/>
  </r>
  <r>
    <x v="702"/>
    <x v="0"/>
    <x v="339"/>
    <x v="2"/>
    <x v="471"/>
    <s v="+918692160347"/>
    <x v="0"/>
    <s v="New Delhi"/>
    <x v="0"/>
    <x v="1"/>
    <x v="25"/>
    <x v="3"/>
    <x v="9"/>
    <n v="4"/>
    <n v="77440"/>
    <n v="309760"/>
    <n v="20"/>
    <n v="247808"/>
    <x v="1"/>
    <x v="1"/>
    <s v="Not Delivered"/>
    <n v="46464"/>
  </r>
  <r>
    <x v="703"/>
    <x v="0"/>
    <x v="300"/>
    <x v="5"/>
    <x v="489"/>
    <s v="+919029001862"/>
    <x v="0"/>
    <s v="Rajkot"/>
    <x v="5"/>
    <x v="1"/>
    <x v="19"/>
    <x v="3"/>
    <x v="9"/>
    <n v="1"/>
    <n v="77440"/>
    <n v="77440"/>
    <n v="20"/>
    <n v="61952"/>
    <x v="3"/>
    <x v="1"/>
    <s v="Not Delivered"/>
    <n v="11616"/>
  </r>
  <r>
    <x v="704"/>
    <x v="0"/>
    <x v="392"/>
    <x v="4"/>
    <x v="490"/>
    <s v="+917866349709"/>
    <x v="0"/>
    <s v="Vadodara"/>
    <x v="5"/>
    <x v="1"/>
    <x v="8"/>
    <x v="5"/>
    <x v="2"/>
    <n v="3"/>
    <n v="77440"/>
    <n v="232320"/>
    <n v="5"/>
    <n v="220704"/>
    <x v="1"/>
    <x v="0"/>
    <s v="Not Delivered"/>
    <n v="34848"/>
  </r>
  <r>
    <x v="705"/>
    <x v="1"/>
    <x v="140"/>
    <x v="8"/>
    <x v="491"/>
    <s v="+916103154166"/>
    <x v="0"/>
    <s v="Howrah"/>
    <x v="2"/>
    <x v="1"/>
    <x v="27"/>
    <x v="5"/>
    <x v="3"/>
    <n v="2"/>
    <n v="77440"/>
    <n v="154880"/>
    <n v="5"/>
    <n v="147136"/>
    <x v="3"/>
    <x v="0"/>
    <s v="Not Delivered"/>
    <n v="23232"/>
  </r>
  <r>
    <x v="706"/>
    <x v="0"/>
    <x v="409"/>
    <x v="1"/>
    <x v="144"/>
    <s v="+917196134306"/>
    <x v="0"/>
    <s v="Madurai"/>
    <x v="7"/>
    <x v="1"/>
    <x v="0"/>
    <x v="0"/>
    <x v="6"/>
    <n v="4"/>
    <n v="77440"/>
    <n v="309760"/>
    <n v="0"/>
    <n v="309760"/>
    <x v="3"/>
    <x v="0"/>
    <s v="Not Delivered"/>
    <n v="46464"/>
  </r>
  <r>
    <x v="707"/>
    <x v="1"/>
    <x v="242"/>
    <x v="5"/>
    <x v="492"/>
    <s v="+919059659693"/>
    <x v="0"/>
    <s v="Amritsar"/>
    <x v="4"/>
    <x v="2"/>
    <x v="2"/>
    <x v="0"/>
    <x v="2"/>
    <n v="5"/>
    <n v="77440"/>
    <n v="387200"/>
    <n v="0"/>
    <n v="387200"/>
    <x v="0"/>
    <x v="0"/>
    <s v="Not Delivered"/>
    <n v="58080"/>
  </r>
  <r>
    <x v="708"/>
    <x v="0"/>
    <x v="191"/>
    <x v="1"/>
    <x v="493"/>
    <s v="+916900017259"/>
    <x v="0"/>
    <s v="Chennai"/>
    <x v="7"/>
    <x v="2"/>
    <x v="27"/>
    <x v="5"/>
    <x v="7"/>
    <n v="2"/>
    <n v="77440"/>
    <n v="154880"/>
    <n v="10"/>
    <n v="139392"/>
    <x v="0"/>
    <x v="0"/>
    <s v="Not Delivered"/>
    <n v="23232"/>
  </r>
  <r>
    <x v="709"/>
    <x v="0"/>
    <x v="114"/>
    <x v="9"/>
    <x v="494"/>
    <s v="+919270683070"/>
    <x v="0"/>
    <s v="Varanasi"/>
    <x v="1"/>
    <x v="3"/>
    <x v="11"/>
    <x v="1"/>
    <x v="3"/>
    <n v="5"/>
    <n v="77440"/>
    <n v="387200"/>
    <n v="5"/>
    <n v="367840"/>
    <x v="0"/>
    <x v="0"/>
    <s v="Not Delivered"/>
    <n v="58080"/>
  </r>
  <r>
    <x v="710"/>
    <x v="1"/>
    <x v="410"/>
    <x v="0"/>
    <x v="426"/>
    <s v="+919885817520"/>
    <x v="0"/>
    <s v="Howrah"/>
    <x v="2"/>
    <x v="3"/>
    <x v="0"/>
    <x v="0"/>
    <x v="5"/>
    <n v="4"/>
    <n v="77440"/>
    <n v="309760"/>
    <n v="15"/>
    <n v="263296"/>
    <x v="2"/>
    <x v="2"/>
    <d v="2025-03-18T00:00:00"/>
    <n v="46464"/>
  </r>
  <r>
    <x v="711"/>
    <x v="0"/>
    <x v="88"/>
    <x v="6"/>
    <x v="495"/>
    <s v="+917898634733"/>
    <x v="0"/>
    <s v="Jaipur"/>
    <x v="3"/>
    <x v="3"/>
    <x v="8"/>
    <x v="5"/>
    <x v="2"/>
    <n v="4"/>
    <n v="77440"/>
    <n v="309760"/>
    <n v="0"/>
    <n v="309760"/>
    <x v="2"/>
    <x v="2"/>
    <d v="2024-09-05T00:00:00"/>
    <n v="46464"/>
  </r>
  <r>
    <x v="712"/>
    <x v="0"/>
    <x v="267"/>
    <x v="2"/>
    <x v="496"/>
    <s v="+916142029437"/>
    <x v="0"/>
    <s v="New Delhi"/>
    <x v="0"/>
    <x v="2"/>
    <x v="27"/>
    <x v="5"/>
    <x v="11"/>
    <n v="1"/>
    <n v="77440"/>
    <n v="77440"/>
    <n v="0"/>
    <n v="77440"/>
    <x v="3"/>
    <x v="1"/>
    <s v="Not Delivered"/>
    <n v="11616"/>
  </r>
  <r>
    <x v="713"/>
    <x v="1"/>
    <x v="152"/>
    <x v="9"/>
    <x v="207"/>
    <s v="+919376493745"/>
    <x v="0"/>
    <s v="Chandigarh"/>
    <x v="4"/>
    <x v="1"/>
    <x v="26"/>
    <x v="4"/>
    <x v="1"/>
    <n v="4"/>
    <n v="77440"/>
    <n v="309760"/>
    <n v="15"/>
    <n v="263296"/>
    <x v="0"/>
    <x v="1"/>
    <s v="Not Delivered"/>
    <n v="46464"/>
  </r>
  <r>
    <x v="714"/>
    <x v="1"/>
    <x v="411"/>
    <x v="7"/>
    <x v="396"/>
    <s v="+918335272041"/>
    <x v="0"/>
    <s v="Mangalore"/>
    <x v="8"/>
    <x v="3"/>
    <x v="27"/>
    <x v="5"/>
    <x v="6"/>
    <n v="2"/>
    <n v="77440"/>
    <n v="154880"/>
    <n v="15"/>
    <n v="131648"/>
    <x v="2"/>
    <x v="2"/>
    <d v="2025-01-29T00:00:00"/>
    <n v="23232"/>
  </r>
  <r>
    <x v="715"/>
    <x v="0"/>
    <x v="412"/>
    <x v="6"/>
    <x v="497"/>
    <s v="+917597012105"/>
    <x v="0"/>
    <s v="Ludhiana"/>
    <x v="4"/>
    <x v="1"/>
    <x v="16"/>
    <x v="5"/>
    <x v="11"/>
    <n v="5"/>
    <n v="77440"/>
    <n v="387200"/>
    <n v="20"/>
    <n v="309760"/>
    <x v="1"/>
    <x v="1"/>
    <s v="Not Delivered"/>
    <n v="58080"/>
  </r>
  <r>
    <x v="716"/>
    <x v="1"/>
    <x v="165"/>
    <x v="1"/>
    <x v="498"/>
    <s v="+918979861739"/>
    <x v="0"/>
    <s v="Kolkata"/>
    <x v="2"/>
    <x v="2"/>
    <x v="11"/>
    <x v="1"/>
    <x v="11"/>
    <n v="5"/>
    <n v="77440"/>
    <n v="387200"/>
    <n v="20"/>
    <n v="309760"/>
    <x v="1"/>
    <x v="0"/>
    <s v="Not Delivered"/>
    <n v="58080"/>
  </r>
  <r>
    <x v="717"/>
    <x v="1"/>
    <x v="279"/>
    <x v="0"/>
    <x v="28"/>
    <s v="+916443731012"/>
    <x v="0"/>
    <s v="Rajkot"/>
    <x v="5"/>
    <x v="3"/>
    <x v="18"/>
    <x v="1"/>
    <x v="0"/>
    <n v="2"/>
    <n v="77440"/>
    <n v="154880"/>
    <n v="5"/>
    <n v="147136"/>
    <x v="3"/>
    <x v="0"/>
    <s v="Not Delivered"/>
    <n v="23232"/>
  </r>
  <r>
    <x v="718"/>
    <x v="1"/>
    <x v="48"/>
    <x v="9"/>
    <x v="499"/>
    <s v="+917555209159"/>
    <x v="0"/>
    <s v="Chandigarh"/>
    <x v="4"/>
    <x v="0"/>
    <x v="2"/>
    <x v="0"/>
    <x v="11"/>
    <n v="4"/>
    <n v="77440"/>
    <n v="309760"/>
    <n v="10"/>
    <n v="278784"/>
    <x v="2"/>
    <x v="2"/>
    <d v="2025-06-04T00:00:00"/>
    <n v="46464"/>
  </r>
  <r>
    <x v="719"/>
    <x v="0"/>
    <x v="380"/>
    <x v="5"/>
    <x v="170"/>
    <s v="+916628793566"/>
    <x v="0"/>
    <s v="Jaipur"/>
    <x v="3"/>
    <x v="2"/>
    <x v="21"/>
    <x v="5"/>
    <x v="8"/>
    <n v="3"/>
    <n v="77440"/>
    <n v="232320"/>
    <n v="20"/>
    <n v="185856"/>
    <x v="0"/>
    <x v="2"/>
    <d v="2024-01-22T00:00:00"/>
    <n v="34848"/>
  </r>
  <r>
    <x v="720"/>
    <x v="0"/>
    <x v="114"/>
    <x v="3"/>
    <x v="469"/>
    <s v="+918968276907"/>
    <x v="0"/>
    <s v="Udaipur"/>
    <x v="3"/>
    <x v="1"/>
    <x v="16"/>
    <x v="5"/>
    <x v="4"/>
    <n v="1"/>
    <n v="77440"/>
    <n v="77440"/>
    <n v="20"/>
    <n v="61952"/>
    <x v="2"/>
    <x v="1"/>
    <s v="Not Delivered"/>
    <n v="11616"/>
  </r>
  <r>
    <x v="721"/>
    <x v="1"/>
    <x v="220"/>
    <x v="4"/>
    <x v="500"/>
    <s v="+917057544276"/>
    <x v="0"/>
    <s v="Chandigarh"/>
    <x v="4"/>
    <x v="3"/>
    <x v="4"/>
    <x v="0"/>
    <x v="4"/>
    <n v="1"/>
    <n v="77440"/>
    <n v="77440"/>
    <n v="20"/>
    <n v="61952"/>
    <x v="1"/>
    <x v="0"/>
    <s v="Not Delivered"/>
    <n v="11616"/>
  </r>
  <r>
    <x v="722"/>
    <x v="1"/>
    <x v="413"/>
    <x v="4"/>
    <x v="498"/>
    <s v="+919947038182"/>
    <x v="0"/>
    <s v="Lucknow"/>
    <x v="1"/>
    <x v="2"/>
    <x v="23"/>
    <x v="4"/>
    <x v="3"/>
    <n v="4"/>
    <n v="77440"/>
    <n v="309760"/>
    <n v="20"/>
    <n v="247808"/>
    <x v="1"/>
    <x v="1"/>
    <s v="Not Delivered"/>
    <n v="46464"/>
  </r>
  <r>
    <x v="723"/>
    <x v="0"/>
    <x v="414"/>
    <x v="3"/>
    <x v="501"/>
    <s v="+919764318615"/>
    <x v="0"/>
    <s v="New Delhi"/>
    <x v="0"/>
    <x v="2"/>
    <x v="1"/>
    <x v="1"/>
    <x v="10"/>
    <n v="3"/>
    <n v="77440"/>
    <n v="232320"/>
    <n v="20"/>
    <n v="185856"/>
    <x v="2"/>
    <x v="2"/>
    <d v="2024-03-14T00:00:00"/>
    <n v="34848"/>
  </r>
  <r>
    <x v="724"/>
    <x v="0"/>
    <x v="415"/>
    <x v="8"/>
    <x v="318"/>
    <s v="+918114285994"/>
    <x v="0"/>
    <s v="Warangal"/>
    <x v="9"/>
    <x v="3"/>
    <x v="10"/>
    <x v="3"/>
    <x v="3"/>
    <n v="1"/>
    <n v="77440"/>
    <n v="77440"/>
    <n v="0"/>
    <n v="77440"/>
    <x v="1"/>
    <x v="2"/>
    <d v="2024-10-11T00:00:00"/>
    <n v="11616"/>
  </r>
  <r>
    <x v="725"/>
    <x v="0"/>
    <x v="109"/>
    <x v="1"/>
    <x v="107"/>
    <s v="+918197976029"/>
    <x v="0"/>
    <s v="New Delhi"/>
    <x v="0"/>
    <x v="2"/>
    <x v="3"/>
    <x v="2"/>
    <x v="3"/>
    <n v="2"/>
    <n v="77440"/>
    <n v="154880"/>
    <n v="10"/>
    <n v="139392"/>
    <x v="1"/>
    <x v="0"/>
    <s v="Not Delivered"/>
    <n v="23232"/>
  </r>
  <r>
    <x v="726"/>
    <x v="0"/>
    <x v="392"/>
    <x v="3"/>
    <x v="502"/>
    <s v="+916514705401"/>
    <x v="0"/>
    <s v="Nashik"/>
    <x v="6"/>
    <x v="2"/>
    <x v="2"/>
    <x v="0"/>
    <x v="6"/>
    <n v="1"/>
    <n v="77440"/>
    <n v="77440"/>
    <n v="10"/>
    <n v="69696"/>
    <x v="0"/>
    <x v="0"/>
    <s v="Not Delivered"/>
    <n v="11616"/>
  </r>
  <r>
    <x v="727"/>
    <x v="1"/>
    <x v="140"/>
    <x v="1"/>
    <x v="503"/>
    <s v="+918316688060"/>
    <x v="0"/>
    <s v="Chennai"/>
    <x v="7"/>
    <x v="1"/>
    <x v="23"/>
    <x v="4"/>
    <x v="7"/>
    <n v="5"/>
    <n v="77440"/>
    <n v="387200"/>
    <n v="0"/>
    <n v="387200"/>
    <x v="0"/>
    <x v="0"/>
    <s v="Not Delivered"/>
    <n v="58080"/>
  </r>
  <r>
    <x v="728"/>
    <x v="0"/>
    <x v="129"/>
    <x v="2"/>
    <x v="504"/>
    <s v="+919809879073"/>
    <x v="0"/>
    <s v="Chandigarh"/>
    <x v="4"/>
    <x v="3"/>
    <x v="15"/>
    <x v="4"/>
    <x v="0"/>
    <n v="5"/>
    <n v="77440"/>
    <n v="387200"/>
    <n v="15"/>
    <n v="329120"/>
    <x v="1"/>
    <x v="2"/>
    <d v="2025-01-06T00:00:00"/>
    <n v="58080"/>
  </r>
  <r>
    <x v="729"/>
    <x v="0"/>
    <x v="187"/>
    <x v="3"/>
    <x v="505"/>
    <s v="+919007496873"/>
    <x v="0"/>
    <s v="Pune"/>
    <x v="6"/>
    <x v="3"/>
    <x v="2"/>
    <x v="0"/>
    <x v="2"/>
    <n v="5"/>
    <n v="77440"/>
    <n v="387200"/>
    <n v="0"/>
    <n v="387200"/>
    <x v="1"/>
    <x v="0"/>
    <s v="Not Delivered"/>
    <n v="58080"/>
  </r>
  <r>
    <x v="730"/>
    <x v="1"/>
    <x v="391"/>
    <x v="7"/>
    <x v="315"/>
    <s v="+919778227659"/>
    <x v="0"/>
    <s v="Howrah"/>
    <x v="2"/>
    <x v="0"/>
    <x v="8"/>
    <x v="5"/>
    <x v="0"/>
    <n v="5"/>
    <n v="77440"/>
    <n v="387200"/>
    <n v="20"/>
    <n v="309760"/>
    <x v="2"/>
    <x v="1"/>
    <s v="Not Delivered"/>
    <n v="58080"/>
  </r>
  <r>
    <x v="731"/>
    <x v="0"/>
    <x v="46"/>
    <x v="0"/>
    <x v="506"/>
    <s v="+916799854594"/>
    <x v="0"/>
    <s v="Vadodara"/>
    <x v="5"/>
    <x v="3"/>
    <x v="12"/>
    <x v="2"/>
    <x v="3"/>
    <n v="5"/>
    <n v="77440"/>
    <n v="387200"/>
    <n v="20"/>
    <n v="309760"/>
    <x v="3"/>
    <x v="0"/>
    <s v="Not Delivered"/>
    <n v="58080"/>
  </r>
  <r>
    <x v="732"/>
    <x v="1"/>
    <x v="60"/>
    <x v="0"/>
    <x v="507"/>
    <s v="+916017779209"/>
    <x v="0"/>
    <s v="Coimbatore"/>
    <x v="7"/>
    <x v="2"/>
    <x v="23"/>
    <x v="4"/>
    <x v="4"/>
    <n v="4"/>
    <n v="77440"/>
    <n v="309760"/>
    <n v="5"/>
    <n v="294272"/>
    <x v="0"/>
    <x v="2"/>
    <d v="2025-03-13T00:00:00"/>
    <n v="46464"/>
  </r>
  <r>
    <x v="733"/>
    <x v="1"/>
    <x v="350"/>
    <x v="3"/>
    <x v="182"/>
    <s v="+916287569709"/>
    <x v="0"/>
    <s v="Howrah"/>
    <x v="2"/>
    <x v="3"/>
    <x v="24"/>
    <x v="4"/>
    <x v="1"/>
    <n v="1"/>
    <n v="77440"/>
    <n v="77440"/>
    <n v="5"/>
    <n v="73568"/>
    <x v="2"/>
    <x v="1"/>
    <s v="Not Delivered"/>
    <n v="11616"/>
  </r>
  <r>
    <x v="734"/>
    <x v="0"/>
    <x v="416"/>
    <x v="5"/>
    <x v="508"/>
    <s v="+918196906700"/>
    <x v="0"/>
    <s v="New Delhi"/>
    <x v="0"/>
    <x v="1"/>
    <x v="10"/>
    <x v="3"/>
    <x v="0"/>
    <n v="5"/>
    <n v="77440"/>
    <n v="387200"/>
    <n v="0"/>
    <n v="387200"/>
    <x v="0"/>
    <x v="0"/>
    <s v="Not Delivered"/>
    <n v="58080"/>
  </r>
  <r>
    <x v="735"/>
    <x v="0"/>
    <x v="63"/>
    <x v="5"/>
    <x v="264"/>
    <s v="+917155646868"/>
    <x v="0"/>
    <s v="Mangalore"/>
    <x v="8"/>
    <x v="1"/>
    <x v="6"/>
    <x v="3"/>
    <x v="5"/>
    <n v="3"/>
    <n v="77440"/>
    <n v="232320"/>
    <n v="15"/>
    <n v="197472"/>
    <x v="0"/>
    <x v="1"/>
    <s v="Not Delivered"/>
    <n v="34848"/>
  </r>
  <r>
    <x v="736"/>
    <x v="0"/>
    <x v="39"/>
    <x v="2"/>
    <x v="509"/>
    <s v="+919149070900"/>
    <x v="0"/>
    <s v="Jaipur"/>
    <x v="3"/>
    <x v="2"/>
    <x v="27"/>
    <x v="5"/>
    <x v="2"/>
    <n v="2"/>
    <n v="77440"/>
    <n v="154880"/>
    <n v="0"/>
    <n v="154880"/>
    <x v="1"/>
    <x v="2"/>
    <d v="2024-09-09T00:00:00"/>
    <n v="23232"/>
  </r>
  <r>
    <x v="737"/>
    <x v="1"/>
    <x v="417"/>
    <x v="4"/>
    <x v="226"/>
    <s v="+917145246937"/>
    <x v="0"/>
    <s v="Nizamabad"/>
    <x v="9"/>
    <x v="2"/>
    <x v="21"/>
    <x v="5"/>
    <x v="2"/>
    <n v="4"/>
    <n v="77440"/>
    <n v="309760"/>
    <n v="20"/>
    <n v="247808"/>
    <x v="1"/>
    <x v="1"/>
    <s v="Not Delivered"/>
    <n v="46464"/>
  </r>
  <r>
    <x v="738"/>
    <x v="0"/>
    <x v="356"/>
    <x v="8"/>
    <x v="494"/>
    <s v="+919821306830"/>
    <x v="0"/>
    <s v="Jaipur"/>
    <x v="3"/>
    <x v="3"/>
    <x v="2"/>
    <x v="0"/>
    <x v="9"/>
    <n v="4"/>
    <n v="77440"/>
    <n v="309760"/>
    <n v="15"/>
    <n v="263296"/>
    <x v="0"/>
    <x v="0"/>
    <s v="Not Delivered"/>
    <n v="46464"/>
  </r>
  <r>
    <x v="739"/>
    <x v="1"/>
    <x v="298"/>
    <x v="5"/>
    <x v="280"/>
    <s v="+916290910172"/>
    <x v="0"/>
    <s v="Warangal"/>
    <x v="9"/>
    <x v="3"/>
    <x v="13"/>
    <x v="5"/>
    <x v="6"/>
    <n v="5"/>
    <n v="77440"/>
    <n v="387200"/>
    <n v="15"/>
    <n v="329120"/>
    <x v="2"/>
    <x v="1"/>
    <s v="Not Delivered"/>
    <n v="58080"/>
  </r>
  <r>
    <x v="740"/>
    <x v="1"/>
    <x v="367"/>
    <x v="1"/>
    <x v="127"/>
    <s v="+919313178238"/>
    <x v="0"/>
    <s v="Vadodara"/>
    <x v="5"/>
    <x v="1"/>
    <x v="5"/>
    <x v="1"/>
    <x v="11"/>
    <n v="5"/>
    <n v="77440"/>
    <n v="387200"/>
    <n v="0"/>
    <n v="387200"/>
    <x v="2"/>
    <x v="1"/>
    <s v="Not Delivered"/>
    <n v="58080"/>
  </r>
  <r>
    <x v="741"/>
    <x v="0"/>
    <x v="266"/>
    <x v="3"/>
    <x v="160"/>
    <s v="+916767916167"/>
    <x v="0"/>
    <s v="Nizamabad"/>
    <x v="9"/>
    <x v="2"/>
    <x v="27"/>
    <x v="5"/>
    <x v="7"/>
    <n v="5"/>
    <n v="77440"/>
    <n v="387200"/>
    <n v="15"/>
    <n v="329120"/>
    <x v="2"/>
    <x v="0"/>
    <s v="Not Delivered"/>
    <n v="58080"/>
  </r>
  <r>
    <x v="742"/>
    <x v="0"/>
    <x v="383"/>
    <x v="6"/>
    <x v="499"/>
    <s v="+916647518775"/>
    <x v="0"/>
    <s v="Warangal"/>
    <x v="9"/>
    <x v="2"/>
    <x v="16"/>
    <x v="5"/>
    <x v="3"/>
    <n v="3"/>
    <n v="77440"/>
    <n v="232320"/>
    <n v="0"/>
    <n v="232320"/>
    <x v="0"/>
    <x v="0"/>
    <s v="Not Delivered"/>
    <n v="34848"/>
  </r>
  <r>
    <x v="743"/>
    <x v="0"/>
    <x v="418"/>
    <x v="6"/>
    <x v="510"/>
    <s v="+917271096162"/>
    <x v="0"/>
    <s v="Noida"/>
    <x v="1"/>
    <x v="1"/>
    <x v="14"/>
    <x v="1"/>
    <x v="4"/>
    <n v="1"/>
    <n v="77440"/>
    <n v="77440"/>
    <n v="10"/>
    <n v="69696"/>
    <x v="1"/>
    <x v="1"/>
    <s v="Not Delivered"/>
    <n v="11616"/>
  </r>
  <r>
    <x v="744"/>
    <x v="1"/>
    <x v="419"/>
    <x v="8"/>
    <x v="269"/>
    <s v="+917412060998"/>
    <x v="0"/>
    <s v="Warangal"/>
    <x v="9"/>
    <x v="1"/>
    <x v="19"/>
    <x v="3"/>
    <x v="4"/>
    <n v="3"/>
    <n v="77440"/>
    <n v="232320"/>
    <n v="20"/>
    <n v="185856"/>
    <x v="1"/>
    <x v="0"/>
    <s v="Not Delivered"/>
    <n v="34848"/>
  </r>
  <r>
    <x v="745"/>
    <x v="1"/>
    <x v="361"/>
    <x v="6"/>
    <x v="511"/>
    <s v="+919118730555"/>
    <x v="0"/>
    <s v="Udaipur"/>
    <x v="3"/>
    <x v="3"/>
    <x v="17"/>
    <x v="2"/>
    <x v="1"/>
    <n v="4"/>
    <n v="77440"/>
    <n v="309760"/>
    <n v="20"/>
    <n v="247808"/>
    <x v="3"/>
    <x v="0"/>
    <s v="Not Delivered"/>
    <n v="46464"/>
  </r>
  <r>
    <x v="746"/>
    <x v="0"/>
    <x v="93"/>
    <x v="8"/>
    <x v="512"/>
    <s v="+917232563132"/>
    <x v="0"/>
    <s v="Mumbai"/>
    <x v="6"/>
    <x v="0"/>
    <x v="11"/>
    <x v="1"/>
    <x v="11"/>
    <n v="3"/>
    <n v="77440"/>
    <n v="232320"/>
    <n v="10"/>
    <n v="209088"/>
    <x v="0"/>
    <x v="0"/>
    <s v="Not Delivered"/>
    <n v="34848"/>
  </r>
  <r>
    <x v="747"/>
    <x v="0"/>
    <x v="250"/>
    <x v="9"/>
    <x v="481"/>
    <s v="+916615864203"/>
    <x v="0"/>
    <s v="Mangalore"/>
    <x v="8"/>
    <x v="2"/>
    <x v="9"/>
    <x v="3"/>
    <x v="2"/>
    <n v="5"/>
    <n v="77440"/>
    <n v="387200"/>
    <n v="10"/>
    <n v="348480"/>
    <x v="3"/>
    <x v="1"/>
    <s v="Not Delivered"/>
    <n v="58080"/>
  </r>
  <r>
    <x v="748"/>
    <x v="1"/>
    <x v="294"/>
    <x v="7"/>
    <x v="385"/>
    <s v="+917733370590"/>
    <x v="0"/>
    <s v="Hyderabad"/>
    <x v="9"/>
    <x v="3"/>
    <x v="7"/>
    <x v="4"/>
    <x v="4"/>
    <n v="5"/>
    <n v="77440"/>
    <n v="387200"/>
    <n v="10"/>
    <n v="348480"/>
    <x v="2"/>
    <x v="0"/>
    <s v="Not Delivered"/>
    <n v="58080"/>
  </r>
  <r>
    <x v="749"/>
    <x v="0"/>
    <x v="420"/>
    <x v="5"/>
    <x v="513"/>
    <s v="+916234719850"/>
    <x v="0"/>
    <s v="Noida"/>
    <x v="1"/>
    <x v="2"/>
    <x v="20"/>
    <x v="2"/>
    <x v="7"/>
    <n v="3"/>
    <n v="77440"/>
    <n v="232320"/>
    <n v="0"/>
    <n v="232320"/>
    <x v="2"/>
    <x v="2"/>
    <d v="2024-02-07T00:00:00"/>
    <n v="34848"/>
  </r>
  <r>
    <x v="750"/>
    <x v="0"/>
    <x v="272"/>
    <x v="5"/>
    <x v="50"/>
    <s v="+919235087986"/>
    <x v="0"/>
    <s v="Amritsar"/>
    <x v="4"/>
    <x v="3"/>
    <x v="10"/>
    <x v="3"/>
    <x v="11"/>
    <n v="5"/>
    <n v="77440"/>
    <n v="387200"/>
    <n v="5"/>
    <n v="367840"/>
    <x v="1"/>
    <x v="2"/>
    <d v="2024-04-26T00:00:00"/>
    <n v="58080"/>
  </r>
  <r>
    <x v="751"/>
    <x v="0"/>
    <x v="14"/>
    <x v="7"/>
    <x v="197"/>
    <s v="+919638489236"/>
    <x v="0"/>
    <s v="Hyderabad"/>
    <x v="9"/>
    <x v="2"/>
    <x v="27"/>
    <x v="5"/>
    <x v="4"/>
    <n v="4"/>
    <n v="77440"/>
    <n v="309760"/>
    <n v="10"/>
    <n v="278784"/>
    <x v="1"/>
    <x v="2"/>
    <d v="2024-06-30T00:00:00"/>
    <n v="46464"/>
  </r>
  <r>
    <x v="752"/>
    <x v="0"/>
    <x v="131"/>
    <x v="5"/>
    <x v="514"/>
    <s v="+916494366026"/>
    <x v="0"/>
    <s v="Coimbatore"/>
    <x v="7"/>
    <x v="3"/>
    <x v="16"/>
    <x v="5"/>
    <x v="6"/>
    <n v="1"/>
    <n v="77440"/>
    <n v="77440"/>
    <n v="5"/>
    <n v="73568"/>
    <x v="0"/>
    <x v="1"/>
    <s v="Not Delivered"/>
    <n v="11616"/>
  </r>
  <r>
    <x v="753"/>
    <x v="0"/>
    <x v="385"/>
    <x v="7"/>
    <x v="120"/>
    <s v="+916476323814"/>
    <x v="0"/>
    <s v="Ahmedabad"/>
    <x v="5"/>
    <x v="2"/>
    <x v="1"/>
    <x v="1"/>
    <x v="3"/>
    <n v="5"/>
    <n v="77440"/>
    <n v="387200"/>
    <n v="5"/>
    <n v="367840"/>
    <x v="1"/>
    <x v="2"/>
    <d v="2024-12-24T00:00:00"/>
    <n v="58080"/>
  </r>
  <r>
    <x v="754"/>
    <x v="0"/>
    <x v="71"/>
    <x v="8"/>
    <x v="515"/>
    <s v="+917205034712"/>
    <x v="0"/>
    <s v="Coimbatore"/>
    <x v="7"/>
    <x v="0"/>
    <x v="19"/>
    <x v="3"/>
    <x v="5"/>
    <n v="4"/>
    <n v="77440"/>
    <n v="309760"/>
    <n v="20"/>
    <n v="247808"/>
    <x v="0"/>
    <x v="1"/>
    <s v="Not Delivered"/>
    <n v="46464"/>
  </r>
  <r>
    <x v="755"/>
    <x v="1"/>
    <x v="345"/>
    <x v="5"/>
    <x v="516"/>
    <s v="+919549489895"/>
    <x v="0"/>
    <s v="New Delhi"/>
    <x v="0"/>
    <x v="3"/>
    <x v="6"/>
    <x v="3"/>
    <x v="7"/>
    <n v="2"/>
    <n v="77440"/>
    <n v="154880"/>
    <n v="5"/>
    <n v="147136"/>
    <x v="0"/>
    <x v="1"/>
    <s v="Not Delivered"/>
    <n v="23232"/>
  </r>
  <r>
    <x v="756"/>
    <x v="0"/>
    <x v="346"/>
    <x v="1"/>
    <x v="366"/>
    <s v="+917203201859"/>
    <x v="0"/>
    <s v="Noida"/>
    <x v="1"/>
    <x v="1"/>
    <x v="11"/>
    <x v="1"/>
    <x v="0"/>
    <n v="5"/>
    <n v="77440"/>
    <n v="387200"/>
    <n v="10"/>
    <n v="348480"/>
    <x v="1"/>
    <x v="0"/>
    <s v="Not Delivered"/>
    <n v="58080"/>
  </r>
  <r>
    <x v="757"/>
    <x v="0"/>
    <x v="282"/>
    <x v="4"/>
    <x v="156"/>
    <s v="+916511793783"/>
    <x v="0"/>
    <s v="Bangalore"/>
    <x v="8"/>
    <x v="0"/>
    <x v="9"/>
    <x v="3"/>
    <x v="1"/>
    <n v="3"/>
    <n v="77440"/>
    <n v="232320"/>
    <n v="10"/>
    <n v="209088"/>
    <x v="0"/>
    <x v="0"/>
    <s v="Not Delivered"/>
    <n v="34848"/>
  </r>
  <r>
    <x v="758"/>
    <x v="1"/>
    <x v="421"/>
    <x v="5"/>
    <x v="292"/>
    <s v="+917908650634"/>
    <x v="0"/>
    <s v="New Delhi"/>
    <x v="0"/>
    <x v="3"/>
    <x v="24"/>
    <x v="4"/>
    <x v="1"/>
    <n v="1"/>
    <n v="77440"/>
    <n v="77440"/>
    <n v="0"/>
    <n v="77440"/>
    <x v="3"/>
    <x v="2"/>
    <d v="2025-04-14T00:00:00"/>
    <n v="11616"/>
  </r>
  <r>
    <x v="759"/>
    <x v="1"/>
    <x v="81"/>
    <x v="0"/>
    <x v="517"/>
    <s v="+917531919700"/>
    <x v="0"/>
    <s v="Jodhpur"/>
    <x v="3"/>
    <x v="0"/>
    <x v="26"/>
    <x v="4"/>
    <x v="0"/>
    <n v="3"/>
    <n v="77440"/>
    <n v="232320"/>
    <n v="0"/>
    <n v="232320"/>
    <x v="2"/>
    <x v="1"/>
    <s v="Not Delivered"/>
    <n v="34848"/>
  </r>
  <r>
    <x v="760"/>
    <x v="0"/>
    <x v="211"/>
    <x v="9"/>
    <x v="365"/>
    <s v="+918564633503"/>
    <x v="0"/>
    <s v="Howrah"/>
    <x v="2"/>
    <x v="3"/>
    <x v="22"/>
    <x v="0"/>
    <x v="6"/>
    <n v="2"/>
    <n v="77440"/>
    <n v="154880"/>
    <n v="0"/>
    <n v="154880"/>
    <x v="0"/>
    <x v="2"/>
    <d v="2024-01-17T00:00:00"/>
    <n v="23232"/>
  </r>
  <r>
    <x v="761"/>
    <x v="0"/>
    <x v="422"/>
    <x v="5"/>
    <x v="496"/>
    <s v="+919857141614"/>
    <x v="0"/>
    <s v="Aurangabad"/>
    <x v="6"/>
    <x v="3"/>
    <x v="8"/>
    <x v="5"/>
    <x v="2"/>
    <n v="4"/>
    <n v="77440"/>
    <n v="309760"/>
    <n v="5"/>
    <n v="294272"/>
    <x v="0"/>
    <x v="0"/>
    <s v="Not Delivered"/>
    <n v="46464"/>
  </r>
  <r>
    <x v="762"/>
    <x v="0"/>
    <x v="30"/>
    <x v="3"/>
    <x v="384"/>
    <s v="+918228921626"/>
    <x v="0"/>
    <s v="Noida"/>
    <x v="1"/>
    <x v="2"/>
    <x v="12"/>
    <x v="2"/>
    <x v="6"/>
    <n v="4"/>
    <n v="77440"/>
    <n v="309760"/>
    <n v="10"/>
    <n v="278784"/>
    <x v="3"/>
    <x v="1"/>
    <s v="Not Delivered"/>
    <n v="46464"/>
  </r>
  <r>
    <x v="763"/>
    <x v="0"/>
    <x v="181"/>
    <x v="3"/>
    <x v="518"/>
    <s v="+918067884455"/>
    <x v="0"/>
    <s v="Rajkot"/>
    <x v="5"/>
    <x v="1"/>
    <x v="14"/>
    <x v="1"/>
    <x v="5"/>
    <n v="2"/>
    <n v="77440"/>
    <n v="154880"/>
    <n v="0"/>
    <n v="154880"/>
    <x v="0"/>
    <x v="1"/>
    <s v="Not Delivered"/>
    <n v="23232"/>
  </r>
  <r>
    <x v="764"/>
    <x v="0"/>
    <x v="23"/>
    <x v="1"/>
    <x v="519"/>
    <s v="+917153786110"/>
    <x v="0"/>
    <s v="Jaipur"/>
    <x v="3"/>
    <x v="2"/>
    <x v="14"/>
    <x v="1"/>
    <x v="8"/>
    <n v="1"/>
    <n v="77440"/>
    <n v="77440"/>
    <n v="20"/>
    <n v="61952"/>
    <x v="2"/>
    <x v="0"/>
    <s v="Not Delivered"/>
    <n v="11616"/>
  </r>
  <r>
    <x v="765"/>
    <x v="0"/>
    <x v="209"/>
    <x v="9"/>
    <x v="520"/>
    <s v="+918953260156"/>
    <x v="0"/>
    <s v="Mangalore"/>
    <x v="8"/>
    <x v="0"/>
    <x v="5"/>
    <x v="1"/>
    <x v="11"/>
    <n v="1"/>
    <n v="77440"/>
    <n v="77440"/>
    <n v="15"/>
    <n v="65824"/>
    <x v="3"/>
    <x v="1"/>
    <s v="Not Delivered"/>
    <n v="11616"/>
  </r>
  <r>
    <x v="766"/>
    <x v="1"/>
    <x v="423"/>
    <x v="8"/>
    <x v="515"/>
    <s v="+919471125638"/>
    <x v="0"/>
    <s v="Chennai"/>
    <x v="7"/>
    <x v="0"/>
    <x v="7"/>
    <x v="4"/>
    <x v="6"/>
    <n v="2"/>
    <n v="77440"/>
    <n v="154880"/>
    <n v="5"/>
    <n v="147136"/>
    <x v="1"/>
    <x v="1"/>
    <s v="Not Delivered"/>
    <n v="23232"/>
  </r>
  <r>
    <x v="767"/>
    <x v="0"/>
    <x v="424"/>
    <x v="1"/>
    <x v="317"/>
    <s v="+917103811214"/>
    <x v="0"/>
    <s v="Madurai"/>
    <x v="7"/>
    <x v="0"/>
    <x v="16"/>
    <x v="5"/>
    <x v="8"/>
    <n v="5"/>
    <n v="77440"/>
    <n v="387200"/>
    <n v="10"/>
    <n v="348480"/>
    <x v="3"/>
    <x v="1"/>
    <s v="Not Delivered"/>
    <n v="58080"/>
  </r>
  <r>
    <x v="768"/>
    <x v="0"/>
    <x v="27"/>
    <x v="2"/>
    <x v="426"/>
    <s v="+918038263653"/>
    <x v="0"/>
    <s v="Ahmedabad"/>
    <x v="5"/>
    <x v="1"/>
    <x v="23"/>
    <x v="4"/>
    <x v="8"/>
    <n v="1"/>
    <n v="77440"/>
    <n v="77440"/>
    <n v="5"/>
    <n v="73568"/>
    <x v="3"/>
    <x v="1"/>
    <s v="Not Delivered"/>
    <n v="11616"/>
  </r>
  <r>
    <x v="769"/>
    <x v="1"/>
    <x v="158"/>
    <x v="9"/>
    <x v="521"/>
    <s v="+916279979558"/>
    <x v="0"/>
    <s v="Coimbatore"/>
    <x v="7"/>
    <x v="3"/>
    <x v="8"/>
    <x v="5"/>
    <x v="9"/>
    <n v="4"/>
    <n v="77440"/>
    <n v="309760"/>
    <n v="5"/>
    <n v="294272"/>
    <x v="3"/>
    <x v="1"/>
    <s v="Not Delivered"/>
    <n v="46464"/>
  </r>
  <r>
    <x v="770"/>
    <x v="0"/>
    <x v="325"/>
    <x v="8"/>
    <x v="522"/>
    <s v="+919616281758"/>
    <x v="0"/>
    <s v="Kolkata"/>
    <x v="2"/>
    <x v="0"/>
    <x v="3"/>
    <x v="2"/>
    <x v="10"/>
    <n v="3"/>
    <n v="77440"/>
    <n v="232320"/>
    <n v="5"/>
    <n v="220704"/>
    <x v="1"/>
    <x v="0"/>
    <s v="Not Delivered"/>
    <n v="34848"/>
  </r>
  <r>
    <x v="771"/>
    <x v="1"/>
    <x v="417"/>
    <x v="8"/>
    <x v="328"/>
    <s v="+919038967257"/>
    <x v="0"/>
    <s v="Mangalore"/>
    <x v="8"/>
    <x v="1"/>
    <x v="9"/>
    <x v="3"/>
    <x v="3"/>
    <n v="1"/>
    <n v="77440"/>
    <n v="77440"/>
    <n v="20"/>
    <n v="61952"/>
    <x v="2"/>
    <x v="0"/>
    <s v="Not Delivered"/>
    <n v="11616"/>
  </r>
  <r>
    <x v="772"/>
    <x v="0"/>
    <x v="425"/>
    <x v="6"/>
    <x v="470"/>
    <s v="+918444079402"/>
    <x v="0"/>
    <s v="Lucknow"/>
    <x v="1"/>
    <x v="2"/>
    <x v="25"/>
    <x v="3"/>
    <x v="4"/>
    <n v="5"/>
    <n v="77440"/>
    <n v="387200"/>
    <n v="15"/>
    <n v="329120"/>
    <x v="3"/>
    <x v="1"/>
    <s v="Not Delivered"/>
    <n v="58080"/>
  </r>
  <r>
    <x v="773"/>
    <x v="1"/>
    <x v="375"/>
    <x v="8"/>
    <x v="121"/>
    <s v="+916838281647"/>
    <x v="0"/>
    <s v="Lucknow"/>
    <x v="1"/>
    <x v="1"/>
    <x v="5"/>
    <x v="1"/>
    <x v="1"/>
    <n v="2"/>
    <n v="77440"/>
    <n v="154880"/>
    <n v="10"/>
    <n v="139392"/>
    <x v="2"/>
    <x v="2"/>
    <d v="2025-01-25T00:00:00"/>
    <n v="23232"/>
  </r>
  <r>
    <x v="774"/>
    <x v="1"/>
    <x v="426"/>
    <x v="0"/>
    <x v="210"/>
    <s v="+917898374963"/>
    <x v="0"/>
    <s v="Madurai"/>
    <x v="7"/>
    <x v="3"/>
    <x v="21"/>
    <x v="5"/>
    <x v="0"/>
    <n v="3"/>
    <n v="77440"/>
    <n v="232320"/>
    <n v="15"/>
    <n v="197472"/>
    <x v="3"/>
    <x v="1"/>
    <s v="Not Delivered"/>
    <n v="34848"/>
  </r>
  <r>
    <x v="775"/>
    <x v="1"/>
    <x v="83"/>
    <x v="8"/>
    <x v="11"/>
    <s v="+916710459827"/>
    <x v="0"/>
    <s v="New Delhi"/>
    <x v="0"/>
    <x v="3"/>
    <x v="2"/>
    <x v="0"/>
    <x v="1"/>
    <n v="5"/>
    <n v="77440"/>
    <n v="387200"/>
    <n v="10"/>
    <n v="348480"/>
    <x v="3"/>
    <x v="2"/>
    <d v="2025-01-21T00:00:00"/>
    <n v="58080"/>
  </r>
  <r>
    <x v="776"/>
    <x v="1"/>
    <x v="397"/>
    <x v="0"/>
    <x v="523"/>
    <s v="+917742468488"/>
    <x v="0"/>
    <s v="Bangalore"/>
    <x v="8"/>
    <x v="3"/>
    <x v="9"/>
    <x v="3"/>
    <x v="4"/>
    <n v="5"/>
    <n v="77440"/>
    <n v="387200"/>
    <n v="5"/>
    <n v="367840"/>
    <x v="1"/>
    <x v="2"/>
    <d v="2025-02-26T00:00:00"/>
    <n v="58080"/>
  </r>
  <r>
    <x v="777"/>
    <x v="1"/>
    <x v="411"/>
    <x v="3"/>
    <x v="524"/>
    <s v="+919605195567"/>
    <x v="0"/>
    <s v="Jodhpur"/>
    <x v="3"/>
    <x v="1"/>
    <x v="20"/>
    <x v="2"/>
    <x v="8"/>
    <n v="1"/>
    <n v="77440"/>
    <n v="77440"/>
    <n v="10"/>
    <n v="69696"/>
    <x v="3"/>
    <x v="2"/>
    <d v="2025-01-29T00:00:00"/>
    <n v="11616"/>
  </r>
  <r>
    <x v="778"/>
    <x v="1"/>
    <x v="283"/>
    <x v="3"/>
    <x v="525"/>
    <s v="+917326509255"/>
    <x v="0"/>
    <s v="Nashik"/>
    <x v="6"/>
    <x v="3"/>
    <x v="0"/>
    <x v="0"/>
    <x v="6"/>
    <n v="3"/>
    <n v="77440"/>
    <n v="232320"/>
    <n v="15"/>
    <n v="197472"/>
    <x v="2"/>
    <x v="0"/>
    <s v="Not Delivered"/>
    <n v="34848"/>
  </r>
  <r>
    <x v="779"/>
    <x v="0"/>
    <x v="389"/>
    <x v="7"/>
    <x v="307"/>
    <s v="+918404262542"/>
    <x v="0"/>
    <s v="Vadodara"/>
    <x v="5"/>
    <x v="0"/>
    <x v="23"/>
    <x v="4"/>
    <x v="0"/>
    <n v="3"/>
    <n v="77440"/>
    <n v="232320"/>
    <n v="15"/>
    <n v="197472"/>
    <x v="0"/>
    <x v="2"/>
    <d v="2024-02-05T00:00:00"/>
    <n v="34848"/>
  </r>
  <r>
    <x v="780"/>
    <x v="1"/>
    <x v="117"/>
    <x v="6"/>
    <x v="526"/>
    <s v="+918267238011"/>
    <x v="0"/>
    <s v="Mumbai"/>
    <x v="6"/>
    <x v="0"/>
    <x v="18"/>
    <x v="1"/>
    <x v="1"/>
    <n v="1"/>
    <n v="77440"/>
    <n v="77440"/>
    <n v="5"/>
    <n v="73568"/>
    <x v="1"/>
    <x v="1"/>
    <s v="Not Delivered"/>
    <n v="11616"/>
  </r>
  <r>
    <x v="781"/>
    <x v="1"/>
    <x v="186"/>
    <x v="3"/>
    <x v="527"/>
    <s v="+917977032440"/>
    <x v="0"/>
    <s v="Ahmedabad"/>
    <x v="5"/>
    <x v="1"/>
    <x v="4"/>
    <x v="0"/>
    <x v="1"/>
    <n v="5"/>
    <n v="77440"/>
    <n v="387200"/>
    <n v="10"/>
    <n v="348480"/>
    <x v="1"/>
    <x v="1"/>
    <s v="Not Delivered"/>
    <n v="58080"/>
  </r>
  <r>
    <x v="782"/>
    <x v="0"/>
    <x v="427"/>
    <x v="3"/>
    <x v="528"/>
    <s v="+916090449428"/>
    <x v="0"/>
    <s v="Noida"/>
    <x v="1"/>
    <x v="2"/>
    <x v="18"/>
    <x v="1"/>
    <x v="0"/>
    <n v="2"/>
    <n v="77440"/>
    <n v="154880"/>
    <n v="0"/>
    <n v="154880"/>
    <x v="3"/>
    <x v="1"/>
    <s v="Not Delivered"/>
    <n v="23232"/>
  </r>
  <r>
    <x v="783"/>
    <x v="0"/>
    <x v="365"/>
    <x v="2"/>
    <x v="358"/>
    <s v="+917444435314"/>
    <x v="0"/>
    <s v="Chennai"/>
    <x v="7"/>
    <x v="2"/>
    <x v="24"/>
    <x v="4"/>
    <x v="1"/>
    <n v="1"/>
    <n v="77440"/>
    <n v="77440"/>
    <n v="10"/>
    <n v="69696"/>
    <x v="1"/>
    <x v="2"/>
    <d v="2024-01-11T00:00:00"/>
    <n v="11616"/>
  </r>
  <r>
    <x v="784"/>
    <x v="1"/>
    <x v="423"/>
    <x v="8"/>
    <x v="529"/>
    <s v="+917547963453"/>
    <x v="0"/>
    <s v="Mysore"/>
    <x v="8"/>
    <x v="3"/>
    <x v="22"/>
    <x v="0"/>
    <x v="4"/>
    <n v="4"/>
    <n v="77440"/>
    <n v="309760"/>
    <n v="10"/>
    <n v="278784"/>
    <x v="1"/>
    <x v="1"/>
    <s v="Not Delivered"/>
    <n v="46464"/>
  </r>
  <r>
    <x v="785"/>
    <x v="0"/>
    <x v="79"/>
    <x v="6"/>
    <x v="222"/>
    <s v="+916383463555"/>
    <x v="0"/>
    <s v="Ludhiana"/>
    <x v="4"/>
    <x v="1"/>
    <x v="0"/>
    <x v="0"/>
    <x v="1"/>
    <n v="3"/>
    <n v="77440"/>
    <n v="232320"/>
    <n v="10"/>
    <n v="209088"/>
    <x v="2"/>
    <x v="0"/>
    <s v="Not Delivered"/>
    <n v="34848"/>
  </r>
  <r>
    <x v="786"/>
    <x v="1"/>
    <x v="127"/>
    <x v="4"/>
    <x v="530"/>
    <s v="+919535400077"/>
    <x v="0"/>
    <s v="Mangalore"/>
    <x v="8"/>
    <x v="3"/>
    <x v="15"/>
    <x v="4"/>
    <x v="0"/>
    <n v="3"/>
    <n v="77440"/>
    <n v="232320"/>
    <n v="15"/>
    <n v="197472"/>
    <x v="2"/>
    <x v="1"/>
    <s v="Not Delivered"/>
    <n v="34848"/>
  </r>
  <r>
    <x v="787"/>
    <x v="0"/>
    <x v="200"/>
    <x v="8"/>
    <x v="254"/>
    <s v="+919439296685"/>
    <x v="0"/>
    <s v="Chennai"/>
    <x v="7"/>
    <x v="2"/>
    <x v="8"/>
    <x v="5"/>
    <x v="3"/>
    <n v="2"/>
    <n v="77440"/>
    <n v="154880"/>
    <n v="10"/>
    <n v="139392"/>
    <x v="3"/>
    <x v="2"/>
    <d v="2024-04-20T00:00:00"/>
    <n v="23232"/>
  </r>
  <r>
    <x v="788"/>
    <x v="0"/>
    <x v="316"/>
    <x v="2"/>
    <x v="247"/>
    <s v="+919649927005"/>
    <x v="0"/>
    <s v="Mysore"/>
    <x v="8"/>
    <x v="1"/>
    <x v="18"/>
    <x v="1"/>
    <x v="5"/>
    <n v="4"/>
    <n v="77440"/>
    <n v="309760"/>
    <n v="20"/>
    <n v="247808"/>
    <x v="2"/>
    <x v="2"/>
    <d v="2024-07-08T00:00:00"/>
    <n v="46464"/>
  </r>
  <r>
    <x v="789"/>
    <x v="0"/>
    <x v="184"/>
    <x v="4"/>
    <x v="508"/>
    <s v="+918995187798"/>
    <x v="0"/>
    <s v="Bangalore"/>
    <x v="8"/>
    <x v="2"/>
    <x v="27"/>
    <x v="5"/>
    <x v="6"/>
    <n v="4"/>
    <n v="77440"/>
    <n v="309760"/>
    <n v="20"/>
    <n v="247808"/>
    <x v="1"/>
    <x v="0"/>
    <s v="Not Delivered"/>
    <n v="46464"/>
  </r>
  <r>
    <x v="790"/>
    <x v="0"/>
    <x v="169"/>
    <x v="3"/>
    <x v="531"/>
    <s v="+916651250994"/>
    <x v="0"/>
    <s v="Howrah"/>
    <x v="2"/>
    <x v="3"/>
    <x v="5"/>
    <x v="1"/>
    <x v="4"/>
    <n v="1"/>
    <n v="77440"/>
    <n v="77440"/>
    <n v="15"/>
    <n v="65824"/>
    <x v="1"/>
    <x v="2"/>
    <d v="2024-12-14T00:00:00"/>
    <n v="11616"/>
  </r>
  <r>
    <x v="791"/>
    <x v="1"/>
    <x v="72"/>
    <x v="3"/>
    <x v="206"/>
    <s v="+916209171028"/>
    <x v="0"/>
    <s v="Surat"/>
    <x v="5"/>
    <x v="3"/>
    <x v="1"/>
    <x v="1"/>
    <x v="7"/>
    <n v="3"/>
    <n v="77440"/>
    <n v="232320"/>
    <n v="5"/>
    <n v="220704"/>
    <x v="3"/>
    <x v="0"/>
    <s v="Not Delivered"/>
    <n v="34848"/>
  </r>
  <r>
    <x v="792"/>
    <x v="0"/>
    <x v="75"/>
    <x v="0"/>
    <x v="390"/>
    <s v="+918342222791"/>
    <x v="0"/>
    <s v="Coimbatore"/>
    <x v="7"/>
    <x v="3"/>
    <x v="0"/>
    <x v="0"/>
    <x v="6"/>
    <n v="4"/>
    <n v="77440"/>
    <n v="309760"/>
    <n v="0"/>
    <n v="309760"/>
    <x v="1"/>
    <x v="2"/>
    <d v="2024-04-30T00:00:00"/>
    <n v="46464"/>
  </r>
  <r>
    <x v="793"/>
    <x v="0"/>
    <x v="248"/>
    <x v="3"/>
    <x v="532"/>
    <s v="+918633035165"/>
    <x v="0"/>
    <s v="Surat"/>
    <x v="5"/>
    <x v="3"/>
    <x v="18"/>
    <x v="1"/>
    <x v="10"/>
    <n v="3"/>
    <n v="77440"/>
    <n v="232320"/>
    <n v="0"/>
    <n v="232320"/>
    <x v="0"/>
    <x v="0"/>
    <s v="Not Delivered"/>
    <n v="34848"/>
  </r>
  <r>
    <x v="794"/>
    <x v="0"/>
    <x v="428"/>
    <x v="0"/>
    <x v="47"/>
    <s v="+918052808318"/>
    <x v="0"/>
    <s v="Kanpur"/>
    <x v="1"/>
    <x v="0"/>
    <x v="13"/>
    <x v="5"/>
    <x v="3"/>
    <n v="2"/>
    <n v="77440"/>
    <n v="154880"/>
    <n v="0"/>
    <n v="154880"/>
    <x v="3"/>
    <x v="1"/>
    <s v="Not Delivered"/>
    <n v="23232"/>
  </r>
  <r>
    <x v="795"/>
    <x v="1"/>
    <x v="176"/>
    <x v="2"/>
    <x v="533"/>
    <s v="+919294505796"/>
    <x v="0"/>
    <s v="Durgapur"/>
    <x v="2"/>
    <x v="0"/>
    <x v="5"/>
    <x v="1"/>
    <x v="4"/>
    <n v="2"/>
    <n v="77440"/>
    <n v="154880"/>
    <n v="5"/>
    <n v="147136"/>
    <x v="2"/>
    <x v="0"/>
    <s v="Not Delivered"/>
    <n v="23232"/>
  </r>
  <r>
    <x v="796"/>
    <x v="1"/>
    <x v="429"/>
    <x v="4"/>
    <x v="291"/>
    <s v="+919668463134"/>
    <x v="0"/>
    <s v="Chennai"/>
    <x v="7"/>
    <x v="2"/>
    <x v="15"/>
    <x v="4"/>
    <x v="4"/>
    <n v="2"/>
    <n v="77440"/>
    <n v="154880"/>
    <n v="20"/>
    <n v="123904"/>
    <x v="0"/>
    <x v="1"/>
    <s v="Not Delivered"/>
    <n v="23232"/>
  </r>
  <r>
    <x v="797"/>
    <x v="1"/>
    <x v="289"/>
    <x v="0"/>
    <x v="534"/>
    <s v="+917279556806"/>
    <x v="0"/>
    <s v="Nagpur"/>
    <x v="6"/>
    <x v="3"/>
    <x v="14"/>
    <x v="1"/>
    <x v="0"/>
    <n v="2"/>
    <n v="77440"/>
    <n v="154880"/>
    <n v="10"/>
    <n v="139392"/>
    <x v="2"/>
    <x v="2"/>
    <d v="2025-07-06T00:00:00"/>
    <n v="23232"/>
  </r>
  <r>
    <x v="798"/>
    <x v="0"/>
    <x v="430"/>
    <x v="6"/>
    <x v="535"/>
    <s v="+916058606442"/>
    <x v="0"/>
    <s v="Kanpur"/>
    <x v="1"/>
    <x v="0"/>
    <x v="24"/>
    <x v="4"/>
    <x v="11"/>
    <n v="5"/>
    <n v="77440"/>
    <n v="387200"/>
    <n v="15"/>
    <n v="329120"/>
    <x v="2"/>
    <x v="0"/>
    <s v="Not Delivered"/>
    <n v="58080"/>
  </r>
  <r>
    <x v="799"/>
    <x v="0"/>
    <x v="241"/>
    <x v="0"/>
    <x v="536"/>
    <s v="+918040388912"/>
    <x v="0"/>
    <s v="Chandigarh"/>
    <x v="4"/>
    <x v="0"/>
    <x v="19"/>
    <x v="3"/>
    <x v="11"/>
    <n v="3"/>
    <n v="77440"/>
    <n v="232320"/>
    <n v="5"/>
    <n v="220704"/>
    <x v="1"/>
    <x v="2"/>
    <d v="2024-06-08T00:00:00"/>
    <n v="348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686AB9-2874-4F7D-B3ED-60F4A0353B1F}" name="combo 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6">
    <pivotField showAll="0"/>
    <pivotField showAll="0">
      <items count="3">
        <item x="0"/>
        <item x="1"/>
        <item t="default"/>
      </items>
    </pivotField>
    <pivotField numFmtId="14" showAll="0">
      <items count="432">
        <item x="20"/>
        <item x="404"/>
        <item x="365"/>
        <item x="73"/>
        <item x="394"/>
        <item x="363"/>
        <item x="126"/>
        <item x="425"/>
        <item x="211"/>
        <item x="273"/>
        <item x="121"/>
        <item x="376"/>
        <item x="380"/>
        <item x="5"/>
        <item x="347"/>
        <item x="53"/>
        <item x="274"/>
        <item x="356"/>
        <item x="23"/>
        <item x="315"/>
        <item x="91"/>
        <item x="389"/>
        <item x="323"/>
        <item x="420"/>
        <item x="62"/>
        <item x="416"/>
        <item x="330"/>
        <item x="157"/>
        <item x="409"/>
        <item x="79"/>
        <item x="51"/>
        <item x="33"/>
        <item x="107"/>
        <item x="27"/>
        <item x="248"/>
        <item x="405"/>
        <item x="284"/>
        <item x="177"/>
        <item x="29"/>
        <item x="26"/>
        <item x="147"/>
        <item x="225"/>
        <item x="408"/>
        <item x="173"/>
        <item x="15"/>
        <item x="303"/>
        <item x="118"/>
        <item x="114"/>
        <item x="233"/>
        <item x="339"/>
        <item x="22"/>
        <item x="256"/>
        <item x="414"/>
        <item x="11"/>
        <item x="407"/>
        <item x="422"/>
        <item x="368"/>
        <item x="137"/>
        <item x="28"/>
        <item x="166"/>
        <item x="232"/>
        <item x="218"/>
        <item x="171"/>
        <item x="162"/>
        <item x="261"/>
        <item x="49"/>
        <item x="395"/>
        <item x="103"/>
        <item x="282"/>
        <item x="174"/>
        <item x="366"/>
        <item x="217"/>
        <item x="86"/>
        <item x="335"/>
        <item x="35"/>
        <item x="6"/>
        <item x="427"/>
        <item x="202"/>
        <item x="47"/>
        <item x="200"/>
        <item x="428"/>
        <item x="21"/>
        <item x="357"/>
        <item x="342"/>
        <item x="272"/>
        <item x="170"/>
        <item x="189"/>
        <item x="75"/>
        <item x="9"/>
        <item x="40"/>
        <item x="163"/>
        <item x="369"/>
        <item x="196"/>
        <item x="78"/>
        <item x="371"/>
        <item x="243"/>
        <item x="71"/>
        <item x="4"/>
        <item x="352"/>
        <item x="344"/>
        <item x="281"/>
        <item x="185"/>
        <item x="224"/>
        <item x="104"/>
        <item x="139"/>
        <item x="180"/>
        <item x="354"/>
        <item x="159"/>
        <item x="146"/>
        <item x="31"/>
        <item x="66"/>
        <item x="210"/>
        <item x="50"/>
        <item x="241"/>
        <item x="249"/>
        <item x="70"/>
        <item x="286"/>
        <item x="295"/>
        <item x="209"/>
        <item x="269"/>
        <item x="77"/>
        <item x="18"/>
        <item x="299"/>
        <item x="110"/>
        <item x="115"/>
        <item x="374"/>
        <item x="76"/>
        <item x="52"/>
        <item x="144"/>
        <item x="100"/>
        <item x="226"/>
        <item x="14"/>
        <item x="123"/>
        <item x="235"/>
        <item x="3"/>
        <item x="316"/>
        <item x="239"/>
        <item x="348"/>
        <item x="181"/>
        <item x="195"/>
        <item x="41"/>
        <item x="108"/>
        <item x="203"/>
        <item x="278"/>
        <item x="358"/>
        <item x="255"/>
        <item x="113"/>
        <item x="149"/>
        <item x="38"/>
        <item x="362"/>
        <item x="267"/>
        <item x="253"/>
        <item x="199"/>
        <item x="251"/>
        <item x="168"/>
        <item x="229"/>
        <item x="319"/>
        <item x="300"/>
        <item x="167"/>
        <item x="187"/>
        <item x="37"/>
        <item x="412"/>
        <item x="57"/>
        <item x="296"/>
        <item x="45"/>
        <item x="245"/>
        <item x="383"/>
        <item x="336"/>
        <item x="388"/>
        <item x="246"/>
        <item x="135"/>
        <item x="212"/>
        <item x="304"/>
        <item x="349"/>
        <item x="88"/>
        <item x="326"/>
        <item x="275"/>
        <item x="265"/>
        <item x="39"/>
        <item x="250"/>
        <item x="396"/>
        <item x="324"/>
        <item x="219"/>
        <item x="197"/>
        <item x="418"/>
        <item x="7"/>
        <item x="133"/>
        <item x="106"/>
        <item x="119"/>
        <item x="285"/>
        <item x="393"/>
        <item x="223"/>
        <item x="58"/>
        <item x="399"/>
        <item x="237"/>
        <item x="68"/>
        <item x="325"/>
        <item x="89"/>
        <item x="266"/>
        <item x="305"/>
        <item x="208"/>
        <item x="301"/>
        <item x="415"/>
        <item x="215"/>
        <item x="424"/>
        <item x="280"/>
        <item x="63"/>
        <item x="109"/>
        <item x="268"/>
        <item x="102"/>
        <item x="116"/>
        <item x="384"/>
        <item x="188"/>
        <item x="145"/>
        <item x="370"/>
        <item x="56"/>
        <item x="184"/>
        <item x="191"/>
        <item x="263"/>
        <item x="430"/>
        <item x="1"/>
        <item x="213"/>
        <item x="373"/>
        <item x="307"/>
        <item x="2"/>
        <item x="30"/>
        <item x="151"/>
        <item x="0"/>
        <item x="80"/>
        <item x="381"/>
        <item x="105"/>
        <item x="387"/>
        <item x="46"/>
        <item x="125"/>
        <item x="97"/>
        <item x="93"/>
        <item x="290"/>
        <item x="346"/>
        <item x="25"/>
        <item x="240"/>
        <item x="312"/>
        <item x="401"/>
        <item x="360"/>
        <item x="160"/>
        <item x="359"/>
        <item x="321"/>
        <item x="222"/>
        <item x="164"/>
        <item x="19"/>
        <item x="92"/>
        <item x="169"/>
        <item x="337"/>
        <item x="101"/>
        <item x="201"/>
        <item x="392"/>
        <item x="372"/>
        <item x="379"/>
        <item x="98"/>
        <item x="385"/>
        <item x="311"/>
        <item x="364"/>
        <item x="216"/>
        <item x="234"/>
        <item x="130"/>
        <item x="238"/>
        <item x="403"/>
        <item x="318"/>
        <item x="302"/>
        <item x="390"/>
        <item x="131"/>
        <item x="129"/>
        <item x="55"/>
        <item x="134"/>
        <item x="54"/>
        <item x="142"/>
        <item x="333"/>
        <item x="252"/>
        <item x="230"/>
        <item x="161"/>
        <item x="111"/>
        <item x="83"/>
        <item x="190"/>
        <item x="382"/>
        <item x="375"/>
        <item x="205"/>
        <item x="192"/>
        <item x="429"/>
        <item x="411"/>
        <item x="81"/>
        <item x="13"/>
        <item x="156"/>
        <item x="271"/>
        <item x="128"/>
        <item x="155"/>
        <item x="292"/>
        <item x="74"/>
        <item x="34"/>
        <item x="244"/>
        <item x="90"/>
        <item x="179"/>
        <item x="141"/>
        <item x="221"/>
        <item x="306"/>
        <item x="186"/>
        <item x="87"/>
        <item x="397"/>
        <item x="132"/>
        <item x="67"/>
        <item x="378"/>
        <item x="228"/>
        <item x="153"/>
        <item x="154"/>
        <item x="419"/>
        <item x="85"/>
        <item x="343"/>
        <item x="328"/>
        <item x="95"/>
        <item x="60"/>
        <item x="260"/>
        <item x="288"/>
        <item x="322"/>
        <item x="127"/>
        <item x="410"/>
        <item x="247"/>
        <item x="236"/>
        <item x="206"/>
        <item x="158"/>
        <item x="353"/>
        <item x="194"/>
        <item x="287"/>
        <item x="291"/>
        <item x="377"/>
        <item x="417"/>
        <item x="165"/>
        <item x="350"/>
        <item x="367"/>
        <item x="242"/>
        <item x="361"/>
        <item x="332"/>
        <item x="276"/>
        <item x="227"/>
        <item x="329"/>
        <item x="176"/>
        <item x="59"/>
        <item x="64"/>
        <item x="421"/>
        <item x="294"/>
        <item x="172"/>
        <item x="258"/>
        <item x="426"/>
        <item x="345"/>
        <item x="264"/>
        <item x="402"/>
        <item x="340"/>
        <item x="17"/>
        <item x="32"/>
        <item x="338"/>
        <item x="120"/>
        <item x="94"/>
        <item x="391"/>
        <item x="204"/>
        <item x="293"/>
        <item x="152"/>
        <item x="8"/>
        <item x="183"/>
        <item x="65"/>
        <item x="327"/>
        <item x="341"/>
        <item x="277"/>
        <item x="138"/>
        <item x="214"/>
        <item x="193"/>
        <item x="175"/>
        <item x="331"/>
        <item x="334"/>
        <item x="413"/>
        <item x="231"/>
        <item x="124"/>
        <item x="297"/>
        <item x="117"/>
        <item x="310"/>
        <item x="48"/>
        <item x="140"/>
        <item x="72"/>
        <item x="262"/>
        <item x="43"/>
        <item x="220"/>
        <item x="320"/>
        <item x="309"/>
        <item x="182"/>
        <item x="148"/>
        <item x="400"/>
        <item x="386"/>
        <item x="198"/>
        <item x="69"/>
        <item x="10"/>
        <item x="298"/>
        <item x="42"/>
        <item x="16"/>
        <item x="84"/>
        <item x="143"/>
        <item x="317"/>
        <item x="257"/>
        <item x="178"/>
        <item x="289"/>
        <item x="355"/>
        <item x="207"/>
        <item x="313"/>
        <item x="99"/>
        <item x="24"/>
        <item x="423"/>
        <item x="136"/>
        <item x="254"/>
        <item x="406"/>
        <item x="279"/>
        <item x="36"/>
        <item x="82"/>
        <item x="308"/>
        <item x="314"/>
        <item x="96"/>
        <item x="44"/>
        <item x="12"/>
        <item x="351"/>
        <item x="122"/>
        <item x="150"/>
        <item x="112"/>
        <item x="283"/>
        <item x="259"/>
        <item x="61"/>
        <item x="398"/>
        <item x="270"/>
        <item t="default"/>
      </items>
    </pivotField>
    <pivotField showAll="0"/>
    <pivotField showAll="0">
      <items count="538">
        <item x="152"/>
        <item x="83"/>
        <item x="121"/>
        <item x="399"/>
        <item x="315"/>
        <item x="379"/>
        <item x="9"/>
        <item x="272"/>
        <item x="116"/>
        <item x="430"/>
        <item x="120"/>
        <item x="10"/>
        <item x="389"/>
        <item x="329"/>
        <item x="86"/>
        <item x="233"/>
        <item x="77"/>
        <item x="525"/>
        <item x="205"/>
        <item x="522"/>
        <item x="191"/>
        <item x="110"/>
        <item x="53"/>
        <item x="44"/>
        <item x="157"/>
        <item x="177"/>
        <item x="168"/>
        <item x="385"/>
        <item x="468"/>
        <item x="307"/>
        <item x="5"/>
        <item x="6"/>
        <item x="517"/>
        <item x="48"/>
        <item x="371"/>
        <item x="268"/>
        <item x="530"/>
        <item x="269"/>
        <item x="182"/>
        <item x="212"/>
        <item x="372"/>
        <item x="143"/>
        <item x="230"/>
        <item x="345"/>
        <item x="310"/>
        <item x="84"/>
        <item x="486"/>
        <item x="130"/>
        <item x="377"/>
        <item x="478"/>
        <item x="134"/>
        <item x="477"/>
        <item x="370"/>
        <item x="360"/>
        <item x="218"/>
        <item x="258"/>
        <item x="435"/>
        <item x="117"/>
        <item x="217"/>
        <item x="496"/>
        <item x="417"/>
        <item x="444"/>
        <item x="236"/>
        <item x="508"/>
        <item x="34"/>
        <item x="454"/>
        <item x="356"/>
        <item x="192"/>
        <item x="63"/>
        <item x="154"/>
        <item x="202"/>
        <item x="313"/>
        <item x="234"/>
        <item x="314"/>
        <item x="407"/>
        <item x="491"/>
        <item x="257"/>
        <item x="81"/>
        <item x="426"/>
        <item x="469"/>
        <item x="349"/>
        <item x="452"/>
        <item x="296"/>
        <item x="488"/>
        <item x="463"/>
        <item x="95"/>
        <item x="386"/>
        <item x="59"/>
        <item x="503"/>
        <item x="330"/>
        <item x="160"/>
        <item x="199"/>
        <item x="429"/>
        <item x="327"/>
        <item x="31"/>
        <item x="41"/>
        <item x="85"/>
        <item x="103"/>
        <item x="507"/>
        <item x="2"/>
        <item x="353"/>
        <item x="137"/>
        <item x="420"/>
        <item x="216"/>
        <item x="394"/>
        <item x="368"/>
        <item x="510"/>
        <item x="255"/>
        <item x="169"/>
        <item x="476"/>
        <item x="4"/>
        <item x="106"/>
        <item x="424"/>
        <item x="166"/>
        <item x="397"/>
        <item x="499"/>
        <item x="165"/>
        <item x="175"/>
        <item x="237"/>
        <item x="127"/>
        <item x="114"/>
        <item x="509"/>
        <item x="473"/>
        <item x="410"/>
        <item x="222"/>
        <item x="28"/>
        <item x="105"/>
        <item x="362"/>
        <item x="527"/>
        <item x="195"/>
        <item x="518"/>
        <item x="474"/>
        <item x="214"/>
        <item x="187"/>
        <item x="235"/>
        <item x="534"/>
        <item x="351"/>
        <item x="112"/>
        <item x="26"/>
        <item x="0"/>
        <item x="535"/>
        <item x="479"/>
        <item x="434"/>
        <item x="256"/>
        <item x="408"/>
        <item x="378"/>
        <item x="449"/>
        <item x="102"/>
        <item x="24"/>
        <item x="208"/>
        <item x="405"/>
        <item x="361"/>
        <item x="515"/>
        <item x="382"/>
        <item x="409"/>
        <item x="97"/>
        <item x="495"/>
        <item x="519"/>
        <item x="151"/>
        <item x="65"/>
        <item x="523"/>
        <item x="493"/>
        <item x="153"/>
        <item x="387"/>
        <item x="359"/>
        <item x="247"/>
        <item x="249"/>
        <item x="70"/>
        <item x="365"/>
        <item x="455"/>
        <item x="243"/>
        <item x="309"/>
        <item x="446"/>
        <item x="193"/>
        <item x="395"/>
        <item x="305"/>
        <item x="156"/>
        <item x="392"/>
        <item x="122"/>
        <item x="458"/>
        <item x="358"/>
        <item x="75"/>
        <item x="338"/>
        <item x="277"/>
        <item x="414"/>
        <item x="393"/>
        <item x="326"/>
        <item x="27"/>
        <item x="158"/>
        <item x="231"/>
        <item x="423"/>
        <item x="210"/>
        <item x="336"/>
        <item x="421"/>
        <item x="73"/>
        <item x="11"/>
        <item x="146"/>
        <item x="475"/>
        <item x="204"/>
        <item x="529"/>
        <item x="494"/>
        <item x="113"/>
        <item x="91"/>
        <item x="355"/>
        <item x="180"/>
        <item x="163"/>
        <item x="374"/>
        <item x="223"/>
        <item x="321"/>
        <item x="464"/>
        <item x="57"/>
        <item x="416"/>
        <item x="254"/>
        <item x="381"/>
        <item x="232"/>
        <item x="37"/>
        <item x="489"/>
        <item x="140"/>
        <item x="490"/>
        <item x="17"/>
        <item x="340"/>
        <item x="436"/>
        <item x="398"/>
        <item x="145"/>
        <item x="179"/>
        <item x="47"/>
        <item x="21"/>
        <item x="521"/>
        <item x="76"/>
        <item x="422"/>
        <item x="265"/>
        <item x="167"/>
        <item x="79"/>
        <item x="72"/>
        <item x="285"/>
        <item x="484"/>
        <item x="241"/>
        <item x="200"/>
        <item x="90"/>
        <item x="348"/>
        <item x="67"/>
        <item x="498"/>
        <item x="532"/>
        <item x="32"/>
        <item x="383"/>
        <item x="306"/>
        <item x="273"/>
        <item x="279"/>
        <item x="132"/>
        <item x="341"/>
        <item x="209"/>
        <item x="320"/>
        <item x="419"/>
        <item x="485"/>
        <item x="366"/>
        <item x="447"/>
        <item x="427"/>
        <item x="451"/>
        <item x="220"/>
        <item x="280"/>
        <item x="342"/>
        <item x="19"/>
        <item x="50"/>
        <item x="390"/>
        <item x="119"/>
        <item x="289"/>
        <item x="251"/>
        <item x="403"/>
        <item x="497"/>
        <item x="528"/>
        <item x="432"/>
        <item x="181"/>
        <item x="462"/>
        <item x="89"/>
        <item x="335"/>
        <item x="260"/>
        <item x="295"/>
        <item x="404"/>
        <item x="482"/>
        <item x="39"/>
        <item x="228"/>
        <item x="46"/>
        <item x="347"/>
        <item x="344"/>
        <item x="148"/>
        <item x="64"/>
        <item x="38"/>
        <item x="171"/>
        <item x="98"/>
        <item x="439"/>
        <item x="56"/>
        <item x="526"/>
        <item x="7"/>
        <item x="194"/>
        <item x="22"/>
        <item x="242"/>
        <item x="164"/>
        <item x="52"/>
        <item x="138"/>
        <item x="42"/>
        <item x="82"/>
        <item x="170"/>
        <item x="149"/>
        <item x="196"/>
        <item x="291"/>
        <item x="129"/>
        <item x="263"/>
        <item x="334"/>
        <item x="136"/>
        <item x="288"/>
        <item x="224"/>
        <item x="467"/>
        <item x="278"/>
        <item x="367"/>
        <item x="43"/>
        <item x="226"/>
        <item x="271"/>
        <item x="20"/>
        <item x="142"/>
        <item x="108"/>
        <item x="211"/>
        <item x="125"/>
        <item x="141"/>
        <item x="3"/>
        <item x="317"/>
        <item x="184"/>
        <item x="99"/>
        <item x="25"/>
        <item x="501"/>
        <item x="58"/>
        <item x="483"/>
        <item x="55"/>
        <item x="100"/>
        <item x="384"/>
        <item x="437"/>
        <item x="275"/>
        <item x="8"/>
        <item x="322"/>
        <item x="308"/>
        <item x="346"/>
        <item x="323"/>
        <item x="282"/>
        <item x="107"/>
        <item x="301"/>
        <item x="240"/>
        <item x="401"/>
        <item x="206"/>
        <item x="159"/>
        <item x="201"/>
        <item x="411"/>
        <item x="66"/>
        <item x="465"/>
        <item x="111"/>
        <item x="504"/>
        <item x="332"/>
        <item x="264"/>
        <item x="459"/>
        <item x="456"/>
        <item x="215"/>
        <item x="270"/>
        <item x="396"/>
        <item x="150"/>
        <item x="29"/>
        <item x="124"/>
        <item x="433"/>
        <item x="128"/>
        <item x="324"/>
        <item x="438"/>
        <item x="155"/>
        <item x="400"/>
        <item x="221"/>
        <item x="364"/>
        <item x="248"/>
        <item x="96"/>
        <item x="30"/>
        <item x="135"/>
        <item x="139"/>
        <item x="363"/>
        <item x="352"/>
        <item x="229"/>
        <item x="71"/>
        <item x="267"/>
        <item x="16"/>
        <item x="412"/>
        <item x="185"/>
        <item x="369"/>
        <item x="104"/>
        <item x="460"/>
        <item x="174"/>
        <item x="287"/>
        <item x="88"/>
        <item x="470"/>
        <item x="78"/>
        <item x="487"/>
        <item x="213"/>
        <item x="245"/>
        <item x="442"/>
        <item x="376"/>
        <item x="298"/>
        <item x="511"/>
        <item x="60"/>
        <item x="13"/>
        <item x="304"/>
        <item x="514"/>
        <item x="325"/>
        <item x="441"/>
        <item x="227"/>
        <item x="286"/>
        <item x="161"/>
        <item x="415"/>
        <item x="45"/>
        <item x="524"/>
        <item x="318"/>
        <item x="80"/>
        <item x="183"/>
        <item x="388"/>
        <item x="250"/>
        <item x="1"/>
        <item x="391"/>
        <item x="15"/>
        <item x="36"/>
        <item x="274"/>
        <item x="375"/>
        <item x="453"/>
        <item x="262"/>
        <item x="266"/>
        <item x="461"/>
        <item x="54"/>
        <item x="190"/>
        <item x="536"/>
        <item x="516"/>
        <item x="92"/>
        <item x="188"/>
        <item x="445"/>
        <item x="299"/>
        <item x="466"/>
        <item x="101"/>
        <item x="246"/>
        <item x="40"/>
        <item x="189"/>
        <item x="61"/>
        <item x="33"/>
        <item x="512"/>
        <item x="51"/>
        <item x="261"/>
        <item x="513"/>
        <item x="428"/>
        <item x="68"/>
        <item x="207"/>
        <item x="93"/>
        <item x="283"/>
        <item x="290"/>
        <item x="448"/>
        <item x="380"/>
        <item x="35"/>
        <item x="354"/>
        <item x="197"/>
        <item x="225"/>
        <item x="373"/>
        <item x="406"/>
        <item x="115"/>
        <item x="440"/>
        <item x="506"/>
        <item x="302"/>
        <item x="350"/>
        <item x="333"/>
        <item x="131"/>
        <item x="402"/>
        <item x="303"/>
        <item x="147"/>
        <item x="297"/>
        <item x="62"/>
        <item x="331"/>
        <item x="23"/>
        <item x="294"/>
        <item x="319"/>
        <item x="502"/>
        <item x="480"/>
        <item x="457"/>
        <item x="293"/>
        <item x="173"/>
        <item x="337"/>
        <item x="316"/>
        <item x="176"/>
        <item x="472"/>
        <item x="12"/>
        <item x="18"/>
        <item x="49"/>
        <item x="425"/>
        <item x="418"/>
        <item x="357"/>
        <item x="312"/>
        <item x="87"/>
        <item x="219"/>
        <item x="133"/>
        <item x="520"/>
        <item x="94"/>
        <item x="252"/>
        <item x="443"/>
        <item x="126"/>
        <item x="300"/>
        <item x="178"/>
        <item x="284"/>
        <item x="118"/>
        <item x="259"/>
        <item x="276"/>
        <item x="492"/>
        <item x="339"/>
        <item x="413"/>
        <item x="74"/>
        <item x="505"/>
        <item x="292"/>
        <item x="69"/>
        <item x="253"/>
        <item x="14"/>
        <item x="244"/>
        <item x="500"/>
        <item x="481"/>
        <item x="531"/>
        <item x="144"/>
        <item x="533"/>
        <item x="239"/>
        <item x="281"/>
        <item x="471"/>
        <item x="328"/>
        <item x="343"/>
        <item x="162"/>
        <item x="431"/>
        <item x="172"/>
        <item x="198"/>
        <item x="186"/>
        <item x="450"/>
        <item x="123"/>
        <item x="238"/>
        <item x="311"/>
        <item x="109"/>
        <item x="203"/>
        <item t="default"/>
      </items>
    </pivotField>
    <pivotField showAll="0"/>
    <pivotField showAll="0"/>
    <pivotField showAll="0"/>
    <pivotField showAll="0"/>
    <pivotField showAll="0">
      <items count="5">
        <item x="0"/>
        <item x="3"/>
        <item x="2"/>
        <item x="1"/>
        <item t="default"/>
      </items>
    </pivotField>
    <pivotField showAll="0"/>
    <pivotField showAll="0">
      <items count="7">
        <item x="4"/>
        <item x="1"/>
        <item x="3"/>
        <item x="2"/>
        <item x="5"/>
        <item x="0"/>
        <item t="default"/>
      </items>
    </pivotField>
    <pivotField showAll="0">
      <items count="13">
        <item x="11"/>
        <item x="5"/>
        <item x="2"/>
        <item x="10"/>
        <item x="3"/>
        <item x="1"/>
        <item x="9"/>
        <item x="8"/>
        <item x="0"/>
        <item x="7"/>
        <item x="4"/>
        <item x="6"/>
        <item t="default"/>
      </items>
    </pivotField>
    <pivotField showAll="0"/>
    <pivotField showAll="0"/>
    <pivotField dataField="1" showAll="0"/>
    <pivotField showAll="0"/>
    <pivotField showAll="0"/>
    <pivotField showAll="0">
      <items count="5">
        <item x="3"/>
        <item x="1"/>
        <item x="2"/>
        <item x="0"/>
        <item t="default"/>
      </items>
    </pivotField>
    <pivotField showAll="0">
      <items count="4">
        <item x="1"/>
        <item x="2"/>
        <item x="0"/>
        <item t="default"/>
      </items>
    </pivotField>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5">
        <item sd="0" x="0"/>
        <item x="1"/>
        <item sd="0" x="2"/>
        <item sd="0" x="3"/>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Total Sales" fld="15" baseField="0" baseItem="0"/>
    <dataField name="Sum of Profit" fld="21" baseField="0" baseItem="0"/>
  </dataFields>
  <formats count="1">
    <format dxfId="1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563640-FFFA-45F0-A162-6993D07BFB3E}" name="kpi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98:B111" firstHeaderRow="1" firstDataRow="1" firstDataCol="1"/>
  <pivotFields count="26">
    <pivotField showAll="0"/>
    <pivotField showAll="0">
      <items count="3">
        <item x="0"/>
        <item x="1"/>
        <item t="default"/>
      </items>
    </pivotField>
    <pivotField numFmtId="14" showAll="0">
      <items count="432">
        <item x="20"/>
        <item x="404"/>
        <item x="365"/>
        <item x="73"/>
        <item x="394"/>
        <item x="363"/>
        <item x="126"/>
        <item x="425"/>
        <item x="211"/>
        <item x="273"/>
        <item x="121"/>
        <item x="376"/>
        <item x="380"/>
        <item x="5"/>
        <item x="347"/>
        <item x="53"/>
        <item x="274"/>
        <item x="356"/>
        <item x="23"/>
        <item x="315"/>
        <item x="91"/>
        <item x="389"/>
        <item x="323"/>
        <item x="420"/>
        <item x="62"/>
        <item x="416"/>
        <item x="330"/>
        <item x="157"/>
        <item x="409"/>
        <item x="79"/>
        <item x="51"/>
        <item x="33"/>
        <item x="107"/>
        <item x="27"/>
        <item x="248"/>
        <item x="405"/>
        <item x="284"/>
        <item x="177"/>
        <item x="29"/>
        <item x="26"/>
        <item x="147"/>
        <item x="225"/>
        <item x="408"/>
        <item x="173"/>
        <item x="15"/>
        <item x="303"/>
        <item x="118"/>
        <item x="114"/>
        <item x="233"/>
        <item x="339"/>
        <item x="22"/>
        <item x="256"/>
        <item x="414"/>
        <item x="11"/>
        <item x="407"/>
        <item x="422"/>
        <item x="368"/>
        <item x="137"/>
        <item x="28"/>
        <item x="166"/>
        <item x="232"/>
        <item x="218"/>
        <item x="171"/>
        <item x="162"/>
        <item x="261"/>
        <item x="49"/>
        <item x="395"/>
        <item x="103"/>
        <item x="282"/>
        <item x="174"/>
        <item x="366"/>
        <item x="217"/>
        <item x="86"/>
        <item x="335"/>
        <item x="35"/>
        <item x="6"/>
        <item x="427"/>
        <item x="202"/>
        <item x="47"/>
        <item x="200"/>
        <item x="428"/>
        <item x="21"/>
        <item x="357"/>
        <item x="342"/>
        <item x="272"/>
        <item x="170"/>
        <item x="189"/>
        <item x="75"/>
        <item x="9"/>
        <item x="40"/>
        <item x="163"/>
        <item x="369"/>
        <item x="196"/>
        <item x="78"/>
        <item x="371"/>
        <item x="243"/>
        <item x="71"/>
        <item x="4"/>
        <item x="352"/>
        <item x="344"/>
        <item x="281"/>
        <item x="185"/>
        <item x="224"/>
        <item x="104"/>
        <item x="139"/>
        <item x="180"/>
        <item x="354"/>
        <item x="159"/>
        <item x="146"/>
        <item x="31"/>
        <item x="66"/>
        <item x="210"/>
        <item x="50"/>
        <item x="241"/>
        <item x="249"/>
        <item x="70"/>
        <item x="286"/>
        <item x="295"/>
        <item x="209"/>
        <item x="269"/>
        <item x="77"/>
        <item x="18"/>
        <item x="299"/>
        <item x="110"/>
        <item x="115"/>
        <item x="374"/>
        <item x="76"/>
        <item x="52"/>
        <item x="144"/>
        <item x="100"/>
        <item x="226"/>
        <item x="14"/>
        <item x="123"/>
        <item x="235"/>
        <item x="3"/>
        <item x="316"/>
        <item x="239"/>
        <item x="348"/>
        <item x="181"/>
        <item x="195"/>
        <item x="41"/>
        <item x="108"/>
        <item x="203"/>
        <item x="278"/>
        <item x="358"/>
        <item x="255"/>
        <item x="113"/>
        <item x="149"/>
        <item x="38"/>
        <item x="362"/>
        <item x="267"/>
        <item x="253"/>
        <item x="199"/>
        <item x="251"/>
        <item x="168"/>
        <item x="229"/>
        <item x="319"/>
        <item x="300"/>
        <item x="167"/>
        <item x="187"/>
        <item x="37"/>
        <item x="412"/>
        <item x="57"/>
        <item x="296"/>
        <item x="45"/>
        <item x="245"/>
        <item x="383"/>
        <item x="336"/>
        <item x="388"/>
        <item x="246"/>
        <item x="135"/>
        <item x="212"/>
        <item x="304"/>
        <item x="349"/>
        <item x="88"/>
        <item x="326"/>
        <item x="275"/>
        <item x="265"/>
        <item x="39"/>
        <item x="250"/>
        <item x="396"/>
        <item x="324"/>
        <item x="219"/>
        <item x="197"/>
        <item x="418"/>
        <item x="7"/>
        <item x="133"/>
        <item x="106"/>
        <item x="119"/>
        <item x="285"/>
        <item x="393"/>
        <item x="223"/>
        <item x="58"/>
        <item x="399"/>
        <item x="237"/>
        <item x="68"/>
        <item x="325"/>
        <item x="89"/>
        <item x="266"/>
        <item x="305"/>
        <item x="208"/>
        <item x="301"/>
        <item x="415"/>
        <item x="215"/>
        <item x="424"/>
        <item x="280"/>
        <item x="63"/>
        <item x="109"/>
        <item x="268"/>
        <item x="102"/>
        <item x="116"/>
        <item x="384"/>
        <item x="188"/>
        <item x="145"/>
        <item x="370"/>
        <item x="56"/>
        <item x="184"/>
        <item x="191"/>
        <item x="263"/>
        <item x="430"/>
        <item x="1"/>
        <item x="213"/>
        <item x="373"/>
        <item x="307"/>
        <item x="2"/>
        <item x="30"/>
        <item x="151"/>
        <item x="0"/>
        <item x="80"/>
        <item x="381"/>
        <item x="105"/>
        <item x="387"/>
        <item x="46"/>
        <item x="125"/>
        <item x="97"/>
        <item x="93"/>
        <item x="290"/>
        <item x="346"/>
        <item x="25"/>
        <item x="240"/>
        <item x="312"/>
        <item x="401"/>
        <item x="360"/>
        <item x="160"/>
        <item x="359"/>
        <item x="321"/>
        <item x="222"/>
        <item x="164"/>
        <item x="19"/>
        <item x="92"/>
        <item x="169"/>
        <item x="337"/>
        <item x="101"/>
        <item x="201"/>
        <item x="392"/>
        <item x="372"/>
        <item x="379"/>
        <item x="98"/>
        <item x="385"/>
        <item x="311"/>
        <item x="364"/>
        <item x="216"/>
        <item x="234"/>
        <item x="130"/>
        <item x="238"/>
        <item x="403"/>
        <item x="318"/>
        <item x="302"/>
        <item x="390"/>
        <item x="131"/>
        <item x="129"/>
        <item x="55"/>
        <item x="134"/>
        <item x="54"/>
        <item x="142"/>
        <item x="333"/>
        <item x="252"/>
        <item x="230"/>
        <item x="161"/>
        <item x="111"/>
        <item x="83"/>
        <item x="190"/>
        <item x="382"/>
        <item x="375"/>
        <item x="205"/>
        <item x="192"/>
        <item x="429"/>
        <item x="411"/>
        <item x="81"/>
        <item x="13"/>
        <item x="156"/>
        <item x="271"/>
        <item x="128"/>
        <item x="155"/>
        <item x="292"/>
        <item x="74"/>
        <item x="34"/>
        <item x="244"/>
        <item x="90"/>
        <item x="179"/>
        <item x="141"/>
        <item x="221"/>
        <item x="306"/>
        <item x="186"/>
        <item x="87"/>
        <item x="397"/>
        <item x="132"/>
        <item x="67"/>
        <item x="378"/>
        <item x="228"/>
        <item x="153"/>
        <item x="154"/>
        <item x="419"/>
        <item x="85"/>
        <item x="343"/>
        <item x="328"/>
        <item x="95"/>
        <item x="60"/>
        <item x="260"/>
        <item x="288"/>
        <item x="322"/>
        <item x="127"/>
        <item x="410"/>
        <item x="247"/>
        <item x="236"/>
        <item x="206"/>
        <item x="158"/>
        <item x="353"/>
        <item x="194"/>
        <item x="287"/>
        <item x="291"/>
        <item x="377"/>
        <item x="417"/>
        <item x="165"/>
        <item x="350"/>
        <item x="367"/>
        <item x="242"/>
        <item x="361"/>
        <item x="332"/>
        <item x="276"/>
        <item x="227"/>
        <item x="329"/>
        <item x="176"/>
        <item x="59"/>
        <item x="64"/>
        <item x="421"/>
        <item x="294"/>
        <item x="172"/>
        <item x="258"/>
        <item x="426"/>
        <item x="345"/>
        <item x="264"/>
        <item x="402"/>
        <item x="340"/>
        <item x="17"/>
        <item x="32"/>
        <item x="338"/>
        <item x="120"/>
        <item x="94"/>
        <item x="391"/>
        <item x="204"/>
        <item x="293"/>
        <item x="152"/>
        <item x="8"/>
        <item x="183"/>
        <item x="65"/>
        <item x="327"/>
        <item x="341"/>
        <item x="277"/>
        <item x="138"/>
        <item x="214"/>
        <item x="193"/>
        <item x="175"/>
        <item x="331"/>
        <item x="334"/>
        <item x="413"/>
        <item x="231"/>
        <item x="124"/>
        <item x="297"/>
        <item x="117"/>
        <item x="310"/>
        <item x="48"/>
        <item x="140"/>
        <item x="72"/>
        <item x="262"/>
        <item x="43"/>
        <item x="220"/>
        <item x="320"/>
        <item x="309"/>
        <item x="182"/>
        <item x="148"/>
        <item x="400"/>
        <item x="386"/>
        <item x="198"/>
        <item x="69"/>
        <item x="10"/>
        <item x="298"/>
        <item x="42"/>
        <item x="16"/>
        <item x="84"/>
        <item x="143"/>
        <item x="317"/>
        <item x="257"/>
        <item x="178"/>
        <item x="289"/>
        <item x="355"/>
        <item x="207"/>
        <item x="313"/>
        <item x="99"/>
        <item x="24"/>
        <item x="423"/>
        <item x="136"/>
        <item x="254"/>
        <item x="406"/>
        <item x="279"/>
        <item x="36"/>
        <item x="82"/>
        <item x="308"/>
        <item x="314"/>
        <item x="96"/>
        <item x="44"/>
        <item x="12"/>
        <item x="351"/>
        <item x="122"/>
        <item x="150"/>
        <item x="112"/>
        <item x="283"/>
        <item x="259"/>
        <item x="61"/>
        <item x="398"/>
        <item x="270"/>
        <item t="default"/>
      </items>
    </pivotField>
    <pivotField showAll="0"/>
    <pivotField showAll="0">
      <items count="538">
        <item x="152"/>
        <item x="83"/>
        <item x="121"/>
        <item x="399"/>
        <item x="315"/>
        <item x="379"/>
        <item x="9"/>
        <item x="272"/>
        <item x="116"/>
        <item x="430"/>
        <item x="120"/>
        <item x="10"/>
        <item x="389"/>
        <item x="329"/>
        <item x="86"/>
        <item x="233"/>
        <item x="77"/>
        <item x="525"/>
        <item x="205"/>
        <item x="522"/>
        <item x="191"/>
        <item x="110"/>
        <item x="53"/>
        <item x="44"/>
        <item x="157"/>
        <item x="177"/>
        <item x="168"/>
        <item x="385"/>
        <item x="468"/>
        <item x="307"/>
        <item x="5"/>
        <item x="6"/>
        <item x="517"/>
        <item x="48"/>
        <item x="371"/>
        <item x="268"/>
        <item x="530"/>
        <item x="269"/>
        <item x="182"/>
        <item x="212"/>
        <item x="372"/>
        <item x="143"/>
        <item x="230"/>
        <item x="345"/>
        <item x="310"/>
        <item x="84"/>
        <item x="486"/>
        <item x="130"/>
        <item x="377"/>
        <item x="478"/>
        <item x="134"/>
        <item x="477"/>
        <item x="370"/>
        <item x="360"/>
        <item x="218"/>
        <item x="258"/>
        <item x="435"/>
        <item x="117"/>
        <item x="217"/>
        <item x="496"/>
        <item x="417"/>
        <item x="444"/>
        <item x="236"/>
        <item x="508"/>
        <item x="34"/>
        <item x="454"/>
        <item x="356"/>
        <item x="192"/>
        <item x="63"/>
        <item x="154"/>
        <item x="202"/>
        <item x="313"/>
        <item x="234"/>
        <item x="314"/>
        <item x="407"/>
        <item x="491"/>
        <item x="257"/>
        <item x="81"/>
        <item x="426"/>
        <item x="469"/>
        <item x="349"/>
        <item x="452"/>
        <item x="296"/>
        <item x="488"/>
        <item x="463"/>
        <item x="95"/>
        <item x="386"/>
        <item x="59"/>
        <item x="503"/>
        <item x="330"/>
        <item x="160"/>
        <item x="199"/>
        <item x="429"/>
        <item x="327"/>
        <item x="31"/>
        <item x="41"/>
        <item x="85"/>
        <item x="103"/>
        <item x="507"/>
        <item x="2"/>
        <item x="353"/>
        <item x="137"/>
        <item x="420"/>
        <item x="216"/>
        <item x="394"/>
        <item x="368"/>
        <item x="510"/>
        <item x="255"/>
        <item x="169"/>
        <item x="476"/>
        <item x="4"/>
        <item x="106"/>
        <item x="424"/>
        <item x="166"/>
        <item x="397"/>
        <item x="499"/>
        <item x="165"/>
        <item x="175"/>
        <item x="237"/>
        <item x="127"/>
        <item x="114"/>
        <item x="509"/>
        <item x="473"/>
        <item x="410"/>
        <item x="222"/>
        <item x="28"/>
        <item x="105"/>
        <item x="362"/>
        <item x="527"/>
        <item x="195"/>
        <item x="518"/>
        <item x="474"/>
        <item x="214"/>
        <item x="187"/>
        <item x="235"/>
        <item x="534"/>
        <item x="351"/>
        <item x="112"/>
        <item x="26"/>
        <item x="0"/>
        <item x="535"/>
        <item x="479"/>
        <item x="434"/>
        <item x="256"/>
        <item x="408"/>
        <item x="378"/>
        <item x="449"/>
        <item x="102"/>
        <item x="24"/>
        <item x="208"/>
        <item x="405"/>
        <item x="361"/>
        <item x="515"/>
        <item x="382"/>
        <item x="409"/>
        <item x="97"/>
        <item x="495"/>
        <item x="519"/>
        <item x="151"/>
        <item x="65"/>
        <item x="523"/>
        <item x="493"/>
        <item x="153"/>
        <item x="387"/>
        <item x="359"/>
        <item x="247"/>
        <item x="249"/>
        <item x="70"/>
        <item x="365"/>
        <item x="455"/>
        <item x="243"/>
        <item x="309"/>
        <item x="446"/>
        <item x="193"/>
        <item x="395"/>
        <item x="305"/>
        <item x="156"/>
        <item x="392"/>
        <item x="122"/>
        <item x="458"/>
        <item x="358"/>
        <item x="75"/>
        <item x="338"/>
        <item x="277"/>
        <item x="414"/>
        <item x="393"/>
        <item x="326"/>
        <item x="27"/>
        <item x="158"/>
        <item x="231"/>
        <item x="423"/>
        <item x="210"/>
        <item x="336"/>
        <item x="421"/>
        <item x="73"/>
        <item x="11"/>
        <item x="146"/>
        <item x="475"/>
        <item x="204"/>
        <item x="529"/>
        <item x="494"/>
        <item x="113"/>
        <item x="91"/>
        <item x="355"/>
        <item x="180"/>
        <item x="163"/>
        <item x="374"/>
        <item x="223"/>
        <item x="321"/>
        <item x="464"/>
        <item x="57"/>
        <item x="416"/>
        <item x="254"/>
        <item x="381"/>
        <item x="232"/>
        <item x="37"/>
        <item x="489"/>
        <item x="140"/>
        <item x="490"/>
        <item x="17"/>
        <item x="340"/>
        <item x="436"/>
        <item x="398"/>
        <item x="145"/>
        <item x="179"/>
        <item x="47"/>
        <item x="21"/>
        <item x="521"/>
        <item x="76"/>
        <item x="422"/>
        <item x="265"/>
        <item x="167"/>
        <item x="79"/>
        <item x="72"/>
        <item x="285"/>
        <item x="484"/>
        <item x="241"/>
        <item x="200"/>
        <item x="90"/>
        <item x="348"/>
        <item x="67"/>
        <item x="498"/>
        <item x="532"/>
        <item x="32"/>
        <item x="383"/>
        <item x="306"/>
        <item x="273"/>
        <item x="279"/>
        <item x="132"/>
        <item x="341"/>
        <item x="209"/>
        <item x="320"/>
        <item x="419"/>
        <item x="485"/>
        <item x="366"/>
        <item x="447"/>
        <item x="427"/>
        <item x="451"/>
        <item x="220"/>
        <item x="280"/>
        <item x="342"/>
        <item x="19"/>
        <item x="50"/>
        <item x="390"/>
        <item x="119"/>
        <item x="289"/>
        <item x="251"/>
        <item x="403"/>
        <item x="497"/>
        <item x="528"/>
        <item x="432"/>
        <item x="181"/>
        <item x="462"/>
        <item x="89"/>
        <item x="335"/>
        <item x="260"/>
        <item x="295"/>
        <item x="404"/>
        <item x="482"/>
        <item x="39"/>
        <item x="228"/>
        <item x="46"/>
        <item x="347"/>
        <item x="344"/>
        <item x="148"/>
        <item x="64"/>
        <item x="38"/>
        <item x="171"/>
        <item x="98"/>
        <item x="439"/>
        <item x="56"/>
        <item x="526"/>
        <item x="7"/>
        <item x="194"/>
        <item x="22"/>
        <item x="242"/>
        <item x="164"/>
        <item x="52"/>
        <item x="138"/>
        <item x="42"/>
        <item x="82"/>
        <item x="170"/>
        <item x="149"/>
        <item x="196"/>
        <item x="291"/>
        <item x="129"/>
        <item x="263"/>
        <item x="334"/>
        <item x="136"/>
        <item x="288"/>
        <item x="224"/>
        <item x="467"/>
        <item x="278"/>
        <item x="367"/>
        <item x="43"/>
        <item x="226"/>
        <item x="271"/>
        <item x="20"/>
        <item x="142"/>
        <item x="108"/>
        <item x="211"/>
        <item x="125"/>
        <item x="141"/>
        <item x="3"/>
        <item x="317"/>
        <item x="184"/>
        <item x="99"/>
        <item x="25"/>
        <item x="501"/>
        <item x="58"/>
        <item x="483"/>
        <item x="55"/>
        <item x="100"/>
        <item x="384"/>
        <item x="437"/>
        <item x="275"/>
        <item x="8"/>
        <item x="322"/>
        <item x="308"/>
        <item x="346"/>
        <item x="323"/>
        <item x="282"/>
        <item x="107"/>
        <item x="301"/>
        <item x="240"/>
        <item x="401"/>
        <item x="206"/>
        <item x="159"/>
        <item x="201"/>
        <item x="411"/>
        <item x="66"/>
        <item x="465"/>
        <item x="111"/>
        <item x="504"/>
        <item x="332"/>
        <item x="264"/>
        <item x="459"/>
        <item x="456"/>
        <item x="215"/>
        <item x="270"/>
        <item x="396"/>
        <item x="150"/>
        <item x="29"/>
        <item x="124"/>
        <item x="433"/>
        <item x="128"/>
        <item x="324"/>
        <item x="438"/>
        <item x="155"/>
        <item x="400"/>
        <item x="221"/>
        <item x="364"/>
        <item x="248"/>
        <item x="96"/>
        <item x="30"/>
        <item x="135"/>
        <item x="139"/>
        <item x="363"/>
        <item x="352"/>
        <item x="229"/>
        <item x="71"/>
        <item x="267"/>
        <item x="16"/>
        <item x="412"/>
        <item x="185"/>
        <item x="369"/>
        <item x="104"/>
        <item x="460"/>
        <item x="174"/>
        <item x="287"/>
        <item x="88"/>
        <item x="470"/>
        <item x="78"/>
        <item x="487"/>
        <item x="213"/>
        <item x="245"/>
        <item x="442"/>
        <item x="376"/>
        <item x="298"/>
        <item x="511"/>
        <item x="60"/>
        <item x="13"/>
        <item x="304"/>
        <item x="514"/>
        <item x="325"/>
        <item x="441"/>
        <item x="227"/>
        <item x="286"/>
        <item x="161"/>
        <item x="415"/>
        <item x="45"/>
        <item x="524"/>
        <item x="318"/>
        <item x="80"/>
        <item x="183"/>
        <item x="388"/>
        <item x="250"/>
        <item x="1"/>
        <item x="391"/>
        <item x="15"/>
        <item x="36"/>
        <item x="274"/>
        <item x="375"/>
        <item x="453"/>
        <item x="262"/>
        <item x="266"/>
        <item x="461"/>
        <item x="54"/>
        <item x="190"/>
        <item x="536"/>
        <item x="516"/>
        <item x="92"/>
        <item x="188"/>
        <item x="445"/>
        <item x="299"/>
        <item x="466"/>
        <item x="101"/>
        <item x="246"/>
        <item x="40"/>
        <item x="189"/>
        <item x="61"/>
        <item x="33"/>
        <item x="512"/>
        <item x="51"/>
        <item x="261"/>
        <item x="513"/>
        <item x="428"/>
        <item x="68"/>
        <item x="207"/>
        <item x="93"/>
        <item x="283"/>
        <item x="290"/>
        <item x="448"/>
        <item x="380"/>
        <item x="35"/>
        <item x="354"/>
        <item x="197"/>
        <item x="225"/>
        <item x="373"/>
        <item x="406"/>
        <item x="115"/>
        <item x="440"/>
        <item x="506"/>
        <item x="302"/>
        <item x="350"/>
        <item x="333"/>
        <item x="131"/>
        <item x="402"/>
        <item x="303"/>
        <item x="147"/>
        <item x="297"/>
        <item x="62"/>
        <item x="331"/>
        <item x="23"/>
        <item x="294"/>
        <item x="319"/>
        <item x="502"/>
        <item x="480"/>
        <item x="457"/>
        <item x="293"/>
        <item x="173"/>
        <item x="337"/>
        <item x="316"/>
        <item x="176"/>
        <item x="472"/>
        <item x="12"/>
        <item x="18"/>
        <item x="49"/>
        <item x="425"/>
        <item x="418"/>
        <item x="357"/>
        <item x="312"/>
        <item x="87"/>
        <item x="219"/>
        <item x="133"/>
        <item x="520"/>
        <item x="94"/>
        <item x="252"/>
        <item x="443"/>
        <item x="126"/>
        <item x="300"/>
        <item x="178"/>
        <item x="284"/>
        <item x="118"/>
        <item x="259"/>
        <item x="276"/>
        <item x="492"/>
        <item x="339"/>
        <item x="413"/>
        <item x="74"/>
        <item x="505"/>
        <item x="292"/>
        <item x="69"/>
        <item x="253"/>
        <item x="14"/>
        <item x="244"/>
        <item x="500"/>
        <item x="481"/>
        <item x="531"/>
        <item x="144"/>
        <item x="533"/>
        <item x="239"/>
        <item x="281"/>
        <item x="471"/>
        <item x="328"/>
        <item x="343"/>
        <item x="162"/>
        <item x="431"/>
        <item x="172"/>
        <item x="198"/>
        <item x="186"/>
        <item x="450"/>
        <item x="123"/>
        <item x="238"/>
        <item x="311"/>
        <item x="109"/>
        <item x="203"/>
        <item t="default"/>
      </items>
    </pivotField>
    <pivotField showAll="0"/>
    <pivotField showAll="0"/>
    <pivotField showAll="0"/>
    <pivotField showAll="0"/>
    <pivotField showAll="0">
      <items count="5">
        <item x="0"/>
        <item x="3"/>
        <item x="2"/>
        <item x="1"/>
        <item t="default"/>
      </items>
    </pivotField>
    <pivotField showAll="0"/>
    <pivotField showAll="0">
      <items count="7">
        <item x="4"/>
        <item x="1"/>
        <item x="3"/>
        <item x="2"/>
        <item x="5"/>
        <item x="0"/>
        <item t="default"/>
      </items>
    </pivotField>
    <pivotField showAll="0">
      <items count="13">
        <item x="11"/>
        <item x="5"/>
        <item x="2"/>
        <item x="10"/>
        <item x="3"/>
        <item x="1"/>
        <item x="9"/>
        <item x="8"/>
        <item x="0"/>
        <item x="7"/>
        <item x="4"/>
        <item x="6"/>
        <item t="default"/>
      </items>
    </pivotField>
    <pivotField showAll="0"/>
    <pivotField showAll="0"/>
    <pivotField dataField="1" showAll="0"/>
    <pivotField showAll="0"/>
    <pivotField showAll="0"/>
    <pivotField showAll="0">
      <items count="5">
        <item x="3"/>
        <item x="1"/>
        <item x="2"/>
        <item x="0"/>
        <item t="default"/>
      </items>
    </pivotField>
    <pivotField showAll="0">
      <items count="4">
        <item x="1"/>
        <item x="2"/>
        <item x="0"/>
        <item t="default"/>
      </items>
    </pivotField>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Total Sales" fld="15" baseField="0" baseItem="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224C74-31D0-480B-AD36-738F2093DBCD}" name="pie 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3:B50" firstHeaderRow="1" firstDataRow="1" firstDataCol="1"/>
  <pivotFields count="26">
    <pivotField showAll="0"/>
    <pivotField showAll="0">
      <items count="3">
        <item x="0"/>
        <item x="1"/>
        <item t="default"/>
      </items>
    </pivotField>
    <pivotField numFmtId="14" showAll="0">
      <items count="432">
        <item x="20"/>
        <item x="404"/>
        <item x="365"/>
        <item x="73"/>
        <item x="394"/>
        <item x="363"/>
        <item x="126"/>
        <item x="425"/>
        <item x="211"/>
        <item x="273"/>
        <item x="121"/>
        <item x="376"/>
        <item x="380"/>
        <item x="5"/>
        <item x="347"/>
        <item x="53"/>
        <item x="274"/>
        <item x="356"/>
        <item x="23"/>
        <item x="315"/>
        <item x="91"/>
        <item x="389"/>
        <item x="323"/>
        <item x="420"/>
        <item x="62"/>
        <item x="416"/>
        <item x="330"/>
        <item x="157"/>
        <item x="409"/>
        <item x="79"/>
        <item x="51"/>
        <item x="33"/>
        <item x="107"/>
        <item x="27"/>
        <item x="248"/>
        <item x="405"/>
        <item x="284"/>
        <item x="177"/>
        <item x="29"/>
        <item x="26"/>
        <item x="147"/>
        <item x="225"/>
        <item x="408"/>
        <item x="173"/>
        <item x="15"/>
        <item x="303"/>
        <item x="118"/>
        <item x="114"/>
        <item x="233"/>
        <item x="339"/>
        <item x="22"/>
        <item x="256"/>
        <item x="414"/>
        <item x="11"/>
        <item x="407"/>
        <item x="422"/>
        <item x="368"/>
        <item x="137"/>
        <item x="28"/>
        <item x="166"/>
        <item x="232"/>
        <item x="218"/>
        <item x="171"/>
        <item x="162"/>
        <item x="261"/>
        <item x="49"/>
        <item x="395"/>
        <item x="103"/>
        <item x="282"/>
        <item x="174"/>
        <item x="366"/>
        <item x="217"/>
        <item x="86"/>
        <item x="335"/>
        <item x="35"/>
        <item x="6"/>
        <item x="427"/>
        <item x="202"/>
        <item x="47"/>
        <item x="200"/>
        <item x="428"/>
        <item x="21"/>
        <item x="357"/>
        <item x="342"/>
        <item x="272"/>
        <item x="170"/>
        <item x="189"/>
        <item x="75"/>
        <item x="9"/>
        <item x="40"/>
        <item x="163"/>
        <item x="369"/>
        <item x="196"/>
        <item x="78"/>
        <item x="371"/>
        <item x="243"/>
        <item x="71"/>
        <item x="4"/>
        <item x="352"/>
        <item x="344"/>
        <item x="281"/>
        <item x="185"/>
        <item x="224"/>
        <item x="104"/>
        <item x="139"/>
        <item x="180"/>
        <item x="354"/>
        <item x="159"/>
        <item x="146"/>
        <item x="31"/>
        <item x="66"/>
        <item x="210"/>
        <item x="50"/>
        <item x="241"/>
        <item x="249"/>
        <item x="70"/>
        <item x="286"/>
        <item x="295"/>
        <item x="209"/>
        <item x="269"/>
        <item x="77"/>
        <item x="18"/>
        <item x="299"/>
        <item x="110"/>
        <item x="115"/>
        <item x="374"/>
        <item x="76"/>
        <item x="52"/>
        <item x="144"/>
        <item x="100"/>
        <item x="226"/>
        <item x="14"/>
        <item x="123"/>
        <item x="235"/>
        <item x="3"/>
        <item x="316"/>
        <item x="239"/>
        <item x="348"/>
        <item x="181"/>
        <item x="195"/>
        <item x="41"/>
        <item x="108"/>
        <item x="203"/>
        <item x="278"/>
        <item x="358"/>
        <item x="255"/>
        <item x="113"/>
        <item x="149"/>
        <item x="38"/>
        <item x="362"/>
        <item x="267"/>
        <item x="253"/>
        <item x="199"/>
        <item x="251"/>
        <item x="168"/>
        <item x="229"/>
        <item x="319"/>
        <item x="300"/>
        <item x="167"/>
        <item x="187"/>
        <item x="37"/>
        <item x="412"/>
        <item x="57"/>
        <item x="296"/>
        <item x="45"/>
        <item x="245"/>
        <item x="383"/>
        <item x="336"/>
        <item x="388"/>
        <item x="246"/>
        <item x="135"/>
        <item x="212"/>
        <item x="304"/>
        <item x="349"/>
        <item x="88"/>
        <item x="326"/>
        <item x="275"/>
        <item x="265"/>
        <item x="39"/>
        <item x="250"/>
        <item x="396"/>
        <item x="324"/>
        <item x="219"/>
        <item x="197"/>
        <item x="418"/>
        <item x="7"/>
        <item x="133"/>
        <item x="106"/>
        <item x="119"/>
        <item x="285"/>
        <item x="393"/>
        <item x="223"/>
        <item x="58"/>
        <item x="399"/>
        <item x="237"/>
        <item x="68"/>
        <item x="325"/>
        <item x="89"/>
        <item x="266"/>
        <item x="305"/>
        <item x="208"/>
        <item x="301"/>
        <item x="415"/>
        <item x="215"/>
        <item x="424"/>
        <item x="280"/>
        <item x="63"/>
        <item x="109"/>
        <item x="268"/>
        <item x="102"/>
        <item x="116"/>
        <item x="384"/>
        <item x="188"/>
        <item x="145"/>
        <item x="370"/>
        <item x="56"/>
        <item x="184"/>
        <item x="191"/>
        <item x="263"/>
        <item x="430"/>
        <item x="1"/>
        <item x="213"/>
        <item x="373"/>
        <item x="307"/>
        <item x="2"/>
        <item x="30"/>
        <item x="151"/>
        <item x="0"/>
        <item x="80"/>
        <item x="381"/>
        <item x="105"/>
        <item x="387"/>
        <item x="46"/>
        <item x="125"/>
        <item x="97"/>
        <item x="93"/>
        <item x="290"/>
        <item x="346"/>
        <item x="25"/>
        <item x="240"/>
        <item x="312"/>
        <item x="401"/>
        <item x="360"/>
        <item x="160"/>
        <item x="359"/>
        <item x="321"/>
        <item x="222"/>
        <item x="164"/>
        <item x="19"/>
        <item x="92"/>
        <item x="169"/>
        <item x="337"/>
        <item x="101"/>
        <item x="201"/>
        <item x="392"/>
        <item x="372"/>
        <item x="379"/>
        <item x="98"/>
        <item x="385"/>
        <item x="311"/>
        <item x="364"/>
        <item x="216"/>
        <item x="234"/>
        <item x="130"/>
        <item x="238"/>
        <item x="403"/>
        <item x="318"/>
        <item x="302"/>
        <item x="390"/>
        <item x="131"/>
        <item x="129"/>
        <item x="55"/>
        <item x="134"/>
        <item x="54"/>
        <item x="142"/>
        <item x="333"/>
        <item x="252"/>
        <item x="230"/>
        <item x="161"/>
        <item x="111"/>
        <item x="83"/>
        <item x="190"/>
        <item x="382"/>
        <item x="375"/>
        <item x="205"/>
        <item x="192"/>
        <item x="429"/>
        <item x="411"/>
        <item x="81"/>
        <item x="13"/>
        <item x="156"/>
        <item x="271"/>
        <item x="128"/>
        <item x="155"/>
        <item x="292"/>
        <item x="74"/>
        <item x="34"/>
        <item x="244"/>
        <item x="90"/>
        <item x="179"/>
        <item x="141"/>
        <item x="221"/>
        <item x="306"/>
        <item x="186"/>
        <item x="87"/>
        <item x="397"/>
        <item x="132"/>
        <item x="67"/>
        <item x="378"/>
        <item x="228"/>
        <item x="153"/>
        <item x="154"/>
        <item x="419"/>
        <item x="85"/>
        <item x="343"/>
        <item x="328"/>
        <item x="95"/>
        <item x="60"/>
        <item x="260"/>
        <item x="288"/>
        <item x="322"/>
        <item x="127"/>
        <item x="410"/>
        <item x="247"/>
        <item x="236"/>
        <item x="206"/>
        <item x="158"/>
        <item x="353"/>
        <item x="194"/>
        <item x="287"/>
        <item x="291"/>
        <item x="377"/>
        <item x="417"/>
        <item x="165"/>
        <item x="350"/>
        <item x="367"/>
        <item x="242"/>
        <item x="361"/>
        <item x="332"/>
        <item x="276"/>
        <item x="227"/>
        <item x="329"/>
        <item x="176"/>
        <item x="59"/>
        <item x="64"/>
        <item x="421"/>
        <item x="294"/>
        <item x="172"/>
        <item x="258"/>
        <item x="426"/>
        <item x="345"/>
        <item x="264"/>
        <item x="402"/>
        <item x="340"/>
        <item x="17"/>
        <item x="32"/>
        <item x="338"/>
        <item x="120"/>
        <item x="94"/>
        <item x="391"/>
        <item x="204"/>
        <item x="293"/>
        <item x="152"/>
        <item x="8"/>
        <item x="183"/>
        <item x="65"/>
        <item x="327"/>
        <item x="341"/>
        <item x="277"/>
        <item x="138"/>
        <item x="214"/>
        <item x="193"/>
        <item x="175"/>
        <item x="331"/>
        <item x="334"/>
        <item x="413"/>
        <item x="231"/>
        <item x="124"/>
        <item x="297"/>
        <item x="117"/>
        <item x="310"/>
        <item x="48"/>
        <item x="140"/>
        <item x="72"/>
        <item x="262"/>
        <item x="43"/>
        <item x="220"/>
        <item x="320"/>
        <item x="309"/>
        <item x="182"/>
        <item x="148"/>
        <item x="400"/>
        <item x="386"/>
        <item x="198"/>
        <item x="69"/>
        <item x="10"/>
        <item x="298"/>
        <item x="42"/>
        <item x="16"/>
        <item x="84"/>
        <item x="143"/>
        <item x="317"/>
        <item x="257"/>
        <item x="178"/>
        <item x="289"/>
        <item x="355"/>
        <item x="207"/>
        <item x="313"/>
        <item x="99"/>
        <item x="24"/>
        <item x="423"/>
        <item x="136"/>
        <item x="254"/>
        <item x="406"/>
        <item x="279"/>
        <item x="36"/>
        <item x="82"/>
        <item x="308"/>
        <item x="314"/>
        <item x="96"/>
        <item x="44"/>
        <item x="12"/>
        <item x="351"/>
        <item x="122"/>
        <item x="150"/>
        <item x="112"/>
        <item x="283"/>
        <item x="259"/>
        <item x="61"/>
        <item x="398"/>
        <item x="270"/>
        <item t="default"/>
      </items>
    </pivotField>
    <pivotField showAll="0"/>
    <pivotField showAll="0">
      <items count="538">
        <item x="152"/>
        <item x="83"/>
        <item x="121"/>
        <item x="399"/>
        <item x="315"/>
        <item x="379"/>
        <item x="9"/>
        <item x="272"/>
        <item x="116"/>
        <item x="430"/>
        <item x="120"/>
        <item x="10"/>
        <item x="389"/>
        <item x="329"/>
        <item x="86"/>
        <item x="233"/>
        <item x="77"/>
        <item x="525"/>
        <item x="205"/>
        <item x="522"/>
        <item x="191"/>
        <item x="110"/>
        <item x="53"/>
        <item x="44"/>
        <item x="157"/>
        <item x="177"/>
        <item x="168"/>
        <item x="385"/>
        <item x="468"/>
        <item x="307"/>
        <item x="5"/>
        <item x="6"/>
        <item x="517"/>
        <item x="48"/>
        <item x="371"/>
        <item x="268"/>
        <item x="530"/>
        <item x="269"/>
        <item x="182"/>
        <item x="212"/>
        <item x="372"/>
        <item x="143"/>
        <item x="230"/>
        <item x="345"/>
        <item x="310"/>
        <item x="84"/>
        <item x="486"/>
        <item x="130"/>
        <item x="377"/>
        <item x="478"/>
        <item x="134"/>
        <item x="477"/>
        <item x="370"/>
        <item x="360"/>
        <item x="218"/>
        <item x="258"/>
        <item x="435"/>
        <item x="117"/>
        <item x="217"/>
        <item x="496"/>
        <item x="417"/>
        <item x="444"/>
        <item x="236"/>
        <item x="508"/>
        <item x="34"/>
        <item x="454"/>
        <item x="356"/>
        <item x="192"/>
        <item x="63"/>
        <item x="154"/>
        <item x="202"/>
        <item x="313"/>
        <item x="234"/>
        <item x="314"/>
        <item x="407"/>
        <item x="491"/>
        <item x="257"/>
        <item x="81"/>
        <item x="426"/>
        <item x="469"/>
        <item x="349"/>
        <item x="452"/>
        <item x="296"/>
        <item x="488"/>
        <item x="463"/>
        <item x="95"/>
        <item x="386"/>
        <item x="59"/>
        <item x="503"/>
        <item x="330"/>
        <item x="160"/>
        <item x="199"/>
        <item x="429"/>
        <item x="327"/>
        <item x="31"/>
        <item x="41"/>
        <item x="85"/>
        <item x="103"/>
        <item x="507"/>
        <item x="2"/>
        <item x="353"/>
        <item x="137"/>
        <item x="420"/>
        <item x="216"/>
        <item x="394"/>
        <item x="368"/>
        <item x="510"/>
        <item x="255"/>
        <item x="169"/>
        <item x="476"/>
        <item x="4"/>
        <item x="106"/>
        <item x="424"/>
        <item x="166"/>
        <item x="397"/>
        <item x="499"/>
        <item x="165"/>
        <item x="175"/>
        <item x="237"/>
        <item x="127"/>
        <item x="114"/>
        <item x="509"/>
        <item x="473"/>
        <item x="410"/>
        <item x="222"/>
        <item x="28"/>
        <item x="105"/>
        <item x="362"/>
        <item x="527"/>
        <item x="195"/>
        <item x="518"/>
        <item x="474"/>
        <item x="214"/>
        <item x="187"/>
        <item x="235"/>
        <item x="534"/>
        <item x="351"/>
        <item x="112"/>
        <item x="26"/>
        <item x="0"/>
        <item x="535"/>
        <item x="479"/>
        <item x="434"/>
        <item x="256"/>
        <item x="408"/>
        <item x="378"/>
        <item x="449"/>
        <item x="102"/>
        <item x="24"/>
        <item x="208"/>
        <item x="405"/>
        <item x="361"/>
        <item x="515"/>
        <item x="382"/>
        <item x="409"/>
        <item x="97"/>
        <item x="495"/>
        <item x="519"/>
        <item x="151"/>
        <item x="65"/>
        <item x="523"/>
        <item x="493"/>
        <item x="153"/>
        <item x="387"/>
        <item x="359"/>
        <item x="247"/>
        <item x="249"/>
        <item x="70"/>
        <item x="365"/>
        <item x="455"/>
        <item x="243"/>
        <item x="309"/>
        <item x="446"/>
        <item x="193"/>
        <item x="395"/>
        <item x="305"/>
        <item x="156"/>
        <item x="392"/>
        <item x="122"/>
        <item x="458"/>
        <item x="358"/>
        <item x="75"/>
        <item x="338"/>
        <item x="277"/>
        <item x="414"/>
        <item x="393"/>
        <item x="326"/>
        <item x="27"/>
        <item x="158"/>
        <item x="231"/>
        <item x="423"/>
        <item x="210"/>
        <item x="336"/>
        <item x="421"/>
        <item x="73"/>
        <item x="11"/>
        <item x="146"/>
        <item x="475"/>
        <item x="204"/>
        <item x="529"/>
        <item x="494"/>
        <item x="113"/>
        <item x="91"/>
        <item x="355"/>
        <item x="180"/>
        <item x="163"/>
        <item x="374"/>
        <item x="223"/>
        <item x="321"/>
        <item x="464"/>
        <item x="57"/>
        <item x="416"/>
        <item x="254"/>
        <item x="381"/>
        <item x="232"/>
        <item x="37"/>
        <item x="489"/>
        <item x="140"/>
        <item x="490"/>
        <item x="17"/>
        <item x="340"/>
        <item x="436"/>
        <item x="398"/>
        <item x="145"/>
        <item x="179"/>
        <item x="47"/>
        <item x="21"/>
        <item x="521"/>
        <item x="76"/>
        <item x="422"/>
        <item x="265"/>
        <item x="167"/>
        <item x="79"/>
        <item x="72"/>
        <item x="285"/>
        <item x="484"/>
        <item x="241"/>
        <item x="200"/>
        <item x="90"/>
        <item x="348"/>
        <item x="67"/>
        <item x="498"/>
        <item x="532"/>
        <item x="32"/>
        <item x="383"/>
        <item x="306"/>
        <item x="273"/>
        <item x="279"/>
        <item x="132"/>
        <item x="341"/>
        <item x="209"/>
        <item x="320"/>
        <item x="419"/>
        <item x="485"/>
        <item x="366"/>
        <item x="447"/>
        <item x="427"/>
        <item x="451"/>
        <item x="220"/>
        <item x="280"/>
        <item x="342"/>
        <item x="19"/>
        <item x="50"/>
        <item x="390"/>
        <item x="119"/>
        <item x="289"/>
        <item x="251"/>
        <item x="403"/>
        <item x="497"/>
        <item x="528"/>
        <item x="432"/>
        <item x="181"/>
        <item x="462"/>
        <item x="89"/>
        <item x="335"/>
        <item x="260"/>
        <item x="295"/>
        <item x="404"/>
        <item x="482"/>
        <item x="39"/>
        <item x="228"/>
        <item x="46"/>
        <item x="347"/>
        <item x="344"/>
        <item x="148"/>
        <item x="64"/>
        <item x="38"/>
        <item x="171"/>
        <item x="98"/>
        <item x="439"/>
        <item x="56"/>
        <item x="526"/>
        <item x="7"/>
        <item x="194"/>
        <item x="22"/>
        <item x="242"/>
        <item x="164"/>
        <item x="52"/>
        <item x="138"/>
        <item x="42"/>
        <item x="82"/>
        <item x="170"/>
        <item x="149"/>
        <item x="196"/>
        <item x="291"/>
        <item x="129"/>
        <item x="263"/>
        <item x="334"/>
        <item x="136"/>
        <item x="288"/>
        <item x="224"/>
        <item x="467"/>
        <item x="278"/>
        <item x="367"/>
        <item x="43"/>
        <item x="226"/>
        <item x="271"/>
        <item x="20"/>
        <item x="142"/>
        <item x="108"/>
        <item x="211"/>
        <item x="125"/>
        <item x="141"/>
        <item x="3"/>
        <item x="317"/>
        <item x="184"/>
        <item x="99"/>
        <item x="25"/>
        <item x="501"/>
        <item x="58"/>
        <item x="483"/>
        <item x="55"/>
        <item x="100"/>
        <item x="384"/>
        <item x="437"/>
        <item x="275"/>
        <item x="8"/>
        <item x="322"/>
        <item x="308"/>
        <item x="346"/>
        <item x="323"/>
        <item x="282"/>
        <item x="107"/>
        <item x="301"/>
        <item x="240"/>
        <item x="401"/>
        <item x="206"/>
        <item x="159"/>
        <item x="201"/>
        <item x="411"/>
        <item x="66"/>
        <item x="465"/>
        <item x="111"/>
        <item x="504"/>
        <item x="332"/>
        <item x="264"/>
        <item x="459"/>
        <item x="456"/>
        <item x="215"/>
        <item x="270"/>
        <item x="396"/>
        <item x="150"/>
        <item x="29"/>
        <item x="124"/>
        <item x="433"/>
        <item x="128"/>
        <item x="324"/>
        <item x="438"/>
        <item x="155"/>
        <item x="400"/>
        <item x="221"/>
        <item x="364"/>
        <item x="248"/>
        <item x="96"/>
        <item x="30"/>
        <item x="135"/>
        <item x="139"/>
        <item x="363"/>
        <item x="352"/>
        <item x="229"/>
        <item x="71"/>
        <item x="267"/>
        <item x="16"/>
        <item x="412"/>
        <item x="185"/>
        <item x="369"/>
        <item x="104"/>
        <item x="460"/>
        <item x="174"/>
        <item x="287"/>
        <item x="88"/>
        <item x="470"/>
        <item x="78"/>
        <item x="487"/>
        <item x="213"/>
        <item x="245"/>
        <item x="442"/>
        <item x="376"/>
        <item x="298"/>
        <item x="511"/>
        <item x="60"/>
        <item x="13"/>
        <item x="304"/>
        <item x="514"/>
        <item x="325"/>
        <item x="441"/>
        <item x="227"/>
        <item x="286"/>
        <item x="161"/>
        <item x="415"/>
        <item x="45"/>
        <item x="524"/>
        <item x="318"/>
        <item x="80"/>
        <item x="183"/>
        <item x="388"/>
        <item x="250"/>
        <item x="1"/>
        <item x="391"/>
        <item x="15"/>
        <item x="36"/>
        <item x="274"/>
        <item x="375"/>
        <item x="453"/>
        <item x="262"/>
        <item x="266"/>
        <item x="461"/>
        <item x="54"/>
        <item x="190"/>
        <item x="536"/>
        <item x="516"/>
        <item x="92"/>
        <item x="188"/>
        <item x="445"/>
        <item x="299"/>
        <item x="466"/>
        <item x="101"/>
        <item x="246"/>
        <item x="40"/>
        <item x="189"/>
        <item x="61"/>
        <item x="33"/>
        <item x="512"/>
        <item x="51"/>
        <item x="261"/>
        <item x="513"/>
        <item x="428"/>
        <item x="68"/>
        <item x="207"/>
        <item x="93"/>
        <item x="283"/>
        <item x="290"/>
        <item x="448"/>
        <item x="380"/>
        <item x="35"/>
        <item x="354"/>
        <item x="197"/>
        <item x="225"/>
        <item x="373"/>
        <item x="406"/>
        <item x="115"/>
        <item x="440"/>
        <item x="506"/>
        <item x="302"/>
        <item x="350"/>
        <item x="333"/>
        <item x="131"/>
        <item x="402"/>
        <item x="303"/>
        <item x="147"/>
        <item x="297"/>
        <item x="62"/>
        <item x="331"/>
        <item x="23"/>
        <item x="294"/>
        <item x="319"/>
        <item x="502"/>
        <item x="480"/>
        <item x="457"/>
        <item x="293"/>
        <item x="173"/>
        <item x="337"/>
        <item x="316"/>
        <item x="176"/>
        <item x="472"/>
        <item x="12"/>
        <item x="18"/>
        <item x="49"/>
        <item x="425"/>
        <item x="418"/>
        <item x="357"/>
        <item x="312"/>
        <item x="87"/>
        <item x="219"/>
        <item x="133"/>
        <item x="520"/>
        <item x="94"/>
        <item x="252"/>
        <item x="443"/>
        <item x="126"/>
        <item x="300"/>
        <item x="178"/>
        <item x="284"/>
        <item x="118"/>
        <item x="259"/>
        <item x="276"/>
        <item x="492"/>
        <item x="339"/>
        <item x="413"/>
        <item x="74"/>
        <item x="505"/>
        <item x="292"/>
        <item x="69"/>
        <item x="253"/>
        <item x="14"/>
        <item x="244"/>
        <item x="500"/>
        <item x="481"/>
        <item x="531"/>
        <item x="144"/>
        <item x="533"/>
        <item x="239"/>
        <item x="281"/>
        <item x="471"/>
        <item x="328"/>
        <item x="343"/>
        <item x="162"/>
        <item x="431"/>
        <item x="172"/>
        <item x="198"/>
        <item x="186"/>
        <item x="450"/>
        <item x="123"/>
        <item x="238"/>
        <item x="311"/>
        <item x="109"/>
        <item x="203"/>
        <item t="default"/>
      </items>
    </pivotField>
    <pivotField showAll="0"/>
    <pivotField showAll="0"/>
    <pivotField showAll="0"/>
    <pivotField showAll="0"/>
    <pivotField showAll="0">
      <items count="5">
        <item x="0"/>
        <item x="3"/>
        <item x="2"/>
        <item x="1"/>
        <item t="default"/>
      </items>
    </pivotField>
    <pivotField showAll="0"/>
    <pivotField axis="axisRow" showAll="0">
      <items count="7">
        <item x="4"/>
        <item x="1"/>
        <item x="3"/>
        <item x="2"/>
        <item x="5"/>
        <item x="0"/>
        <item t="default"/>
      </items>
    </pivotField>
    <pivotField showAll="0">
      <items count="13">
        <item x="11"/>
        <item x="5"/>
        <item x="2"/>
        <item x="10"/>
        <item x="3"/>
        <item x="1"/>
        <item x="9"/>
        <item x="8"/>
        <item x="0"/>
        <item x="7"/>
        <item x="4"/>
        <item x="6"/>
        <item t="default"/>
      </items>
    </pivotField>
    <pivotField showAll="0"/>
    <pivotField showAll="0"/>
    <pivotField dataField="1" showAll="0"/>
    <pivotField showAll="0"/>
    <pivotField showAll="0"/>
    <pivotField showAll="0">
      <items count="5">
        <item x="3"/>
        <item x="1"/>
        <item x="2"/>
        <item x="0"/>
        <item t="default"/>
      </items>
    </pivotField>
    <pivotField showAll="0">
      <items count="4">
        <item x="1"/>
        <item x="2"/>
        <item x="0"/>
        <item t="default"/>
      </items>
    </pivotField>
    <pivotField showAll="0"/>
    <pivotField showAll="0"/>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11"/>
  </rowFields>
  <rowItems count="7">
    <i>
      <x/>
    </i>
    <i>
      <x v="1"/>
    </i>
    <i>
      <x v="2"/>
    </i>
    <i>
      <x v="3"/>
    </i>
    <i>
      <x v="4"/>
    </i>
    <i>
      <x v="5"/>
    </i>
    <i t="grand">
      <x/>
    </i>
  </rowItems>
  <colItems count="1">
    <i/>
  </colItems>
  <dataFields count="1">
    <dataField name="Sum of Total Sales" fld="15" showDataAs="percentOfTotal" baseField="0" baseItem="0" numFmtId="1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0" format="6">
      <pivotArea type="data" outline="0" fieldPosition="0">
        <references count="2">
          <reference field="4294967294" count="1" selected="0">
            <x v="0"/>
          </reference>
          <reference field="11"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1" count="1" selected="0">
            <x v="0"/>
          </reference>
        </references>
      </pivotArea>
    </chartFormat>
    <chartFormat chart="7" format="16">
      <pivotArea type="data" outline="0" fieldPosition="0">
        <references count="2">
          <reference field="4294967294" count="1" selected="0">
            <x v="0"/>
          </reference>
          <reference field="11" count="1" selected="0">
            <x v="1"/>
          </reference>
        </references>
      </pivotArea>
    </chartFormat>
    <chartFormat chart="7" format="17">
      <pivotArea type="data" outline="0" fieldPosition="0">
        <references count="2">
          <reference field="4294967294" count="1" selected="0">
            <x v="0"/>
          </reference>
          <reference field="11" count="1" selected="0">
            <x v="2"/>
          </reference>
        </references>
      </pivotArea>
    </chartFormat>
    <chartFormat chart="7" format="18">
      <pivotArea type="data" outline="0" fieldPosition="0">
        <references count="2">
          <reference field="4294967294" count="1" selected="0">
            <x v="0"/>
          </reference>
          <reference field="11" count="1" selected="0">
            <x v="3"/>
          </reference>
        </references>
      </pivotArea>
    </chartFormat>
    <chartFormat chart="7" format="19">
      <pivotArea type="data" outline="0" fieldPosition="0">
        <references count="2">
          <reference field="4294967294" count="1" selected="0">
            <x v="0"/>
          </reference>
          <reference field="11" count="1" selected="0">
            <x v="4"/>
          </reference>
        </references>
      </pivotArea>
    </chartFormat>
    <chartFormat chart="7" format="20">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650B96-52B7-45EB-81B0-A5F54CB1A253}" name="kpi yo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48:F150" firstHeaderRow="0" firstDataRow="1" firstDataCol="1"/>
  <pivotFields count="26">
    <pivotField dataField="1" showAll="0"/>
    <pivotField showAll="0">
      <items count="3">
        <item x="0"/>
        <item x="1"/>
        <item t="default"/>
      </items>
    </pivotField>
    <pivotField numFmtId="14" showAll="0">
      <items count="432">
        <item x="20"/>
        <item x="404"/>
        <item x="365"/>
        <item x="73"/>
        <item x="394"/>
        <item x="363"/>
        <item x="126"/>
        <item x="425"/>
        <item x="211"/>
        <item x="273"/>
        <item x="121"/>
        <item x="376"/>
        <item x="380"/>
        <item x="5"/>
        <item x="347"/>
        <item x="53"/>
        <item x="274"/>
        <item x="356"/>
        <item x="23"/>
        <item x="315"/>
        <item x="91"/>
        <item x="389"/>
        <item x="323"/>
        <item x="420"/>
        <item x="62"/>
        <item x="416"/>
        <item x="330"/>
        <item x="157"/>
        <item x="409"/>
        <item x="79"/>
        <item x="51"/>
        <item x="33"/>
        <item x="107"/>
        <item x="27"/>
        <item x="248"/>
        <item x="405"/>
        <item x="284"/>
        <item x="177"/>
        <item x="29"/>
        <item x="26"/>
        <item x="147"/>
        <item x="225"/>
        <item x="408"/>
        <item x="173"/>
        <item x="15"/>
        <item x="303"/>
        <item x="118"/>
        <item x="114"/>
        <item x="233"/>
        <item x="339"/>
        <item x="22"/>
        <item x="256"/>
        <item x="414"/>
        <item x="11"/>
        <item x="407"/>
        <item x="422"/>
        <item x="368"/>
        <item x="137"/>
        <item x="28"/>
        <item x="166"/>
        <item x="232"/>
        <item x="218"/>
        <item x="171"/>
        <item x="162"/>
        <item x="261"/>
        <item x="49"/>
        <item x="395"/>
        <item x="103"/>
        <item x="282"/>
        <item x="174"/>
        <item x="366"/>
        <item x="217"/>
        <item x="86"/>
        <item x="335"/>
        <item x="35"/>
        <item x="6"/>
        <item x="427"/>
        <item x="202"/>
        <item x="47"/>
        <item x="200"/>
        <item x="428"/>
        <item x="21"/>
        <item x="357"/>
        <item x="342"/>
        <item x="272"/>
        <item x="170"/>
        <item x="189"/>
        <item x="75"/>
        <item x="9"/>
        <item x="40"/>
        <item x="163"/>
        <item x="369"/>
        <item x="196"/>
        <item x="78"/>
        <item x="371"/>
        <item x="243"/>
        <item x="71"/>
        <item x="4"/>
        <item x="352"/>
        <item x="344"/>
        <item x="281"/>
        <item x="185"/>
        <item x="224"/>
        <item x="104"/>
        <item x="139"/>
        <item x="180"/>
        <item x="354"/>
        <item x="159"/>
        <item x="146"/>
        <item x="31"/>
        <item x="66"/>
        <item x="210"/>
        <item x="50"/>
        <item x="241"/>
        <item x="249"/>
        <item x="70"/>
        <item x="286"/>
        <item x="295"/>
        <item x="209"/>
        <item x="269"/>
        <item x="77"/>
        <item x="18"/>
        <item x="299"/>
        <item x="110"/>
        <item x="115"/>
        <item x="374"/>
        <item x="76"/>
        <item x="52"/>
        <item x="144"/>
        <item x="100"/>
        <item x="226"/>
        <item x="14"/>
        <item x="123"/>
        <item x="235"/>
        <item x="3"/>
        <item x="316"/>
        <item x="239"/>
        <item x="348"/>
        <item x="181"/>
        <item x="195"/>
        <item x="41"/>
        <item x="108"/>
        <item x="203"/>
        <item x="278"/>
        <item x="358"/>
        <item x="255"/>
        <item x="113"/>
        <item x="149"/>
        <item x="38"/>
        <item x="362"/>
        <item x="267"/>
        <item x="253"/>
        <item x="199"/>
        <item x="251"/>
        <item x="168"/>
        <item x="229"/>
        <item x="319"/>
        <item x="300"/>
        <item x="167"/>
        <item x="187"/>
        <item x="37"/>
        <item x="412"/>
        <item x="57"/>
        <item x="296"/>
        <item x="45"/>
        <item x="245"/>
        <item x="383"/>
        <item x="336"/>
        <item x="388"/>
        <item x="246"/>
        <item x="135"/>
        <item x="212"/>
        <item x="304"/>
        <item x="349"/>
        <item x="88"/>
        <item x="326"/>
        <item x="275"/>
        <item x="265"/>
        <item x="39"/>
        <item x="250"/>
        <item x="396"/>
        <item x="324"/>
        <item x="219"/>
        <item x="197"/>
        <item x="418"/>
        <item x="7"/>
        <item x="133"/>
        <item x="106"/>
        <item x="119"/>
        <item x="285"/>
        <item x="393"/>
        <item x="223"/>
        <item x="58"/>
        <item x="399"/>
        <item x="237"/>
        <item x="68"/>
        <item x="325"/>
        <item x="89"/>
        <item x="266"/>
        <item x="305"/>
        <item x="208"/>
        <item x="301"/>
        <item x="415"/>
        <item x="215"/>
        <item x="424"/>
        <item x="280"/>
        <item x="63"/>
        <item x="109"/>
        <item x="268"/>
        <item x="102"/>
        <item x="116"/>
        <item x="384"/>
        <item x="188"/>
        <item x="145"/>
        <item x="370"/>
        <item x="56"/>
        <item x="184"/>
        <item x="191"/>
        <item x="263"/>
        <item x="430"/>
        <item x="1"/>
        <item x="213"/>
        <item x="373"/>
        <item x="307"/>
        <item x="2"/>
        <item x="30"/>
        <item x="151"/>
        <item x="0"/>
        <item x="80"/>
        <item x="381"/>
        <item x="105"/>
        <item x="387"/>
        <item x="46"/>
        <item x="125"/>
        <item x="97"/>
        <item x="93"/>
        <item x="290"/>
        <item x="346"/>
        <item x="25"/>
        <item x="240"/>
        <item x="312"/>
        <item x="401"/>
        <item x="360"/>
        <item x="160"/>
        <item x="359"/>
        <item x="321"/>
        <item x="222"/>
        <item x="164"/>
        <item x="19"/>
        <item x="92"/>
        <item x="169"/>
        <item x="337"/>
        <item x="101"/>
        <item x="201"/>
        <item x="392"/>
        <item x="372"/>
        <item x="379"/>
        <item x="98"/>
        <item x="385"/>
        <item x="311"/>
        <item x="364"/>
        <item x="216"/>
        <item x="234"/>
        <item x="130"/>
        <item x="238"/>
        <item x="403"/>
        <item x="318"/>
        <item x="302"/>
        <item x="390"/>
        <item x="131"/>
        <item x="129"/>
        <item x="55"/>
        <item x="134"/>
        <item x="54"/>
        <item x="142"/>
        <item x="333"/>
        <item x="252"/>
        <item x="230"/>
        <item x="161"/>
        <item x="111"/>
        <item x="83"/>
        <item x="190"/>
        <item x="382"/>
        <item x="375"/>
        <item x="205"/>
        <item x="192"/>
        <item x="429"/>
        <item x="411"/>
        <item x="81"/>
        <item x="13"/>
        <item x="156"/>
        <item x="271"/>
        <item x="128"/>
        <item x="155"/>
        <item x="292"/>
        <item x="74"/>
        <item x="34"/>
        <item x="244"/>
        <item x="90"/>
        <item x="179"/>
        <item x="141"/>
        <item x="221"/>
        <item x="306"/>
        <item x="186"/>
        <item x="87"/>
        <item x="397"/>
        <item x="132"/>
        <item x="67"/>
        <item x="378"/>
        <item x="228"/>
        <item x="153"/>
        <item x="154"/>
        <item x="419"/>
        <item x="85"/>
        <item x="343"/>
        <item x="328"/>
        <item x="95"/>
        <item x="60"/>
        <item x="260"/>
        <item x="288"/>
        <item x="322"/>
        <item x="127"/>
        <item x="410"/>
        <item x="247"/>
        <item x="236"/>
        <item x="206"/>
        <item x="158"/>
        <item x="353"/>
        <item x="194"/>
        <item x="287"/>
        <item x="291"/>
        <item x="377"/>
        <item x="417"/>
        <item x="165"/>
        <item x="350"/>
        <item x="367"/>
        <item x="242"/>
        <item x="361"/>
        <item x="332"/>
        <item x="276"/>
        <item x="227"/>
        <item x="329"/>
        <item x="176"/>
        <item x="59"/>
        <item x="64"/>
        <item x="421"/>
        <item x="294"/>
        <item x="172"/>
        <item x="258"/>
        <item x="426"/>
        <item x="345"/>
        <item x="264"/>
        <item x="402"/>
        <item x="340"/>
        <item x="17"/>
        <item x="32"/>
        <item x="338"/>
        <item x="120"/>
        <item x="94"/>
        <item x="391"/>
        <item x="204"/>
        <item x="293"/>
        <item x="152"/>
        <item x="8"/>
        <item x="183"/>
        <item x="65"/>
        <item x="327"/>
        <item x="341"/>
        <item x="277"/>
        <item x="138"/>
        <item x="214"/>
        <item x="193"/>
        <item x="175"/>
        <item x="331"/>
        <item x="334"/>
        <item x="413"/>
        <item x="231"/>
        <item x="124"/>
        <item x="297"/>
        <item x="117"/>
        <item x="310"/>
        <item x="48"/>
        <item x="140"/>
        <item x="72"/>
        <item x="262"/>
        <item x="43"/>
        <item x="220"/>
        <item x="320"/>
        <item x="309"/>
        <item x="182"/>
        <item x="148"/>
        <item x="400"/>
        <item x="386"/>
        <item x="198"/>
        <item x="69"/>
        <item x="10"/>
        <item x="298"/>
        <item x="42"/>
        <item x="16"/>
        <item x="84"/>
        <item x="143"/>
        <item x="317"/>
        <item x="257"/>
        <item x="178"/>
        <item x="289"/>
        <item x="355"/>
        <item x="207"/>
        <item x="313"/>
        <item x="99"/>
        <item x="24"/>
        <item x="423"/>
        <item x="136"/>
        <item x="254"/>
        <item x="406"/>
        <item x="279"/>
        <item x="36"/>
        <item x="82"/>
        <item x="308"/>
        <item x="314"/>
        <item x="96"/>
        <item x="44"/>
        <item x="12"/>
        <item x="351"/>
        <item x="122"/>
        <item x="150"/>
        <item x="112"/>
        <item x="283"/>
        <item x="259"/>
        <item x="61"/>
        <item x="398"/>
        <item x="270"/>
        <item t="default"/>
      </items>
    </pivotField>
    <pivotField showAll="0">
      <items count="11">
        <item x="0"/>
        <item x="7"/>
        <item x="8"/>
        <item x="3"/>
        <item x="9"/>
        <item x="4"/>
        <item x="6"/>
        <item x="1"/>
        <item x="5"/>
        <item x="2"/>
        <item t="default"/>
      </items>
    </pivotField>
    <pivotField showAll="0">
      <items count="538">
        <item x="152"/>
        <item x="83"/>
        <item x="121"/>
        <item x="399"/>
        <item x="315"/>
        <item x="379"/>
        <item x="9"/>
        <item x="272"/>
        <item x="116"/>
        <item x="430"/>
        <item x="120"/>
        <item x="10"/>
        <item x="389"/>
        <item x="329"/>
        <item x="86"/>
        <item x="233"/>
        <item x="77"/>
        <item x="525"/>
        <item x="205"/>
        <item x="522"/>
        <item x="191"/>
        <item x="110"/>
        <item x="53"/>
        <item x="44"/>
        <item x="157"/>
        <item x="177"/>
        <item x="168"/>
        <item x="385"/>
        <item x="468"/>
        <item x="307"/>
        <item x="5"/>
        <item x="6"/>
        <item x="517"/>
        <item x="48"/>
        <item x="371"/>
        <item x="268"/>
        <item x="530"/>
        <item x="269"/>
        <item x="182"/>
        <item x="212"/>
        <item x="372"/>
        <item x="143"/>
        <item x="230"/>
        <item x="345"/>
        <item x="310"/>
        <item x="84"/>
        <item x="486"/>
        <item x="130"/>
        <item x="377"/>
        <item x="478"/>
        <item x="134"/>
        <item x="477"/>
        <item x="370"/>
        <item x="360"/>
        <item x="218"/>
        <item x="258"/>
        <item x="435"/>
        <item x="117"/>
        <item x="217"/>
        <item x="496"/>
        <item x="417"/>
        <item x="444"/>
        <item x="236"/>
        <item x="508"/>
        <item x="34"/>
        <item x="454"/>
        <item x="356"/>
        <item x="192"/>
        <item x="63"/>
        <item x="154"/>
        <item x="202"/>
        <item x="313"/>
        <item x="234"/>
        <item x="314"/>
        <item x="407"/>
        <item x="491"/>
        <item x="257"/>
        <item x="81"/>
        <item x="426"/>
        <item x="469"/>
        <item x="349"/>
        <item x="452"/>
        <item x="296"/>
        <item x="488"/>
        <item x="463"/>
        <item x="95"/>
        <item x="386"/>
        <item x="59"/>
        <item x="503"/>
        <item x="330"/>
        <item x="160"/>
        <item x="199"/>
        <item x="429"/>
        <item x="327"/>
        <item x="31"/>
        <item x="41"/>
        <item x="85"/>
        <item x="103"/>
        <item x="507"/>
        <item x="2"/>
        <item x="353"/>
        <item x="137"/>
        <item x="420"/>
        <item x="216"/>
        <item x="394"/>
        <item x="368"/>
        <item x="510"/>
        <item x="255"/>
        <item x="169"/>
        <item x="476"/>
        <item x="4"/>
        <item x="106"/>
        <item x="424"/>
        <item x="166"/>
        <item x="397"/>
        <item x="499"/>
        <item x="165"/>
        <item x="175"/>
        <item x="237"/>
        <item x="127"/>
        <item x="114"/>
        <item x="509"/>
        <item x="473"/>
        <item x="410"/>
        <item x="222"/>
        <item x="28"/>
        <item x="105"/>
        <item x="362"/>
        <item x="527"/>
        <item x="195"/>
        <item x="518"/>
        <item x="474"/>
        <item x="214"/>
        <item x="187"/>
        <item x="235"/>
        <item x="534"/>
        <item x="351"/>
        <item x="112"/>
        <item x="26"/>
        <item x="0"/>
        <item x="535"/>
        <item x="479"/>
        <item x="434"/>
        <item x="256"/>
        <item x="408"/>
        <item x="378"/>
        <item x="449"/>
        <item x="102"/>
        <item x="24"/>
        <item x="208"/>
        <item x="405"/>
        <item x="361"/>
        <item x="515"/>
        <item x="382"/>
        <item x="409"/>
        <item x="97"/>
        <item x="495"/>
        <item x="519"/>
        <item x="151"/>
        <item x="65"/>
        <item x="523"/>
        <item x="493"/>
        <item x="153"/>
        <item x="387"/>
        <item x="359"/>
        <item x="247"/>
        <item x="249"/>
        <item x="70"/>
        <item x="365"/>
        <item x="455"/>
        <item x="243"/>
        <item x="309"/>
        <item x="446"/>
        <item x="193"/>
        <item x="395"/>
        <item x="305"/>
        <item x="156"/>
        <item x="392"/>
        <item x="122"/>
        <item x="458"/>
        <item x="358"/>
        <item x="75"/>
        <item x="338"/>
        <item x="277"/>
        <item x="414"/>
        <item x="393"/>
        <item x="326"/>
        <item x="27"/>
        <item x="158"/>
        <item x="231"/>
        <item x="423"/>
        <item x="210"/>
        <item x="336"/>
        <item x="421"/>
        <item x="73"/>
        <item x="11"/>
        <item x="146"/>
        <item x="475"/>
        <item x="204"/>
        <item x="529"/>
        <item x="494"/>
        <item x="113"/>
        <item x="91"/>
        <item x="355"/>
        <item x="180"/>
        <item x="163"/>
        <item x="374"/>
        <item x="223"/>
        <item x="321"/>
        <item x="464"/>
        <item x="57"/>
        <item x="416"/>
        <item x="254"/>
        <item x="381"/>
        <item x="232"/>
        <item x="37"/>
        <item x="489"/>
        <item x="140"/>
        <item x="490"/>
        <item x="17"/>
        <item x="340"/>
        <item x="436"/>
        <item x="398"/>
        <item x="145"/>
        <item x="179"/>
        <item x="47"/>
        <item x="21"/>
        <item x="521"/>
        <item x="76"/>
        <item x="422"/>
        <item x="265"/>
        <item x="167"/>
        <item x="79"/>
        <item x="72"/>
        <item x="285"/>
        <item x="484"/>
        <item x="241"/>
        <item x="200"/>
        <item x="90"/>
        <item x="348"/>
        <item x="67"/>
        <item x="498"/>
        <item x="532"/>
        <item x="32"/>
        <item x="383"/>
        <item x="306"/>
        <item x="273"/>
        <item x="279"/>
        <item x="132"/>
        <item x="341"/>
        <item x="209"/>
        <item x="320"/>
        <item x="419"/>
        <item x="485"/>
        <item x="366"/>
        <item x="447"/>
        <item x="427"/>
        <item x="451"/>
        <item x="220"/>
        <item x="280"/>
        <item x="342"/>
        <item x="19"/>
        <item x="50"/>
        <item x="390"/>
        <item x="119"/>
        <item x="289"/>
        <item x="251"/>
        <item x="403"/>
        <item x="497"/>
        <item x="528"/>
        <item x="432"/>
        <item x="181"/>
        <item x="462"/>
        <item x="89"/>
        <item x="335"/>
        <item x="260"/>
        <item x="295"/>
        <item x="404"/>
        <item x="482"/>
        <item x="39"/>
        <item x="228"/>
        <item x="46"/>
        <item x="347"/>
        <item x="344"/>
        <item x="148"/>
        <item x="64"/>
        <item x="38"/>
        <item x="171"/>
        <item x="98"/>
        <item x="439"/>
        <item x="56"/>
        <item x="526"/>
        <item x="7"/>
        <item x="194"/>
        <item x="22"/>
        <item x="242"/>
        <item x="164"/>
        <item x="52"/>
        <item x="138"/>
        <item x="42"/>
        <item x="82"/>
        <item x="170"/>
        <item x="149"/>
        <item x="196"/>
        <item x="291"/>
        <item x="129"/>
        <item x="263"/>
        <item x="334"/>
        <item x="136"/>
        <item x="288"/>
        <item x="224"/>
        <item x="467"/>
        <item x="278"/>
        <item x="367"/>
        <item x="43"/>
        <item x="226"/>
        <item x="271"/>
        <item x="20"/>
        <item x="142"/>
        <item x="108"/>
        <item x="211"/>
        <item x="125"/>
        <item x="141"/>
        <item x="3"/>
        <item x="317"/>
        <item x="184"/>
        <item x="99"/>
        <item x="25"/>
        <item x="501"/>
        <item x="58"/>
        <item x="483"/>
        <item x="55"/>
        <item x="100"/>
        <item x="384"/>
        <item x="437"/>
        <item x="275"/>
        <item x="8"/>
        <item x="322"/>
        <item x="308"/>
        <item x="346"/>
        <item x="323"/>
        <item x="282"/>
        <item x="107"/>
        <item x="301"/>
        <item x="240"/>
        <item x="401"/>
        <item x="206"/>
        <item x="159"/>
        <item x="201"/>
        <item x="411"/>
        <item x="66"/>
        <item x="465"/>
        <item x="111"/>
        <item x="504"/>
        <item x="332"/>
        <item x="264"/>
        <item x="459"/>
        <item x="456"/>
        <item x="215"/>
        <item x="270"/>
        <item x="396"/>
        <item x="150"/>
        <item x="29"/>
        <item x="124"/>
        <item x="433"/>
        <item x="128"/>
        <item x="324"/>
        <item x="438"/>
        <item x="155"/>
        <item x="400"/>
        <item x="221"/>
        <item x="364"/>
        <item x="248"/>
        <item x="96"/>
        <item x="30"/>
        <item x="135"/>
        <item x="139"/>
        <item x="363"/>
        <item x="352"/>
        <item x="229"/>
        <item x="71"/>
        <item x="267"/>
        <item x="16"/>
        <item x="412"/>
        <item x="185"/>
        <item x="369"/>
        <item x="104"/>
        <item x="460"/>
        <item x="174"/>
        <item x="287"/>
        <item x="88"/>
        <item x="470"/>
        <item x="78"/>
        <item x="487"/>
        <item x="213"/>
        <item x="245"/>
        <item x="442"/>
        <item x="376"/>
        <item x="298"/>
        <item x="511"/>
        <item x="60"/>
        <item x="13"/>
        <item x="304"/>
        <item x="514"/>
        <item x="325"/>
        <item x="441"/>
        <item x="227"/>
        <item x="286"/>
        <item x="161"/>
        <item x="415"/>
        <item x="45"/>
        <item x="524"/>
        <item x="318"/>
        <item x="80"/>
        <item x="183"/>
        <item x="388"/>
        <item x="250"/>
        <item x="1"/>
        <item x="391"/>
        <item x="15"/>
        <item x="36"/>
        <item x="274"/>
        <item x="375"/>
        <item x="453"/>
        <item x="262"/>
        <item x="266"/>
        <item x="461"/>
        <item x="54"/>
        <item x="190"/>
        <item x="536"/>
        <item x="516"/>
        <item x="92"/>
        <item x="188"/>
        <item x="445"/>
        <item x="299"/>
        <item x="466"/>
        <item x="101"/>
        <item x="246"/>
        <item x="40"/>
        <item x="189"/>
        <item x="61"/>
        <item x="33"/>
        <item x="512"/>
        <item x="51"/>
        <item x="261"/>
        <item x="513"/>
        <item x="428"/>
        <item x="68"/>
        <item x="207"/>
        <item x="93"/>
        <item x="283"/>
        <item x="290"/>
        <item x="448"/>
        <item x="380"/>
        <item x="35"/>
        <item x="354"/>
        <item x="197"/>
        <item x="225"/>
        <item x="373"/>
        <item x="406"/>
        <item x="115"/>
        <item x="440"/>
        <item x="506"/>
        <item x="302"/>
        <item x="350"/>
        <item x="333"/>
        <item x="131"/>
        <item x="402"/>
        <item x="303"/>
        <item x="147"/>
        <item x="297"/>
        <item x="62"/>
        <item x="331"/>
        <item x="23"/>
        <item x="294"/>
        <item x="319"/>
        <item x="502"/>
        <item x="480"/>
        <item x="457"/>
        <item x="293"/>
        <item x="173"/>
        <item x="337"/>
        <item x="316"/>
        <item x="176"/>
        <item x="472"/>
        <item x="12"/>
        <item x="18"/>
        <item x="49"/>
        <item x="425"/>
        <item x="418"/>
        <item x="357"/>
        <item x="312"/>
        <item x="87"/>
        <item x="219"/>
        <item x="133"/>
        <item x="520"/>
        <item x="94"/>
        <item x="252"/>
        <item x="443"/>
        <item x="126"/>
        <item x="300"/>
        <item x="178"/>
        <item x="284"/>
        <item x="118"/>
        <item x="259"/>
        <item x="276"/>
        <item x="492"/>
        <item x="339"/>
        <item x="413"/>
        <item x="74"/>
        <item x="505"/>
        <item x="292"/>
        <item x="69"/>
        <item x="253"/>
        <item x="14"/>
        <item x="244"/>
        <item x="500"/>
        <item x="481"/>
        <item x="531"/>
        <item x="144"/>
        <item x="533"/>
        <item x="239"/>
        <item x="281"/>
        <item x="471"/>
        <item x="328"/>
        <item x="343"/>
        <item x="162"/>
        <item x="431"/>
        <item x="172"/>
        <item x="198"/>
        <item x="186"/>
        <item x="450"/>
        <item x="123"/>
        <item x="238"/>
        <item x="311"/>
        <item x="109"/>
        <item x="203"/>
        <item t="default"/>
      </items>
    </pivotField>
    <pivotField showAll="0"/>
    <pivotField showAll="0"/>
    <pivotField showAll="0"/>
    <pivotField showAll="0"/>
    <pivotField showAll="0">
      <items count="5">
        <item x="0"/>
        <item x="3"/>
        <item x="2"/>
        <item x="1"/>
        <item t="default"/>
      </items>
    </pivotField>
    <pivotField showAll="0"/>
    <pivotField showAll="0">
      <items count="7">
        <item x="4"/>
        <item x="1"/>
        <item x="3"/>
        <item x="2"/>
        <item x="5"/>
        <item x="0"/>
        <item t="default"/>
      </items>
    </pivotField>
    <pivotField showAll="0">
      <items count="13">
        <item x="11"/>
        <item x="5"/>
        <item x="2"/>
        <item x="10"/>
        <item x="3"/>
        <item x="1"/>
        <item x="9"/>
        <item x="8"/>
        <item x="0"/>
        <item x="7"/>
        <item x="4"/>
        <item x="6"/>
        <item t="default"/>
      </items>
    </pivotField>
    <pivotField dataField="1" showAll="0"/>
    <pivotField showAll="0"/>
    <pivotField dataField="1" showAll="0"/>
    <pivotField showAll="0"/>
    <pivotField showAll="0"/>
    <pivotField showAll="0">
      <items count="5">
        <item x="3"/>
        <item x="1"/>
        <item x="2"/>
        <item x="0"/>
        <item t="default"/>
      </items>
    </pivotField>
    <pivotField showAll="0">
      <items count="4">
        <item x="1"/>
        <item x="2"/>
        <item x="0"/>
        <item t="default"/>
      </items>
    </pivotField>
    <pivotField showAll="0"/>
    <pivotField dataField="1" showAll="0"/>
    <pivotField showAll="0" defaultSubtotal="0"/>
    <pivotField showAll="0" defaultSubtotal="0"/>
    <pivotField axis="axisRow" showAll="0" defaultSubtotal="0">
      <items count="4">
        <item x="0"/>
        <item x="1"/>
        <item x="2"/>
        <item x="3"/>
      </items>
    </pivotField>
    <pivotField dataField="1" dragToRow="0" dragToCol="0" dragToPage="0" showAll="0" defaultSubtotal="0"/>
  </pivotFields>
  <rowFields count="1">
    <field x="24"/>
  </rowFields>
  <rowItems count="2">
    <i>
      <x v="1"/>
    </i>
    <i>
      <x v="2"/>
    </i>
  </rowItems>
  <colFields count="1">
    <field x="-2"/>
  </colFields>
  <colItems count="5">
    <i>
      <x/>
    </i>
    <i i="1">
      <x v="1"/>
    </i>
    <i i="2">
      <x v="2"/>
    </i>
    <i i="3">
      <x v="3"/>
    </i>
    <i i="4">
      <x v="4"/>
    </i>
  </colItems>
  <dataFields count="5">
    <dataField name="Sum of Total Sales" fld="15" baseField="0" baseItem="0"/>
    <dataField name="Sum of Profit" fld="21" baseField="0" baseItem="0"/>
    <dataField name="Sum of Quantity Ordered" fld="13" baseField="0" baseItem="0"/>
    <dataField name="Count of Order ID" fld="0" subtotal="count" baseField="0" baseItem="0"/>
    <dataField name="Sum of Profit Margin"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1F253D-5DAF-499A-966F-CBBBB2B026BD}" name="kpi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98:H111" firstHeaderRow="1" firstDataRow="1" firstDataCol="1"/>
  <pivotFields count="26">
    <pivotField showAll="0"/>
    <pivotField showAll="0">
      <items count="3">
        <item x="0"/>
        <item x="1"/>
        <item t="default"/>
      </items>
    </pivotField>
    <pivotField numFmtId="14" showAll="0">
      <items count="432">
        <item x="20"/>
        <item x="404"/>
        <item x="365"/>
        <item x="73"/>
        <item x="394"/>
        <item x="363"/>
        <item x="126"/>
        <item x="425"/>
        <item x="211"/>
        <item x="273"/>
        <item x="121"/>
        <item x="376"/>
        <item x="380"/>
        <item x="5"/>
        <item x="347"/>
        <item x="53"/>
        <item x="274"/>
        <item x="356"/>
        <item x="23"/>
        <item x="315"/>
        <item x="91"/>
        <item x="389"/>
        <item x="323"/>
        <item x="420"/>
        <item x="62"/>
        <item x="416"/>
        <item x="330"/>
        <item x="157"/>
        <item x="409"/>
        <item x="79"/>
        <item x="51"/>
        <item x="33"/>
        <item x="107"/>
        <item x="27"/>
        <item x="248"/>
        <item x="405"/>
        <item x="284"/>
        <item x="177"/>
        <item x="29"/>
        <item x="26"/>
        <item x="147"/>
        <item x="225"/>
        <item x="408"/>
        <item x="173"/>
        <item x="15"/>
        <item x="303"/>
        <item x="118"/>
        <item x="114"/>
        <item x="233"/>
        <item x="339"/>
        <item x="22"/>
        <item x="256"/>
        <item x="414"/>
        <item x="11"/>
        <item x="407"/>
        <item x="422"/>
        <item x="368"/>
        <item x="137"/>
        <item x="28"/>
        <item x="166"/>
        <item x="232"/>
        <item x="218"/>
        <item x="171"/>
        <item x="162"/>
        <item x="261"/>
        <item x="49"/>
        <item x="395"/>
        <item x="103"/>
        <item x="282"/>
        <item x="174"/>
        <item x="366"/>
        <item x="217"/>
        <item x="86"/>
        <item x="335"/>
        <item x="35"/>
        <item x="6"/>
        <item x="427"/>
        <item x="202"/>
        <item x="47"/>
        <item x="200"/>
        <item x="428"/>
        <item x="21"/>
        <item x="357"/>
        <item x="342"/>
        <item x="272"/>
        <item x="170"/>
        <item x="189"/>
        <item x="75"/>
        <item x="9"/>
        <item x="40"/>
        <item x="163"/>
        <item x="369"/>
        <item x="196"/>
        <item x="78"/>
        <item x="371"/>
        <item x="243"/>
        <item x="71"/>
        <item x="4"/>
        <item x="352"/>
        <item x="344"/>
        <item x="281"/>
        <item x="185"/>
        <item x="224"/>
        <item x="104"/>
        <item x="139"/>
        <item x="180"/>
        <item x="354"/>
        <item x="159"/>
        <item x="146"/>
        <item x="31"/>
        <item x="66"/>
        <item x="210"/>
        <item x="50"/>
        <item x="241"/>
        <item x="249"/>
        <item x="70"/>
        <item x="286"/>
        <item x="295"/>
        <item x="209"/>
        <item x="269"/>
        <item x="77"/>
        <item x="18"/>
        <item x="299"/>
        <item x="110"/>
        <item x="115"/>
        <item x="374"/>
        <item x="76"/>
        <item x="52"/>
        <item x="144"/>
        <item x="100"/>
        <item x="226"/>
        <item x="14"/>
        <item x="123"/>
        <item x="235"/>
        <item x="3"/>
        <item x="316"/>
        <item x="239"/>
        <item x="348"/>
        <item x="181"/>
        <item x="195"/>
        <item x="41"/>
        <item x="108"/>
        <item x="203"/>
        <item x="278"/>
        <item x="358"/>
        <item x="255"/>
        <item x="113"/>
        <item x="149"/>
        <item x="38"/>
        <item x="362"/>
        <item x="267"/>
        <item x="253"/>
        <item x="199"/>
        <item x="251"/>
        <item x="168"/>
        <item x="229"/>
        <item x="319"/>
        <item x="300"/>
        <item x="167"/>
        <item x="187"/>
        <item x="37"/>
        <item x="412"/>
        <item x="57"/>
        <item x="296"/>
        <item x="45"/>
        <item x="245"/>
        <item x="383"/>
        <item x="336"/>
        <item x="388"/>
        <item x="246"/>
        <item x="135"/>
        <item x="212"/>
        <item x="304"/>
        <item x="349"/>
        <item x="88"/>
        <item x="326"/>
        <item x="275"/>
        <item x="265"/>
        <item x="39"/>
        <item x="250"/>
        <item x="396"/>
        <item x="324"/>
        <item x="219"/>
        <item x="197"/>
        <item x="418"/>
        <item x="7"/>
        <item x="133"/>
        <item x="106"/>
        <item x="119"/>
        <item x="285"/>
        <item x="393"/>
        <item x="223"/>
        <item x="58"/>
        <item x="399"/>
        <item x="237"/>
        <item x="68"/>
        <item x="325"/>
        <item x="89"/>
        <item x="266"/>
        <item x="305"/>
        <item x="208"/>
        <item x="301"/>
        <item x="415"/>
        <item x="215"/>
        <item x="424"/>
        <item x="280"/>
        <item x="63"/>
        <item x="109"/>
        <item x="268"/>
        <item x="102"/>
        <item x="116"/>
        <item x="384"/>
        <item x="188"/>
        <item x="145"/>
        <item x="370"/>
        <item x="56"/>
        <item x="184"/>
        <item x="191"/>
        <item x="263"/>
        <item x="430"/>
        <item x="1"/>
        <item x="213"/>
        <item x="373"/>
        <item x="307"/>
        <item x="2"/>
        <item x="30"/>
        <item x="151"/>
        <item x="0"/>
        <item x="80"/>
        <item x="381"/>
        <item x="105"/>
        <item x="387"/>
        <item x="46"/>
        <item x="125"/>
        <item x="97"/>
        <item x="93"/>
        <item x="290"/>
        <item x="346"/>
        <item x="25"/>
        <item x="240"/>
        <item x="312"/>
        <item x="401"/>
        <item x="360"/>
        <item x="160"/>
        <item x="359"/>
        <item x="321"/>
        <item x="222"/>
        <item x="164"/>
        <item x="19"/>
        <item x="92"/>
        <item x="169"/>
        <item x="337"/>
        <item x="101"/>
        <item x="201"/>
        <item x="392"/>
        <item x="372"/>
        <item x="379"/>
        <item x="98"/>
        <item x="385"/>
        <item x="311"/>
        <item x="364"/>
        <item x="216"/>
        <item x="234"/>
        <item x="130"/>
        <item x="238"/>
        <item x="403"/>
        <item x="318"/>
        <item x="302"/>
        <item x="390"/>
        <item x="131"/>
        <item x="129"/>
        <item x="55"/>
        <item x="134"/>
        <item x="54"/>
        <item x="142"/>
        <item x="333"/>
        <item x="252"/>
        <item x="230"/>
        <item x="161"/>
        <item x="111"/>
        <item x="83"/>
        <item x="190"/>
        <item x="382"/>
        <item x="375"/>
        <item x="205"/>
        <item x="192"/>
        <item x="429"/>
        <item x="411"/>
        <item x="81"/>
        <item x="13"/>
        <item x="156"/>
        <item x="271"/>
        <item x="128"/>
        <item x="155"/>
        <item x="292"/>
        <item x="74"/>
        <item x="34"/>
        <item x="244"/>
        <item x="90"/>
        <item x="179"/>
        <item x="141"/>
        <item x="221"/>
        <item x="306"/>
        <item x="186"/>
        <item x="87"/>
        <item x="397"/>
        <item x="132"/>
        <item x="67"/>
        <item x="378"/>
        <item x="228"/>
        <item x="153"/>
        <item x="154"/>
        <item x="419"/>
        <item x="85"/>
        <item x="343"/>
        <item x="328"/>
        <item x="95"/>
        <item x="60"/>
        <item x="260"/>
        <item x="288"/>
        <item x="322"/>
        <item x="127"/>
        <item x="410"/>
        <item x="247"/>
        <item x="236"/>
        <item x="206"/>
        <item x="158"/>
        <item x="353"/>
        <item x="194"/>
        <item x="287"/>
        <item x="291"/>
        <item x="377"/>
        <item x="417"/>
        <item x="165"/>
        <item x="350"/>
        <item x="367"/>
        <item x="242"/>
        <item x="361"/>
        <item x="332"/>
        <item x="276"/>
        <item x="227"/>
        <item x="329"/>
        <item x="176"/>
        <item x="59"/>
        <item x="64"/>
        <item x="421"/>
        <item x="294"/>
        <item x="172"/>
        <item x="258"/>
        <item x="426"/>
        <item x="345"/>
        <item x="264"/>
        <item x="402"/>
        <item x="340"/>
        <item x="17"/>
        <item x="32"/>
        <item x="338"/>
        <item x="120"/>
        <item x="94"/>
        <item x="391"/>
        <item x="204"/>
        <item x="293"/>
        <item x="152"/>
        <item x="8"/>
        <item x="183"/>
        <item x="65"/>
        <item x="327"/>
        <item x="341"/>
        <item x="277"/>
        <item x="138"/>
        <item x="214"/>
        <item x="193"/>
        <item x="175"/>
        <item x="331"/>
        <item x="334"/>
        <item x="413"/>
        <item x="231"/>
        <item x="124"/>
        <item x="297"/>
        <item x="117"/>
        <item x="310"/>
        <item x="48"/>
        <item x="140"/>
        <item x="72"/>
        <item x="262"/>
        <item x="43"/>
        <item x="220"/>
        <item x="320"/>
        <item x="309"/>
        <item x="182"/>
        <item x="148"/>
        <item x="400"/>
        <item x="386"/>
        <item x="198"/>
        <item x="69"/>
        <item x="10"/>
        <item x="298"/>
        <item x="42"/>
        <item x="16"/>
        <item x="84"/>
        <item x="143"/>
        <item x="317"/>
        <item x="257"/>
        <item x="178"/>
        <item x="289"/>
        <item x="355"/>
        <item x="207"/>
        <item x="313"/>
        <item x="99"/>
        <item x="24"/>
        <item x="423"/>
        <item x="136"/>
        <item x="254"/>
        <item x="406"/>
        <item x="279"/>
        <item x="36"/>
        <item x="82"/>
        <item x="308"/>
        <item x="314"/>
        <item x="96"/>
        <item x="44"/>
        <item x="12"/>
        <item x="351"/>
        <item x="122"/>
        <item x="150"/>
        <item x="112"/>
        <item x="283"/>
        <item x="259"/>
        <item x="61"/>
        <item x="398"/>
        <item x="270"/>
        <item t="default"/>
      </items>
    </pivotField>
    <pivotField showAll="0"/>
    <pivotField showAll="0">
      <items count="538">
        <item x="152"/>
        <item x="83"/>
        <item x="121"/>
        <item x="399"/>
        <item x="315"/>
        <item x="379"/>
        <item x="9"/>
        <item x="272"/>
        <item x="116"/>
        <item x="430"/>
        <item x="120"/>
        <item x="10"/>
        <item x="389"/>
        <item x="329"/>
        <item x="86"/>
        <item x="233"/>
        <item x="77"/>
        <item x="525"/>
        <item x="205"/>
        <item x="522"/>
        <item x="191"/>
        <item x="110"/>
        <item x="53"/>
        <item x="44"/>
        <item x="157"/>
        <item x="177"/>
        <item x="168"/>
        <item x="385"/>
        <item x="468"/>
        <item x="307"/>
        <item x="5"/>
        <item x="6"/>
        <item x="517"/>
        <item x="48"/>
        <item x="371"/>
        <item x="268"/>
        <item x="530"/>
        <item x="269"/>
        <item x="182"/>
        <item x="212"/>
        <item x="372"/>
        <item x="143"/>
        <item x="230"/>
        <item x="345"/>
        <item x="310"/>
        <item x="84"/>
        <item x="486"/>
        <item x="130"/>
        <item x="377"/>
        <item x="478"/>
        <item x="134"/>
        <item x="477"/>
        <item x="370"/>
        <item x="360"/>
        <item x="218"/>
        <item x="258"/>
        <item x="435"/>
        <item x="117"/>
        <item x="217"/>
        <item x="496"/>
        <item x="417"/>
        <item x="444"/>
        <item x="236"/>
        <item x="508"/>
        <item x="34"/>
        <item x="454"/>
        <item x="356"/>
        <item x="192"/>
        <item x="63"/>
        <item x="154"/>
        <item x="202"/>
        <item x="313"/>
        <item x="234"/>
        <item x="314"/>
        <item x="407"/>
        <item x="491"/>
        <item x="257"/>
        <item x="81"/>
        <item x="426"/>
        <item x="469"/>
        <item x="349"/>
        <item x="452"/>
        <item x="296"/>
        <item x="488"/>
        <item x="463"/>
        <item x="95"/>
        <item x="386"/>
        <item x="59"/>
        <item x="503"/>
        <item x="330"/>
        <item x="160"/>
        <item x="199"/>
        <item x="429"/>
        <item x="327"/>
        <item x="31"/>
        <item x="41"/>
        <item x="85"/>
        <item x="103"/>
        <item x="507"/>
        <item x="2"/>
        <item x="353"/>
        <item x="137"/>
        <item x="420"/>
        <item x="216"/>
        <item x="394"/>
        <item x="368"/>
        <item x="510"/>
        <item x="255"/>
        <item x="169"/>
        <item x="476"/>
        <item x="4"/>
        <item x="106"/>
        <item x="424"/>
        <item x="166"/>
        <item x="397"/>
        <item x="499"/>
        <item x="165"/>
        <item x="175"/>
        <item x="237"/>
        <item x="127"/>
        <item x="114"/>
        <item x="509"/>
        <item x="473"/>
        <item x="410"/>
        <item x="222"/>
        <item x="28"/>
        <item x="105"/>
        <item x="362"/>
        <item x="527"/>
        <item x="195"/>
        <item x="518"/>
        <item x="474"/>
        <item x="214"/>
        <item x="187"/>
        <item x="235"/>
        <item x="534"/>
        <item x="351"/>
        <item x="112"/>
        <item x="26"/>
        <item x="0"/>
        <item x="535"/>
        <item x="479"/>
        <item x="434"/>
        <item x="256"/>
        <item x="408"/>
        <item x="378"/>
        <item x="449"/>
        <item x="102"/>
        <item x="24"/>
        <item x="208"/>
        <item x="405"/>
        <item x="361"/>
        <item x="515"/>
        <item x="382"/>
        <item x="409"/>
        <item x="97"/>
        <item x="495"/>
        <item x="519"/>
        <item x="151"/>
        <item x="65"/>
        <item x="523"/>
        <item x="493"/>
        <item x="153"/>
        <item x="387"/>
        <item x="359"/>
        <item x="247"/>
        <item x="249"/>
        <item x="70"/>
        <item x="365"/>
        <item x="455"/>
        <item x="243"/>
        <item x="309"/>
        <item x="446"/>
        <item x="193"/>
        <item x="395"/>
        <item x="305"/>
        <item x="156"/>
        <item x="392"/>
        <item x="122"/>
        <item x="458"/>
        <item x="358"/>
        <item x="75"/>
        <item x="338"/>
        <item x="277"/>
        <item x="414"/>
        <item x="393"/>
        <item x="326"/>
        <item x="27"/>
        <item x="158"/>
        <item x="231"/>
        <item x="423"/>
        <item x="210"/>
        <item x="336"/>
        <item x="421"/>
        <item x="73"/>
        <item x="11"/>
        <item x="146"/>
        <item x="475"/>
        <item x="204"/>
        <item x="529"/>
        <item x="494"/>
        <item x="113"/>
        <item x="91"/>
        <item x="355"/>
        <item x="180"/>
        <item x="163"/>
        <item x="374"/>
        <item x="223"/>
        <item x="321"/>
        <item x="464"/>
        <item x="57"/>
        <item x="416"/>
        <item x="254"/>
        <item x="381"/>
        <item x="232"/>
        <item x="37"/>
        <item x="489"/>
        <item x="140"/>
        <item x="490"/>
        <item x="17"/>
        <item x="340"/>
        <item x="436"/>
        <item x="398"/>
        <item x="145"/>
        <item x="179"/>
        <item x="47"/>
        <item x="21"/>
        <item x="521"/>
        <item x="76"/>
        <item x="422"/>
        <item x="265"/>
        <item x="167"/>
        <item x="79"/>
        <item x="72"/>
        <item x="285"/>
        <item x="484"/>
        <item x="241"/>
        <item x="200"/>
        <item x="90"/>
        <item x="348"/>
        <item x="67"/>
        <item x="498"/>
        <item x="532"/>
        <item x="32"/>
        <item x="383"/>
        <item x="306"/>
        <item x="273"/>
        <item x="279"/>
        <item x="132"/>
        <item x="341"/>
        <item x="209"/>
        <item x="320"/>
        <item x="419"/>
        <item x="485"/>
        <item x="366"/>
        <item x="447"/>
        <item x="427"/>
        <item x="451"/>
        <item x="220"/>
        <item x="280"/>
        <item x="342"/>
        <item x="19"/>
        <item x="50"/>
        <item x="390"/>
        <item x="119"/>
        <item x="289"/>
        <item x="251"/>
        <item x="403"/>
        <item x="497"/>
        <item x="528"/>
        <item x="432"/>
        <item x="181"/>
        <item x="462"/>
        <item x="89"/>
        <item x="335"/>
        <item x="260"/>
        <item x="295"/>
        <item x="404"/>
        <item x="482"/>
        <item x="39"/>
        <item x="228"/>
        <item x="46"/>
        <item x="347"/>
        <item x="344"/>
        <item x="148"/>
        <item x="64"/>
        <item x="38"/>
        <item x="171"/>
        <item x="98"/>
        <item x="439"/>
        <item x="56"/>
        <item x="526"/>
        <item x="7"/>
        <item x="194"/>
        <item x="22"/>
        <item x="242"/>
        <item x="164"/>
        <item x="52"/>
        <item x="138"/>
        <item x="42"/>
        <item x="82"/>
        <item x="170"/>
        <item x="149"/>
        <item x="196"/>
        <item x="291"/>
        <item x="129"/>
        <item x="263"/>
        <item x="334"/>
        <item x="136"/>
        <item x="288"/>
        <item x="224"/>
        <item x="467"/>
        <item x="278"/>
        <item x="367"/>
        <item x="43"/>
        <item x="226"/>
        <item x="271"/>
        <item x="20"/>
        <item x="142"/>
        <item x="108"/>
        <item x="211"/>
        <item x="125"/>
        <item x="141"/>
        <item x="3"/>
        <item x="317"/>
        <item x="184"/>
        <item x="99"/>
        <item x="25"/>
        <item x="501"/>
        <item x="58"/>
        <item x="483"/>
        <item x="55"/>
        <item x="100"/>
        <item x="384"/>
        <item x="437"/>
        <item x="275"/>
        <item x="8"/>
        <item x="322"/>
        <item x="308"/>
        <item x="346"/>
        <item x="323"/>
        <item x="282"/>
        <item x="107"/>
        <item x="301"/>
        <item x="240"/>
        <item x="401"/>
        <item x="206"/>
        <item x="159"/>
        <item x="201"/>
        <item x="411"/>
        <item x="66"/>
        <item x="465"/>
        <item x="111"/>
        <item x="504"/>
        <item x="332"/>
        <item x="264"/>
        <item x="459"/>
        <item x="456"/>
        <item x="215"/>
        <item x="270"/>
        <item x="396"/>
        <item x="150"/>
        <item x="29"/>
        <item x="124"/>
        <item x="433"/>
        <item x="128"/>
        <item x="324"/>
        <item x="438"/>
        <item x="155"/>
        <item x="400"/>
        <item x="221"/>
        <item x="364"/>
        <item x="248"/>
        <item x="96"/>
        <item x="30"/>
        <item x="135"/>
        <item x="139"/>
        <item x="363"/>
        <item x="352"/>
        <item x="229"/>
        <item x="71"/>
        <item x="267"/>
        <item x="16"/>
        <item x="412"/>
        <item x="185"/>
        <item x="369"/>
        <item x="104"/>
        <item x="460"/>
        <item x="174"/>
        <item x="287"/>
        <item x="88"/>
        <item x="470"/>
        <item x="78"/>
        <item x="487"/>
        <item x="213"/>
        <item x="245"/>
        <item x="442"/>
        <item x="376"/>
        <item x="298"/>
        <item x="511"/>
        <item x="60"/>
        <item x="13"/>
        <item x="304"/>
        <item x="514"/>
        <item x="325"/>
        <item x="441"/>
        <item x="227"/>
        <item x="286"/>
        <item x="161"/>
        <item x="415"/>
        <item x="45"/>
        <item x="524"/>
        <item x="318"/>
        <item x="80"/>
        <item x="183"/>
        <item x="388"/>
        <item x="250"/>
        <item x="1"/>
        <item x="391"/>
        <item x="15"/>
        <item x="36"/>
        <item x="274"/>
        <item x="375"/>
        <item x="453"/>
        <item x="262"/>
        <item x="266"/>
        <item x="461"/>
        <item x="54"/>
        <item x="190"/>
        <item x="536"/>
        <item x="516"/>
        <item x="92"/>
        <item x="188"/>
        <item x="445"/>
        <item x="299"/>
        <item x="466"/>
        <item x="101"/>
        <item x="246"/>
        <item x="40"/>
        <item x="189"/>
        <item x="61"/>
        <item x="33"/>
        <item x="512"/>
        <item x="51"/>
        <item x="261"/>
        <item x="513"/>
        <item x="428"/>
        <item x="68"/>
        <item x="207"/>
        <item x="93"/>
        <item x="283"/>
        <item x="290"/>
        <item x="448"/>
        <item x="380"/>
        <item x="35"/>
        <item x="354"/>
        <item x="197"/>
        <item x="225"/>
        <item x="373"/>
        <item x="406"/>
        <item x="115"/>
        <item x="440"/>
        <item x="506"/>
        <item x="302"/>
        <item x="350"/>
        <item x="333"/>
        <item x="131"/>
        <item x="402"/>
        <item x="303"/>
        <item x="147"/>
        <item x="297"/>
        <item x="62"/>
        <item x="331"/>
        <item x="23"/>
        <item x="294"/>
        <item x="319"/>
        <item x="502"/>
        <item x="480"/>
        <item x="457"/>
        <item x="293"/>
        <item x="173"/>
        <item x="337"/>
        <item x="316"/>
        <item x="176"/>
        <item x="472"/>
        <item x="12"/>
        <item x="18"/>
        <item x="49"/>
        <item x="425"/>
        <item x="418"/>
        <item x="357"/>
        <item x="312"/>
        <item x="87"/>
        <item x="219"/>
        <item x="133"/>
        <item x="520"/>
        <item x="94"/>
        <item x="252"/>
        <item x="443"/>
        <item x="126"/>
        <item x="300"/>
        <item x="178"/>
        <item x="284"/>
        <item x="118"/>
        <item x="259"/>
        <item x="276"/>
        <item x="492"/>
        <item x="339"/>
        <item x="413"/>
        <item x="74"/>
        <item x="505"/>
        <item x="292"/>
        <item x="69"/>
        <item x="253"/>
        <item x="14"/>
        <item x="244"/>
        <item x="500"/>
        <item x="481"/>
        <item x="531"/>
        <item x="144"/>
        <item x="533"/>
        <item x="239"/>
        <item x="281"/>
        <item x="471"/>
        <item x="328"/>
        <item x="343"/>
        <item x="162"/>
        <item x="431"/>
        <item x="172"/>
        <item x="198"/>
        <item x="186"/>
        <item x="450"/>
        <item x="123"/>
        <item x="238"/>
        <item x="311"/>
        <item x="109"/>
        <item x="203"/>
        <item t="default"/>
      </items>
    </pivotField>
    <pivotField showAll="0"/>
    <pivotField showAll="0"/>
    <pivotField showAll="0"/>
    <pivotField showAll="0"/>
    <pivotField showAll="0">
      <items count="5">
        <item x="0"/>
        <item x="3"/>
        <item x="2"/>
        <item x="1"/>
        <item t="default"/>
      </items>
    </pivotField>
    <pivotField showAll="0"/>
    <pivotField showAll="0">
      <items count="7">
        <item x="4"/>
        <item x="1"/>
        <item x="3"/>
        <item x="2"/>
        <item x="5"/>
        <item x="0"/>
        <item t="default"/>
      </items>
    </pivotField>
    <pivotField showAll="0">
      <items count="13">
        <item x="11"/>
        <item x="5"/>
        <item x="2"/>
        <item x="10"/>
        <item x="3"/>
        <item x="1"/>
        <item x="9"/>
        <item x="8"/>
        <item x="0"/>
        <item x="7"/>
        <item x="4"/>
        <item x="6"/>
        <item t="default"/>
      </items>
    </pivotField>
    <pivotField dataField="1" showAll="0"/>
    <pivotField showAll="0"/>
    <pivotField showAll="0"/>
    <pivotField showAll="0"/>
    <pivotField showAll="0"/>
    <pivotField showAll="0">
      <items count="5">
        <item x="3"/>
        <item x="1"/>
        <item x="2"/>
        <item x="0"/>
        <item t="default"/>
      </items>
    </pivotField>
    <pivotField showAll="0">
      <items count="4">
        <item x="1"/>
        <item x="2"/>
        <item x="0"/>
        <item t="default"/>
      </items>
    </pivotField>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Ordered" fld="13"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9B02AF-36E0-4CB0-8747-7DC81BCB8874}" name="kpi marg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20:E133" firstHeaderRow="1" firstDataRow="1" firstDataCol="1"/>
  <pivotFields count="26">
    <pivotField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items count="3">
        <item x="0"/>
        <item x="1"/>
        <item t="default"/>
      </items>
    </pivotField>
    <pivotField numFmtId="14" showAll="0">
      <items count="432">
        <item x="20"/>
        <item x="404"/>
        <item x="365"/>
        <item x="73"/>
        <item x="394"/>
        <item x="363"/>
        <item x="126"/>
        <item x="425"/>
        <item x="211"/>
        <item x="273"/>
        <item x="121"/>
        <item x="376"/>
        <item x="380"/>
        <item x="5"/>
        <item x="347"/>
        <item x="53"/>
        <item x="274"/>
        <item x="356"/>
        <item x="23"/>
        <item x="315"/>
        <item x="91"/>
        <item x="389"/>
        <item x="323"/>
        <item x="420"/>
        <item x="62"/>
        <item x="416"/>
        <item x="330"/>
        <item x="157"/>
        <item x="409"/>
        <item x="79"/>
        <item x="51"/>
        <item x="33"/>
        <item x="107"/>
        <item x="27"/>
        <item x="248"/>
        <item x="405"/>
        <item x="284"/>
        <item x="177"/>
        <item x="29"/>
        <item x="26"/>
        <item x="147"/>
        <item x="225"/>
        <item x="408"/>
        <item x="173"/>
        <item x="15"/>
        <item x="303"/>
        <item x="118"/>
        <item x="114"/>
        <item x="233"/>
        <item x="339"/>
        <item x="22"/>
        <item x="256"/>
        <item x="414"/>
        <item x="11"/>
        <item x="407"/>
        <item x="422"/>
        <item x="368"/>
        <item x="137"/>
        <item x="28"/>
        <item x="166"/>
        <item x="232"/>
        <item x="218"/>
        <item x="171"/>
        <item x="162"/>
        <item x="261"/>
        <item x="49"/>
        <item x="395"/>
        <item x="103"/>
        <item x="282"/>
        <item x="174"/>
        <item x="366"/>
        <item x="217"/>
        <item x="86"/>
        <item x="335"/>
        <item x="35"/>
        <item x="6"/>
        <item x="427"/>
        <item x="202"/>
        <item x="47"/>
        <item x="200"/>
        <item x="428"/>
        <item x="21"/>
        <item x="357"/>
        <item x="342"/>
        <item x="272"/>
        <item x="170"/>
        <item x="189"/>
        <item x="75"/>
        <item x="9"/>
        <item x="40"/>
        <item x="163"/>
        <item x="369"/>
        <item x="196"/>
        <item x="78"/>
        <item x="371"/>
        <item x="243"/>
        <item x="71"/>
        <item x="4"/>
        <item x="352"/>
        <item x="344"/>
        <item x="281"/>
        <item x="185"/>
        <item x="224"/>
        <item x="104"/>
        <item x="139"/>
        <item x="180"/>
        <item x="354"/>
        <item x="159"/>
        <item x="146"/>
        <item x="31"/>
        <item x="66"/>
        <item x="210"/>
        <item x="50"/>
        <item x="241"/>
        <item x="249"/>
        <item x="70"/>
        <item x="286"/>
        <item x="295"/>
        <item x="209"/>
        <item x="269"/>
        <item x="77"/>
        <item x="18"/>
        <item x="299"/>
        <item x="110"/>
        <item x="115"/>
        <item x="374"/>
        <item x="76"/>
        <item x="52"/>
        <item x="144"/>
        <item x="100"/>
        <item x="226"/>
        <item x="14"/>
        <item x="123"/>
        <item x="235"/>
        <item x="3"/>
        <item x="316"/>
        <item x="239"/>
        <item x="348"/>
        <item x="181"/>
        <item x="195"/>
        <item x="41"/>
        <item x="108"/>
        <item x="203"/>
        <item x="278"/>
        <item x="358"/>
        <item x="255"/>
        <item x="113"/>
        <item x="149"/>
        <item x="38"/>
        <item x="362"/>
        <item x="267"/>
        <item x="253"/>
        <item x="199"/>
        <item x="251"/>
        <item x="168"/>
        <item x="229"/>
        <item x="319"/>
        <item x="300"/>
        <item x="167"/>
        <item x="187"/>
        <item x="37"/>
        <item x="412"/>
        <item x="57"/>
        <item x="296"/>
        <item x="45"/>
        <item x="245"/>
        <item x="383"/>
        <item x="336"/>
        <item x="388"/>
        <item x="246"/>
        <item x="135"/>
        <item x="212"/>
        <item x="304"/>
        <item x="349"/>
        <item x="88"/>
        <item x="326"/>
        <item x="275"/>
        <item x="265"/>
        <item x="39"/>
        <item x="250"/>
        <item x="396"/>
        <item x="324"/>
        <item x="219"/>
        <item x="197"/>
        <item x="418"/>
        <item x="7"/>
        <item x="133"/>
        <item x="106"/>
        <item x="119"/>
        <item x="285"/>
        <item x="393"/>
        <item x="223"/>
        <item x="58"/>
        <item x="399"/>
        <item x="237"/>
        <item x="68"/>
        <item x="325"/>
        <item x="89"/>
        <item x="266"/>
        <item x="305"/>
        <item x="208"/>
        <item x="301"/>
        <item x="415"/>
        <item x="215"/>
        <item x="424"/>
        <item x="280"/>
        <item x="63"/>
        <item x="109"/>
        <item x="268"/>
        <item x="102"/>
        <item x="116"/>
        <item x="384"/>
        <item x="188"/>
        <item x="145"/>
        <item x="370"/>
        <item x="56"/>
        <item x="184"/>
        <item x="191"/>
        <item x="263"/>
        <item x="430"/>
        <item x="1"/>
        <item x="213"/>
        <item x="373"/>
        <item x="307"/>
        <item x="2"/>
        <item x="30"/>
        <item x="151"/>
        <item x="0"/>
        <item x="80"/>
        <item x="381"/>
        <item x="105"/>
        <item x="387"/>
        <item x="46"/>
        <item x="125"/>
        <item x="97"/>
        <item x="93"/>
        <item x="290"/>
        <item x="346"/>
        <item x="25"/>
        <item x="240"/>
        <item x="312"/>
        <item x="401"/>
        <item x="360"/>
        <item x="160"/>
        <item x="359"/>
        <item x="321"/>
        <item x="222"/>
        <item x="164"/>
        <item x="19"/>
        <item x="92"/>
        <item x="169"/>
        <item x="337"/>
        <item x="101"/>
        <item x="201"/>
        <item x="392"/>
        <item x="372"/>
        <item x="379"/>
        <item x="98"/>
        <item x="385"/>
        <item x="311"/>
        <item x="364"/>
        <item x="216"/>
        <item x="234"/>
        <item x="130"/>
        <item x="238"/>
        <item x="403"/>
        <item x="318"/>
        <item x="302"/>
        <item x="390"/>
        <item x="131"/>
        <item x="129"/>
        <item x="55"/>
        <item x="134"/>
        <item x="54"/>
        <item x="142"/>
        <item x="333"/>
        <item x="252"/>
        <item x="230"/>
        <item x="161"/>
        <item x="111"/>
        <item x="83"/>
        <item x="190"/>
        <item x="382"/>
        <item x="375"/>
        <item x="205"/>
        <item x="192"/>
        <item x="429"/>
        <item x="411"/>
        <item x="81"/>
        <item x="13"/>
        <item x="156"/>
        <item x="271"/>
        <item x="128"/>
        <item x="155"/>
        <item x="292"/>
        <item x="74"/>
        <item x="34"/>
        <item x="244"/>
        <item x="90"/>
        <item x="179"/>
        <item x="141"/>
        <item x="221"/>
        <item x="306"/>
        <item x="186"/>
        <item x="87"/>
        <item x="397"/>
        <item x="132"/>
        <item x="67"/>
        <item x="378"/>
        <item x="228"/>
        <item x="153"/>
        <item x="154"/>
        <item x="419"/>
        <item x="85"/>
        <item x="343"/>
        <item x="328"/>
        <item x="95"/>
        <item x="60"/>
        <item x="260"/>
        <item x="288"/>
        <item x="322"/>
        <item x="127"/>
        <item x="410"/>
        <item x="247"/>
        <item x="236"/>
        <item x="206"/>
        <item x="158"/>
        <item x="353"/>
        <item x="194"/>
        <item x="287"/>
        <item x="291"/>
        <item x="377"/>
        <item x="417"/>
        <item x="165"/>
        <item x="350"/>
        <item x="367"/>
        <item x="242"/>
        <item x="361"/>
        <item x="332"/>
        <item x="276"/>
        <item x="227"/>
        <item x="329"/>
        <item x="176"/>
        <item x="59"/>
        <item x="64"/>
        <item x="421"/>
        <item x="294"/>
        <item x="172"/>
        <item x="258"/>
        <item x="426"/>
        <item x="345"/>
        <item x="264"/>
        <item x="402"/>
        <item x="340"/>
        <item x="17"/>
        <item x="32"/>
        <item x="338"/>
        <item x="120"/>
        <item x="94"/>
        <item x="391"/>
        <item x="204"/>
        <item x="293"/>
        <item x="152"/>
        <item x="8"/>
        <item x="183"/>
        <item x="65"/>
        <item x="327"/>
        <item x="341"/>
        <item x="277"/>
        <item x="138"/>
        <item x="214"/>
        <item x="193"/>
        <item x="175"/>
        <item x="331"/>
        <item x="334"/>
        <item x="413"/>
        <item x="231"/>
        <item x="124"/>
        <item x="297"/>
        <item x="117"/>
        <item x="310"/>
        <item x="48"/>
        <item x="140"/>
        <item x="72"/>
        <item x="262"/>
        <item x="43"/>
        <item x="220"/>
        <item x="320"/>
        <item x="309"/>
        <item x="182"/>
        <item x="148"/>
        <item x="400"/>
        <item x="386"/>
        <item x="198"/>
        <item x="69"/>
        <item x="10"/>
        <item x="298"/>
        <item x="42"/>
        <item x="16"/>
        <item x="84"/>
        <item x="143"/>
        <item x="317"/>
        <item x="257"/>
        <item x="178"/>
        <item x="289"/>
        <item x="355"/>
        <item x="207"/>
        <item x="313"/>
        <item x="99"/>
        <item x="24"/>
        <item x="423"/>
        <item x="136"/>
        <item x="254"/>
        <item x="406"/>
        <item x="279"/>
        <item x="36"/>
        <item x="82"/>
        <item x="308"/>
        <item x="314"/>
        <item x="96"/>
        <item x="44"/>
        <item x="12"/>
        <item x="351"/>
        <item x="122"/>
        <item x="150"/>
        <item x="112"/>
        <item x="283"/>
        <item x="259"/>
        <item x="61"/>
        <item x="398"/>
        <item x="270"/>
        <item t="default"/>
      </items>
    </pivotField>
    <pivotField showAll="0"/>
    <pivotField showAll="0">
      <items count="538">
        <item x="152"/>
        <item x="83"/>
        <item x="121"/>
        <item x="399"/>
        <item x="315"/>
        <item x="379"/>
        <item x="9"/>
        <item x="272"/>
        <item x="116"/>
        <item x="430"/>
        <item x="120"/>
        <item x="10"/>
        <item x="389"/>
        <item x="329"/>
        <item x="86"/>
        <item x="233"/>
        <item x="77"/>
        <item x="525"/>
        <item x="205"/>
        <item x="522"/>
        <item x="191"/>
        <item x="110"/>
        <item x="53"/>
        <item x="44"/>
        <item x="157"/>
        <item x="177"/>
        <item x="168"/>
        <item x="385"/>
        <item x="468"/>
        <item x="307"/>
        <item x="5"/>
        <item x="6"/>
        <item x="517"/>
        <item x="48"/>
        <item x="371"/>
        <item x="268"/>
        <item x="530"/>
        <item x="269"/>
        <item x="182"/>
        <item x="212"/>
        <item x="372"/>
        <item x="143"/>
        <item x="230"/>
        <item x="345"/>
        <item x="310"/>
        <item x="84"/>
        <item x="486"/>
        <item x="130"/>
        <item x="377"/>
        <item x="478"/>
        <item x="134"/>
        <item x="477"/>
        <item x="370"/>
        <item x="360"/>
        <item x="218"/>
        <item x="258"/>
        <item x="435"/>
        <item x="117"/>
        <item x="217"/>
        <item x="496"/>
        <item x="417"/>
        <item x="444"/>
        <item x="236"/>
        <item x="508"/>
        <item x="34"/>
        <item x="454"/>
        <item x="356"/>
        <item x="192"/>
        <item x="63"/>
        <item x="154"/>
        <item x="202"/>
        <item x="313"/>
        <item x="234"/>
        <item x="314"/>
        <item x="407"/>
        <item x="491"/>
        <item x="257"/>
        <item x="81"/>
        <item x="426"/>
        <item x="469"/>
        <item x="349"/>
        <item x="452"/>
        <item x="296"/>
        <item x="488"/>
        <item x="463"/>
        <item x="95"/>
        <item x="386"/>
        <item x="59"/>
        <item x="503"/>
        <item x="330"/>
        <item x="160"/>
        <item x="199"/>
        <item x="429"/>
        <item x="327"/>
        <item x="31"/>
        <item x="41"/>
        <item x="85"/>
        <item x="103"/>
        <item x="507"/>
        <item x="2"/>
        <item x="353"/>
        <item x="137"/>
        <item x="420"/>
        <item x="216"/>
        <item x="394"/>
        <item x="368"/>
        <item x="510"/>
        <item x="255"/>
        <item x="169"/>
        <item x="476"/>
        <item x="4"/>
        <item x="106"/>
        <item x="424"/>
        <item x="166"/>
        <item x="397"/>
        <item x="499"/>
        <item x="165"/>
        <item x="175"/>
        <item x="237"/>
        <item x="127"/>
        <item x="114"/>
        <item x="509"/>
        <item x="473"/>
        <item x="410"/>
        <item x="222"/>
        <item x="28"/>
        <item x="105"/>
        <item x="362"/>
        <item x="527"/>
        <item x="195"/>
        <item x="518"/>
        <item x="474"/>
        <item x="214"/>
        <item x="187"/>
        <item x="235"/>
        <item x="534"/>
        <item x="351"/>
        <item x="112"/>
        <item x="26"/>
        <item x="0"/>
        <item x="535"/>
        <item x="479"/>
        <item x="434"/>
        <item x="256"/>
        <item x="408"/>
        <item x="378"/>
        <item x="449"/>
        <item x="102"/>
        <item x="24"/>
        <item x="208"/>
        <item x="405"/>
        <item x="361"/>
        <item x="515"/>
        <item x="382"/>
        <item x="409"/>
        <item x="97"/>
        <item x="495"/>
        <item x="519"/>
        <item x="151"/>
        <item x="65"/>
        <item x="523"/>
        <item x="493"/>
        <item x="153"/>
        <item x="387"/>
        <item x="359"/>
        <item x="247"/>
        <item x="249"/>
        <item x="70"/>
        <item x="365"/>
        <item x="455"/>
        <item x="243"/>
        <item x="309"/>
        <item x="446"/>
        <item x="193"/>
        <item x="395"/>
        <item x="305"/>
        <item x="156"/>
        <item x="392"/>
        <item x="122"/>
        <item x="458"/>
        <item x="358"/>
        <item x="75"/>
        <item x="338"/>
        <item x="277"/>
        <item x="414"/>
        <item x="393"/>
        <item x="326"/>
        <item x="27"/>
        <item x="158"/>
        <item x="231"/>
        <item x="423"/>
        <item x="210"/>
        <item x="336"/>
        <item x="421"/>
        <item x="73"/>
        <item x="11"/>
        <item x="146"/>
        <item x="475"/>
        <item x="204"/>
        <item x="529"/>
        <item x="494"/>
        <item x="113"/>
        <item x="91"/>
        <item x="355"/>
        <item x="180"/>
        <item x="163"/>
        <item x="374"/>
        <item x="223"/>
        <item x="321"/>
        <item x="464"/>
        <item x="57"/>
        <item x="416"/>
        <item x="254"/>
        <item x="381"/>
        <item x="232"/>
        <item x="37"/>
        <item x="489"/>
        <item x="140"/>
        <item x="490"/>
        <item x="17"/>
        <item x="340"/>
        <item x="436"/>
        <item x="398"/>
        <item x="145"/>
        <item x="179"/>
        <item x="47"/>
        <item x="21"/>
        <item x="521"/>
        <item x="76"/>
        <item x="422"/>
        <item x="265"/>
        <item x="167"/>
        <item x="79"/>
        <item x="72"/>
        <item x="285"/>
        <item x="484"/>
        <item x="241"/>
        <item x="200"/>
        <item x="90"/>
        <item x="348"/>
        <item x="67"/>
        <item x="498"/>
        <item x="532"/>
        <item x="32"/>
        <item x="383"/>
        <item x="306"/>
        <item x="273"/>
        <item x="279"/>
        <item x="132"/>
        <item x="341"/>
        <item x="209"/>
        <item x="320"/>
        <item x="419"/>
        <item x="485"/>
        <item x="366"/>
        <item x="447"/>
        <item x="427"/>
        <item x="451"/>
        <item x="220"/>
        <item x="280"/>
        <item x="342"/>
        <item x="19"/>
        <item x="50"/>
        <item x="390"/>
        <item x="119"/>
        <item x="289"/>
        <item x="251"/>
        <item x="403"/>
        <item x="497"/>
        <item x="528"/>
        <item x="432"/>
        <item x="181"/>
        <item x="462"/>
        <item x="89"/>
        <item x="335"/>
        <item x="260"/>
        <item x="295"/>
        <item x="404"/>
        <item x="482"/>
        <item x="39"/>
        <item x="228"/>
        <item x="46"/>
        <item x="347"/>
        <item x="344"/>
        <item x="148"/>
        <item x="64"/>
        <item x="38"/>
        <item x="171"/>
        <item x="98"/>
        <item x="439"/>
        <item x="56"/>
        <item x="526"/>
        <item x="7"/>
        <item x="194"/>
        <item x="22"/>
        <item x="242"/>
        <item x="164"/>
        <item x="52"/>
        <item x="138"/>
        <item x="42"/>
        <item x="82"/>
        <item x="170"/>
        <item x="149"/>
        <item x="196"/>
        <item x="291"/>
        <item x="129"/>
        <item x="263"/>
        <item x="334"/>
        <item x="136"/>
        <item x="288"/>
        <item x="224"/>
        <item x="467"/>
        <item x="278"/>
        <item x="367"/>
        <item x="43"/>
        <item x="226"/>
        <item x="271"/>
        <item x="20"/>
        <item x="142"/>
        <item x="108"/>
        <item x="211"/>
        <item x="125"/>
        <item x="141"/>
        <item x="3"/>
        <item x="317"/>
        <item x="184"/>
        <item x="99"/>
        <item x="25"/>
        <item x="501"/>
        <item x="58"/>
        <item x="483"/>
        <item x="55"/>
        <item x="100"/>
        <item x="384"/>
        <item x="437"/>
        <item x="275"/>
        <item x="8"/>
        <item x="322"/>
        <item x="308"/>
        <item x="346"/>
        <item x="323"/>
        <item x="282"/>
        <item x="107"/>
        <item x="301"/>
        <item x="240"/>
        <item x="401"/>
        <item x="206"/>
        <item x="159"/>
        <item x="201"/>
        <item x="411"/>
        <item x="66"/>
        <item x="465"/>
        <item x="111"/>
        <item x="504"/>
        <item x="332"/>
        <item x="264"/>
        <item x="459"/>
        <item x="456"/>
        <item x="215"/>
        <item x="270"/>
        <item x="396"/>
        <item x="150"/>
        <item x="29"/>
        <item x="124"/>
        <item x="433"/>
        <item x="128"/>
        <item x="324"/>
        <item x="438"/>
        <item x="155"/>
        <item x="400"/>
        <item x="221"/>
        <item x="364"/>
        <item x="248"/>
        <item x="96"/>
        <item x="30"/>
        <item x="135"/>
        <item x="139"/>
        <item x="363"/>
        <item x="352"/>
        <item x="229"/>
        <item x="71"/>
        <item x="267"/>
        <item x="16"/>
        <item x="412"/>
        <item x="185"/>
        <item x="369"/>
        <item x="104"/>
        <item x="460"/>
        <item x="174"/>
        <item x="287"/>
        <item x="88"/>
        <item x="470"/>
        <item x="78"/>
        <item x="487"/>
        <item x="213"/>
        <item x="245"/>
        <item x="442"/>
        <item x="376"/>
        <item x="298"/>
        <item x="511"/>
        <item x="60"/>
        <item x="13"/>
        <item x="304"/>
        <item x="514"/>
        <item x="325"/>
        <item x="441"/>
        <item x="227"/>
        <item x="286"/>
        <item x="161"/>
        <item x="415"/>
        <item x="45"/>
        <item x="524"/>
        <item x="318"/>
        <item x="80"/>
        <item x="183"/>
        <item x="388"/>
        <item x="250"/>
        <item x="1"/>
        <item x="391"/>
        <item x="15"/>
        <item x="36"/>
        <item x="274"/>
        <item x="375"/>
        <item x="453"/>
        <item x="262"/>
        <item x="266"/>
        <item x="461"/>
        <item x="54"/>
        <item x="190"/>
        <item x="536"/>
        <item x="516"/>
        <item x="92"/>
        <item x="188"/>
        <item x="445"/>
        <item x="299"/>
        <item x="466"/>
        <item x="101"/>
        <item x="246"/>
        <item x="40"/>
        <item x="189"/>
        <item x="61"/>
        <item x="33"/>
        <item x="512"/>
        <item x="51"/>
        <item x="261"/>
        <item x="513"/>
        <item x="428"/>
        <item x="68"/>
        <item x="207"/>
        <item x="93"/>
        <item x="283"/>
        <item x="290"/>
        <item x="448"/>
        <item x="380"/>
        <item x="35"/>
        <item x="354"/>
        <item x="197"/>
        <item x="225"/>
        <item x="373"/>
        <item x="406"/>
        <item x="115"/>
        <item x="440"/>
        <item x="506"/>
        <item x="302"/>
        <item x="350"/>
        <item x="333"/>
        <item x="131"/>
        <item x="402"/>
        <item x="303"/>
        <item x="147"/>
        <item x="297"/>
        <item x="62"/>
        <item x="331"/>
        <item x="23"/>
        <item x="294"/>
        <item x="319"/>
        <item x="502"/>
        <item x="480"/>
        <item x="457"/>
        <item x="293"/>
        <item x="173"/>
        <item x="337"/>
        <item x="316"/>
        <item x="176"/>
        <item x="472"/>
        <item x="12"/>
        <item x="18"/>
        <item x="49"/>
        <item x="425"/>
        <item x="418"/>
        <item x="357"/>
        <item x="312"/>
        <item x="87"/>
        <item x="219"/>
        <item x="133"/>
        <item x="520"/>
        <item x="94"/>
        <item x="252"/>
        <item x="443"/>
        <item x="126"/>
        <item x="300"/>
        <item x="178"/>
        <item x="284"/>
        <item x="118"/>
        <item x="259"/>
        <item x="276"/>
        <item x="492"/>
        <item x="339"/>
        <item x="413"/>
        <item x="74"/>
        <item x="505"/>
        <item x="292"/>
        <item x="69"/>
        <item x="253"/>
        <item x="14"/>
        <item x="244"/>
        <item x="500"/>
        <item x="481"/>
        <item x="531"/>
        <item x="144"/>
        <item x="533"/>
        <item x="239"/>
        <item x="281"/>
        <item x="471"/>
        <item x="328"/>
        <item x="343"/>
        <item x="162"/>
        <item x="431"/>
        <item x="172"/>
        <item x="198"/>
        <item x="186"/>
        <item x="450"/>
        <item x="123"/>
        <item x="238"/>
        <item x="311"/>
        <item x="109"/>
        <item x="203"/>
        <item t="default"/>
      </items>
    </pivotField>
    <pivotField showAll="0"/>
    <pivotField showAll="0"/>
    <pivotField showAll="0"/>
    <pivotField showAll="0"/>
    <pivotField showAll="0">
      <items count="5">
        <item x="0"/>
        <item x="3"/>
        <item x="2"/>
        <item x="1"/>
        <item t="default"/>
      </items>
    </pivotField>
    <pivotField showAll="0"/>
    <pivotField showAll="0">
      <items count="7">
        <item x="4"/>
        <item x="1"/>
        <item x="3"/>
        <item x="2"/>
        <item x="5"/>
        <item x="0"/>
        <item t="default"/>
      </items>
    </pivotField>
    <pivotField showAll="0">
      <items count="13">
        <item x="11"/>
        <item x="5"/>
        <item x="2"/>
        <item x="10"/>
        <item x="3"/>
        <item x="1"/>
        <item x="9"/>
        <item x="8"/>
        <item x="0"/>
        <item x="7"/>
        <item x="4"/>
        <item x="6"/>
        <item t="default"/>
      </items>
    </pivotField>
    <pivotField showAll="0"/>
    <pivotField showAll="0"/>
    <pivotField showAll="0"/>
    <pivotField showAll="0"/>
    <pivotField showAll="0"/>
    <pivotField showAll="0">
      <items count="5">
        <item x="3"/>
        <item x="1"/>
        <item x="2"/>
        <item x="0"/>
        <item t="default"/>
      </items>
    </pivotField>
    <pivotField showAll="0">
      <items count="4">
        <item x="1"/>
        <item x="2"/>
        <item x="0"/>
        <item t="default"/>
      </items>
    </pivotField>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0A28E6-BB22-404D-ACE7-6A90CF26232A}" name="waterfall 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32" firstHeaderRow="1" firstDataRow="1" firstDataCol="1"/>
  <pivotFields count="26">
    <pivotField showAll="0"/>
    <pivotField showAll="0">
      <items count="3">
        <item x="0"/>
        <item x="1"/>
        <item t="default"/>
      </items>
    </pivotField>
    <pivotField numFmtId="14" showAll="0">
      <items count="432">
        <item x="20"/>
        <item x="404"/>
        <item x="365"/>
        <item x="73"/>
        <item x="394"/>
        <item x="363"/>
        <item x="126"/>
        <item x="425"/>
        <item x="211"/>
        <item x="273"/>
        <item x="121"/>
        <item x="376"/>
        <item x="380"/>
        <item x="5"/>
        <item x="347"/>
        <item x="53"/>
        <item x="274"/>
        <item x="356"/>
        <item x="23"/>
        <item x="315"/>
        <item x="91"/>
        <item x="389"/>
        <item x="323"/>
        <item x="420"/>
        <item x="62"/>
        <item x="416"/>
        <item x="330"/>
        <item x="157"/>
        <item x="409"/>
        <item x="79"/>
        <item x="51"/>
        <item x="33"/>
        <item x="107"/>
        <item x="27"/>
        <item x="248"/>
        <item x="405"/>
        <item x="284"/>
        <item x="177"/>
        <item x="29"/>
        <item x="26"/>
        <item x="147"/>
        <item x="225"/>
        <item x="408"/>
        <item x="173"/>
        <item x="15"/>
        <item x="303"/>
        <item x="118"/>
        <item x="114"/>
        <item x="233"/>
        <item x="339"/>
        <item x="22"/>
        <item x="256"/>
        <item x="414"/>
        <item x="11"/>
        <item x="407"/>
        <item x="422"/>
        <item x="368"/>
        <item x="137"/>
        <item x="28"/>
        <item x="166"/>
        <item x="232"/>
        <item x="218"/>
        <item x="171"/>
        <item x="162"/>
        <item x="261"/>
        <item x="49"/>
        <item x="395"/>
        <item x="103"/>
        <item x="282"/>
        <item x="174"/>
        <item x="366"/>
        <item x="217"/>
        <item x="86"/>
        <item x="335"/>
        <item x="35"/>
        <item x="6"/>
        <item x="427"/>
        <item x="202"/>
        <item x="47"/>
        <item x="200"/>
        <item x="428"/>
        <item x="21"/>
        <item x="357"/>
        <item x="342"/>
        <item x="272"/>
        <item x="170"/>
        <item x="189"/>
        <item x="75"/>
        <item x="9"/>
        <item x="40"/>
        <item x="163"/>
        <item x="369"/>
        <item x="196"/>
        <item x="78"/>
        <item x="371"/>
        <item x="243"/>
        <item x="71"/>
        <item x="4"/>
        <item x="352"/>
        <item x="344"/>
        <item x="281"/>
        <item x="185"/>
        <item x="224"/>
        <item x="104"/>
        <item x="139"/>
        <item x="180"/>
        <item x="354"/>
        <item x="159"/>
        <item x="146"/>
        <item x="31"/>
        <item x="66"/>
        <item x="210"/>
        <item x="50"/>
        <item x="241"/>
        <item x="249"/>
        <item x="70"/>
        <item x="286"/>
        <item x="295"/>
        <item x="209"/>
        <item x="269"/>
        <item x="77"/>
        <item x="18"/>
        <item x="299"/>
        <item x="110"/>
        <item x="115"/>
        <item x="374"/>
        <item x="76"/>
        <item x="52"/>
        <item x="144"/>
        <item x="100"/>
        <item x="226"/>
        <item x="14"/>
        <item x="123"/>
        <item x="235"/>
        <item x="3"/>
        <item x="316"/>
        <item x="239"/>
        <item x="348"/>
        <item x="181"/>
        <item x="195"/>
        <item x="41"/>
        <item x="108"/>
        <item x="203"/>
        <item x="278"/>
        <item x="358"/>
        <item x="255"/>
        <item x="113"/>
        <item x="149"/>
        <item x="38"/>
        <item x="362"/>
        <item x="267"/>
        <item x="253"/>
        <item x="199"/>
        <item x="251"/>
        <item x="168"/>
        <item x="229"/>
        <item x="319"/>
        <item x="300"/>
        <item x="167"/>
        <item x="187"/>
        <item x="37"/>
        <item x="412"/>
        <item x="57"/>
        <item x="296"/>
        <item x="45"/>
        <item x="245"/>
        <item x="383"/>
        <item x="336"/>
        <item x="388"/>
        <item x="246"/>
        <item x="135"/>
        <item x="212"/>
        <item x="304"/>
        <item x="349"/>
        <item x="88"/>
        <item x="326"/>
        <item x="275"/>
        <item x="265"/>
        <item x="39"/>
        <item x="250"/>
        <item x="396"/>
        <item x="324"/>
        <item x="219"/>
        <item x="197"/>
        <item x="418"/>
        <item x="7"/>
        <item x="133"/>
        <item x="106"/>
        <item x="119"/>
        <item x="285"/>
        <item x="393"/>
        <item x="223"/>
        <item x="58"/>
        <item x="399"/>
        <item x="237"/>
        <item x="68"/>
        <item x="325"/>
        <item x="89"/>
        <item x="266"/>
        <item x="305"/>
        <item x="208"/>
        <item x="301"/>
        <item x="415"/>
        <item x="215"/>
        <item x="424"/>
        <item x="280"/>
        <item x="63"/>
        <item x="109"/>
        <item x="268"/>
        <item x="102"/>
        <item x="116"/>
        <item x="384"/>
        <item x="188"/>
        <item x="145"/>
        <item x="370"/>
        <item x="56"/>
        <item x="184"/>
        <item x="191"/>
        <item x="263"/>
        <item x="430"/>
        <item x="1"/>
        <item x="213"/>
        <item x="373"/>
        <item x="307"/>
        <item x="2"/>
        <item x="30"/>
        <item x="151"/>
        <item x="0"/>
        <item x="80"/>
        <item x="381"/>
        <item x="105"/>
        <item x="387"/>
        <item x="46"/>
        <item x="125"/>
        <item x="97"/>
        <item x="93"/>
        <item x="290"/>
        <item x="346"/>
        <item x="25"/>
        <item x="240"/>
        <item x="312"/>
        <item x="401"/>
        <item x="360"/>
        <item x="160"/>
        <item x="359"/>
        <item x="321"/>
        <item x="222"/>
        <item x="164"/>
        <item x="19"/>
        <item x="92"/>
        <item x="169"/>
        <item x="337"/>
        <item x="101"/>
        <item x="201"/>
        <item x="392"/>
        <item x="372"/>
        <item x="379"/>
        <item x="98"/>
        <item x="385"/>
        <item x="311"/>
        <item x="364"/>
        <item x="216"/>
        <item x="234"/>
        <item x="130"/>
        <item x="238"/>
        <item x="403"/>
        <item x="318"/>
        <item x="302"/>
        <item x="390"/>
        <item x="131"/>
        <item x="129"/>
        <item x="55"/>
        <item x="134"/>
        <item x="54"/>
        <item x="142"/>
        <item x="333"/>
        <item x="252"/>
        <item x="230"/>
        <item x="161"/>
        <item x="111"/>
        <item x="83"/>
        <item x="190"/>
        <item x="382"/>
        <item x="375"/>
        <item x="205"/>
        <item x="192"/>
        <item x="429"/>
        <item x="411"/>
        <item x="81"/>
        <item x="13"/>
        <item x="156"/>
        <item x="271"/>
        <item x="128"/>
        <item x="155"/>
        <item x="292"/>
        <item x="74"/>
        <item x="34"/>
        <item x="244"/>
        <item x="90"/>
        <item x="179"/>
        <item x="141"/>
        <item x="221"/>
        <item x="306"/>
        <item x="186"/>
        <item x="87"/>
        <item x="397"/>
        <item x="132"/>
        <item x="67"/>
        <item x="378"/>
        <item x="228"/>
        <item x="153"/>
        <item x="154"/>
        <item x="419"/>
        <item x="85"/>
        <item x="343"/>
        <item x="328"/>
        <item x="95"/>
        <item x="60"/>
        <item x="260"/>
        <item x="288"/>
        <item x="322"/>
        <item x="127"/>
        <item x="410"/>
        <item x="247"/>
        <item x="236"/>
        <item x="206"/>
        <item x="158"/>
        <item x="353"/>
        <item x="194"/>
        <item x="287"/>
        <item x="291"/>
        <item x="377"/>
        <item x="417"/>
        <item x="165"/>
        <item x="350"/>
        <item x="367"/>
        <item x="242"/>
        <item x="361"/>
        <item x="332"/>
        <item x="276"/>
        <item x="227"/>
        <item x="329"/>
        <item x="176"/>
        <item x="59"/>
        <item x="64"/>
        <item x="421"/>
        <item x="294"/>
        <item x="172"/>
        <item x="258"/>
        <item x="426"/>
        <item x="345"/>
        <item x="264"/>
        <item x="402"/>
        <item x="340"/>
        <item x="17"/>
        <item x="32"/>
        <item x="338"/>
        <item x="120"/>
        <item x="94"/>
        <item x="391"/>
        <item x="204"/>
        <item x="293"/>
        <item x="152"/>
        <item x="8"/>
        <item x="183"/>
        <item x="65"/>
        <item x="327"/>
        <item x="341"/>
        <item x="277"/>
        <item x="138"/>
        <item x="214"/>
        <item x="193"/>
        <item x="175"/>
        <item x="331"/>
        <item x="334"/>
        <item x="413"/>
        <item x="231"/>
        <item x="124"/>
        <item x="297"/>
        <item x="117"/>
        <item x="310"/>
        <item x="48"/>
        <item x="140"/>
        <item x="72"/>
        <item x="262"/>
        <item x="43"/>
        <item x="220"/>
        <item x="320"/>
        <item x="309"/>
        <item x="182"/>
        <item x="148"/>
        <item x="400"/>
        <item x="386"/>
        <item x="198"/>
        <item x="69"/>
        <item x="10"/>
        <item x="298"/>
        <item x="42"/>
        <item x="16"/>
        <item x="84"/>
        <item x="143"/>
        <item x="317"/>
        <item x="257"/>
        <item x="178"/>
        <item x="289"/>
        <item x="355"/>
        <item x="207"/>
        <item x="313"/>
        <item x="99"/>
        <item x="24"/>
        <item x="423"/>
        <item x="136"/>
        <item x="254"/>
        <item x="406"/>
        <item x="279"/>
        <item x="36"/>
        <item x="82"/>
        <item x="308"/>
        <item x="314"/>
        <item x="96"/>
        <item x="44"/>
        <item x="12"/>
        <item x="351"/>
        <item x="122"/>
        <item x="150"/>
        <item x="112"/>
        <item x="283"/>
        <item x="259"/>
        <item x="61"/>
        <item x="398"/>
        <item x="270"/>
        <item t="default"/>
      </items>
    </pivotField>
    <pivotField showAll="0"/>
    <pivotField showAll="0">
      <items count="538">
        <item x="152"/>
        <item x="83"/>
        <item x="121"/>
        <item x="399"/>
        <item x="315"/>
        <item x="379"/>
        <item x="9"/>
        <item x="272"/>
        <item x="116"/>
        <item x="430"/>
        <item x="120"/>
        <item x="10"/>
        <item x="389"/>
        <item x="329"/>
        <item x="86"/>
        <item x="233"/>
        <item x="77"/>
        <item x="525"/>
        <item x="205"/>
        <item x="522"/>
        <item x="191"/>
        <item x="110"/>
        <item x="53"/>
        <item x="44"/>
        <item x="157"/>
        <item x="177"/>
        <item x="168"/>
        <item x="385"/>
        <item x="468"/>
        <item x="307"/>
        <item x="5"/>
        <item x="6"/>
        <item x="517"/>
        <item x="48"/>
        <item x="371"/>
        <item x="268"/>
        <item x="530"/>
        <item x="269"/>
        <item x="182"/>
        <item x="212"/>
        <item x="372"/>
        <item x="143"/>
        <item x="230"/>
        <item x="345"/>
        <item x="310"/>
        <item x="84"/>
        <item x="486"/>
        <item x="130"/>
        <item x="377"/>
        <item x="478"/>
        <item x="134"/>
        <item x="477"/>
        <item x="370"/>
        <item x="360"/>
        <item x="218"/>
        <item x="258"/>
        <item x="435"/>
        <item x="117"/>
        <item x="217"/>
        <item x="496"/>
        <item x="417"/>
        <item x="444"/>
        <item x="236"/>
        <item x="508"/>
        <item x="34"/>
        <item x="454"/>
        <item x="356"/>
        <item x="192"/>
        <item x="63"/>
        <item x="154"/>
        <item x="202"/>
        <item x="313"/>
        <item x="234"/>
        <item x="314"/>
        <item x="407"/>
        <item x="491"/>
        <item x="257"/>
        <item x="81"/>
        <item x="426"/>
        <item x="469"/>
        <item x="349"/>
        <item x="452"/>
        <item x="296"/>
        <item x="488"/>
        <item x="463"/>
        <item x="95"/>
        <item x="386"/>
        <item x="59"/>
        <item x="503"/>
        <item x="330"/>
        <item x="160"/>
        <item x="199"/>
        <item x="429"/>
        <item x="327"/>
        <item x="31"/>
        <item x="41"/>
        <item x="85"/>
        <item x="103"/>
        <item x="507"/>
        <item x="2"/>
        <item x="353"/>
        <item x="137"/>
        <item x="420"/>
        <item x="216"/>
        <item x="394"/>
        <item x="368"/>
        <item x="510"/>
        <item x="255"/>
        <item x="169"/>
        <item x="476"/>
        <item x="4"/>
        <item x="106"/>
        <item x="424"/>
        <item x="166"/>
        <item x="397"/>
        <item x="499"/>
        <item x="165"/>
        <item x="175"/>
        <item x="237"/>
        <item x="127"/>
        <item x="114"/>
        <item x="509"/>
        <item x="473"/>
        <item x="410"/>
        <item x="222"/>
        <item x="28"/>
        <item x="105"/>
        <item x="362"/>
        <item x="527"/>
        <item x="195"/>
        <item x="518"/>
        <item x="474"/>
        <item x="214"/>
        <item x="187"/>
        <item x="235"/>
        <item x="534"/>
        <item x="351"/>
        <item x="112"/>
        <item x="26"/>
        <item x="0"/>
        <item x="535"/>
        <item x="479"/>
        <item x="434"/>
        <item x="256"/>
        <item x="408"/>
        <item x="378"/>
        <item x="449"/>
        <item x="102"/>
        <item x="24"/>
        <item x="208"/>
        <item x="405"/>
        <item x="361"/>
        <item x="515"/>
        <item x="382"/>
        <item x="409"/>
        <item x="97"/>
        <item x="495"/>
        <item x="519"/>
        <item x="151"/>
        <item x="65"/>
        <item x="523"/>
        <item x="493"/>
        <item x="153"/>
        <item x="387"/>
        <item x="359"/>
        <item x="247"/>
        <item x="249"/>
        <item x="70"/>
        <item x="365"/>
        <item x="455"/>
        <item x="243"/>
        <item x="309"/>
        <item x="446"/>
        <item x="193"/>
        <item x="395"/>
        <item x="305"/>
        <item x="156"/>
        <item x="392"/>
        <item x="122"/>
        <item x="458"/>
        <item x="358"/>
        <item x="75"/>
        <item x="338"/>
        <item x="277"/>
        <item x="414"/>
        <item x="393"/>
        <item x="326"/>
        <item x="27"/>
        <item x="158"/>
        <item x="231"/>
        <item x="423"/>
        <item x="210"/>
        <item x="336"/>
        <item x="421"/>
        <item x="73"/>
        <item x="11"/>
        <item x="146"/>
        <item x="475"/>
        <item x="204"/>
        <item x="529"/>
        <item x="494"/>
        <item x="113"/>
        <item x="91"/>
        <item x="355"/>
        <item x="180"/>
        <item x="163"/>
        <item x="374"/>
        <item x="223"/>
        <item x="321"/>
        <item x="464"/>
        <item x="57"/>
        <item x="416"/>
        <item x="254"/>
        <item x="381"/>
        <item x="232"/>
        <item x="37"/>
        <item x="489"/>
        <item x="140"/>
        <item x="490"/>
        <item x="17"/>
        <item x="340"/>
        <item x="436"/>
        <item x="398"/>
        <item x="145"/>
        <item x="179"/>
        <item x="47"/>
        <item x="21"/>
        <item x="521"/>
        <item x="76"/>
        <item x="422"/>
        <item x="265"/>
        <item x="167"/>
        <item x="79"/>
        <item x="72"/>
        <item x="285"/>
        <item x="484"/>
        <item x="241"/>
        <item x="200"/>
        <item x="90"/>
        <item x="348"/>
        <item x="67"/>
        <item x="498"/>
        <item x="532"/>
        <item x="32"/>
        <item x="383"/>
        <item x="306"/>
        <item x="273"/>
        <item x="279"/>
        <item x="132"/>
        <item x="341"/>
        <item x="209"/>
        <item x="320"/>
        <item x="419"/>
        <item x="485"/>
        <item x="366"/>
        <item x="447"/>
        <item x="427"/>
        <item x="451"/>
        <item x="220"/>
        <item x="280"/>
        <item x="342"/>
        <item x="19"/>
        <item x="50"/>
        <item x="390"/>
        <item x="119"/>
        <item x="289"/>
        <item x="251"/>
        <item x="403"/>
        <item x="497"/>
        <item x="528"/>
        <item x="432"/>
        <item x="181"/>
        <item x="462"/>
        <item x="89"/>
        <item x="335"/>
        <item x="260"/>
        <item x="295"/>
        <item x="404"/>
        <item x="482"/>
        <item x="39"/>
        <item x="228"/>
        <item x="46"/>
        <item x="347"/>
        <item x="344"/>
        <item x="148"/>
        <item x="64"/>
        <item x="38"/>
        <item x="171"/>
        <item x="98"/>
        <item x="439"/>
        <item x="56"/>
        <item x="526"/>
        <item x="7"/>
        <item x="194"/>
        <item x="22"/>
        <item x="242"/>
        <item x="164"/>
        <item x="52"/>
        <item x="138"/>
        <item x="42"/>
        <item x="82"/>
        <item x="170"/>
        <item x="149"/>
        <item x="196"/>
        <item x="291"/>
        <item x="129"/>
        <item x="263"/>
        <item x="334"/>
        <item x="136"/>
        <item x="288"/>
        <item x="224"/>
        <item x="467"/>
        <item x="278"/>
        <item x="367"/>
        <item x="43"/>
        <item x="226"/>
        <item x="271"/>
        <item x="20"/>
        <item x="142"/>
        <item x="108"/>
        <item x="211"/>
        <item x="125"/>
        <item x="141"/>
        <item x="3"/>
        <item x="317"/>
        <item x="184"/>
        <item x="99"/>
        <item x="25"/>
        <item x="501"/>
        <item x="58"/>
        <item x="483"/>
        <item x="55"/>
        <item x="100"/>
        <item x="384"/>
        <item x="437"/>
        <item x="275"/>
        <item x="8"/>
        <item x="322"/>
        <item x="308"/>
        <item x="346"/>
        <item x="323"/>
        <item x="282"/>
        <item x="107"/>
        <item x="301"/>
        <item x="240"/>
        <item x="401"/>
        <item x="206"/>
        <item x="159"/>
        <item x="201"/>
        <item x="411"/>
        <item x="66"/>
        <item x="465"/>
        <item x="111"/>
        <item x="504"/>
        <item x="332"/>
        <item x="264"/>
        <item x="459"/>
        <item x="456"/>
        <item x="215"/>
        <item x="270"/>
        <item x="396"/>
        <item x="150"/>
        <item x="29"/>
        <item x="124"/>
        <item x="433"/>
        <item x="128"/>
        <item x="324"/>
        <item x="438"/>
        <item x="155"/>
        <item x="400"/>
        <item x="221"/>
        <item x="364"/>
        <item x="248"/>
        <item x="96"/>
        <item x="30"/>
        <item x="135"/>
        <item x="139"/>
        <item x="363"/>
        <item x="352"/>
        <item x="229"/>
        <item x="71"/>
        <item x="267"/>
        <item x="16"/>
        <item x="412"/>
        <item x="185"/>
        <item x="369"/>
        <item x="104"/>
        <item x="460"/>
        <item x="174"/>
        <item x="287"/>
        <item x="88"/>
        <item x="470"/>
        <item x="78"/>
        <item x="487"/>
        <item x="213"/>
        <item x="245"/>
        <item x="442"/>
        <item x="376"/>
        <item x="298"/>
        <item x="511"/>
        <item x="60"/>
        <item x="13"/>
        <item x="304"/>
        <item x="514"/>
        <item x="325"/>
        <item x="441"/>
        <item x="227"/>
        <item x="286"/>
        <item x="161"/>
        <item x="415"/>
        <item x="45"/>
        <item x="524"/>
        <item x="318"/>
        <item x="80"/>
        <item x="183"/>
        <item x="388"/>
        <item x="250"/>
        <item x="1"/>
        <item x="391"/>
        <item x="15"/>
        <item x="36"/>
        <item x="274"/>
        <item x="375"/>
        <item x="453"/>
        <item x="262"/>
        <item x="266"/>
        <item x="461"/>
        <item x="54"/>
        <item x="190"/>
        <item x="536"/>
        <item x="516"/>
        <item x="92"/>
        <item x="188"/>
        <item x="445"/>
        <item x="299"/>
        <item x="466"/>
        <item x="101"/>
        <item x="246"/>
        <item x="40"/>
        <item x="189"/>
        <item x="61"/>
        <item x="33"/>
        <item x="512"/>
        <item x="51"/>
        <item x="261"/>
        <item x="513"/>
        <item x="428"/>
        <item x="68"/>
        <item x="207"/>
        <item x="93"/>
        <item x="283"/>
        <item x="290"/>
        <item x="448"/>
        <item x="380"/>
        <item x="35"/>
        <item x="354"/>
        <item x="197"/>
        <item x="225"/>
        <item x="373"/>
        <item x="406"/>
        <item x="115"/>
        <item x="440"/>
        <item x="506"/>
        <item x="302"/>
        <item x="350"/>
        <item x="333"/>
        <item x="131"/>
        <item x="402"/>
        <item x="303"/>
        <item x="147"/>
        <item x="297"/>
        <item x="62"/>
        <item x="331"/>
        <item x="23"/>
        <item x="294"/>
        <item x="319"/>
        <item x="502"/>
        <item x="480"/>
        <item x="457"/>
        <item x="293"/>
        <item x="173"/>
        <item x="337"/>
        <item x="316"/>
        <item x="176"/>
        <item x="472"/>
        <item x="12"/>
        <item x="18"/>
        <item x="49"/>
        <item x="425"/>
        <item x="418"/>
        <item x="357"/>
        <item x="312"/>
        <item x="87"/>
        <item x="219"/>
        <item x="133"/>
        <item x="520"/>
        <item x="94"/>
        <item x="252"/>
        <item x="443"/>
        <item x="126"/>
        <item x="300"/>
        <item x="178"/>
        <item x="284"/>
        <item x="118"/>
        <item x="259"/>
        <item x="276"/>
        <item x="492"/>
        <item x="339"/>
        <item x="413"/>
        <item x="74"/>
        <item x="505"/>
        <item x="292"/>
        <item x="69"/>
        <item x="253"/>
        <item x="14"/>
        <item x="244"/>
        <item x="500"/>
        <item x="481"/>
        <item x="531"/>
        <item x="144"/>
        <item x="533"/>
        <item x="239"/>
        <item x="281"/>
        <item x="471"/>
        <item x="328"/>
        <item x="343"/>
        <item x="162"/>
        <item x="431"/>
        <item x="172"/>
        <item x="198"/>
        <item x="186"/>
        <item x="450"/>
        <item x="123"/>
        <item x="238"/>
        <item x="311"/>
        <item x="109"/>
        <item x="203"/>
        <item t="default"/>
      </items>
    </pivotField>
    <pivotField showAll="0"/>
    <pivotField showAll="0"/>
    <pivotField showAll="0"/>
    <pivotField showAll="0"/>
    <pivotField showAll="0">
      <items count="5">
        <item x="0"/>
        <item x="3"/>
        <item x="2"/>
        <item x="1"/>
        <item t="default"/>
      </items>
    </pivotField>
    <pivotField showAll="0"/>
    <pivotField axis="axisRow" showAll="0" sortType="descending">
      <items count="7">
        <item x="4"/>
        <item x="1"/>
        <item x="3"/>
        <item x="2"/>
        <item x="5"/>
        <item x="0"/>
        <item t="default"/>
      </items>
      <autoSortScope>
        <pivotArea dataOnly="0" outline="0" fieldPosition="0">
          <references count="1">
            <reference field="4294967294" count="1" selected="0">
              <x v="0"/>
            </reference>
          </references>
        </pivotArea>
      </autoSortScope>
    </pivotField>
    <pivotField showAll="0">
      <items count="13">
        <item x="11"/>
        <item x="5"/>
        <item x="2"/>
        <item x="10"/>
        <item x="3"/>
        <item x="1"/>
        <item x="9"/>
        <item x="8"/>
        <item x="0"/>
        <item x="7"/>
        <item x="4"/>
        <item x="6"/>
        <item t="default"/>
      </items>
    </pivotField>
    <pivotField showAll="0"/>
    <pivotField showAll="0"/>
    <pivotField showAll="0"/>
    <pivotField showAll="0"/>
    <pivotField showAll="0"/>
    <pivotField showAll="0">
      <items count="5">
        <item x="3"/>
        <item x="1"/>
        <item x="2"/>
        <item x="0"/>
        <item t="default"/>
      </items>
    </pivotField>
    <pivotField showAll="0">
      <items count="4">
        <item x="1"/>
        <item x="2"/>
        <item x="0"/>
        <item t="default"/>
      </items>
    </pivotField>
    <pivotField showAll="0"/>
    <pivotField dataField="1" showAll="0"/>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11"/>
  </rowFields>
  <rowItems count="7">
    <i>
      <x/>
    </i>
    <i>
      <x v="4"/>
    </i>
    <i>
      <x v="1"/>
    </i>
    <i>
      <x v="5"/>
    </i>
    <i>
      <x v="3"/>
    </i>
    <i>
      <x v="2"/>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AF3615-523F-406A-BB09-23C19045338E}" name="bar 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79:B86" firstHeaderRow="1" firstDataRow="1" firstDataCol="1"/>
  <pivotFields count="26">
    <pivotField showAll="0"/>
    <pivotField showAll="0">
      <items count="3">
        <item x="0"/>
        <item x="1"/>
        <item t="default"/>
      </items>
    </pivotField>
    <pivotField numFmtId="14" showAll="0">
      <items count="432">
        <item x="20"/>
        <item x="404"/>
        <item x="365"/>
        <item x="73"/>
        <item x="394"/>
        <item x="363"/>
        <item x="126"/>
        <item x="425"/>
        <item x="211"/>
        <item x="273"/>
        <item x="121"/>
        <item x="376"/>
        <item x="380"/>
        <item x="5"/>
        <item x="347"/>
        <item x="53"/>
        <item x="274"/>
        <item x="356"/>
        <item x="23"/>
        <item x="315"/>
        <item x="91"/>
        <item x="389"/>
        <item x="323"/>
        <item x="420"/>
        <item x="62"/>
        <item x="416"/>
        <item x="330"/>
        <item x="157"/>
        <item x="409"/>
        <item x="79"/>
        <item x="51"/>
        <item x="33"/>
        <item x="107"/>
        <item x="27"/>
        <item x="248"/>
        <item x="405"/>
        <item x="284"/>
        <item x="177"/>
        <item x="29"/>
        <item x="26"/>
        <item x="147"/>
        <item x="225"/>
        <item x="408"/>
        <item x="173"/>
        <item x="15"/>
        <item x="303"/>
        <item x="118"/>
        <item x="114"/>
        <item x="233"/>
        <item x="339"/>
        <item x="22"/>
        <item x="256"/>
        <item x="414"/>
        <item x="11"/>
        <item x="407"/>
        <item x="422"/>
        <item x="368"/>
        <item x="137"/>
        <item x="28"/>
        <item x="166"/>
        <item x="232"/>
        <item x="218"/>
        <item x="171"/>
        <item x="162"/>
        <item x="261"/>
        <item x="49"/>
        <item x="395"/>
        <item x="103"/>
        <item x="282"/>
        <item x="174"/>
        <item x="366"/>
        <item x="217"/>
        <item x="86"/>
        <item x="335"/>
        <item x="35"/>
        <item x="6"/>
        <item x="427"/>
        <item x="202"/>
        <item x="47"/>
        <item x="200"/>
        <item x="428"/>
        <item x="21"/>
        <item x="357"/>
        <item x="342"/>
        <item x="272"/>
        <item x="170"/>
        <item x="189"/>
        <item x="75"/>
        <item x="9"/>
        <item x="40"/>
        <item x="163"/>
        <item x="369"/>
        <item x="196"/>
        <item x="78"/>
        <item x="371"/>
        <item x="243"/>
        <item x="71"/>
        <item x="4"/>
        <item x="352"/>
        <item x="344"/>
        <item x="281"/>
        <item x="185"/>
        <item x="224"/>
        <item x="104"/>
        <item x="139"/>
        <item x="180"/>
        <item x="354"/>
        <item x="159"/>
        <item x="146"/>
        <item x="31"/>
        <item x="66"/>
        <item x="210"/>
        <item x="50"/>
        <item x="241"/>
        <item x="249"/>
        <item x="70"/>
        <item x="286"/>
        <item x="295"/>
        <item x="209"/>
        <item x="269"/>
        <item x="77"/>
        <item x="18"/>
        <item x="299"/>
        <item x="110"/>
        <item x="115"/>
        <item x="374"/>
        <item x="76"/>
        <item x="52"/>
        <item x="144"/>
        <item x="100"/>
        <item x="226"/>
        <item x="14"/>
        <item x="123"/>
        <item x="235"/>
        <item x="3"/>
        <item x="316"/>
        <item x="239"/>
        <item x="348"/>
        <item x="181"/>
        <item x="195"/>
        <item x="41"/>
        <item x="108"/>
        <item x="203"/>
        <item x="278"/>
        <item x="358"/>
        <item x="255"/>
        <item x="113"/>
        <item x="149"/>
        <item x="38"/>
        <item x="362"/>
        <item x="267"/>
        <item x="253"/>
        <item x="199"/>
        <item x="251"/>
        <item x="168"/>
        <item x="229"/>
        <item x="319"/>
        <item x="300"/>
        <item x="167"/>
        <item x="187"/>
        <item x="37"/>
        <item x="412"/>
        <item x="57"/>
        <item x="296"/>
        <item x="45"/>
        <item x="245"/>
        <item x="383"/>
        <item x="336"/>
        <item x="388"/>
        <item x="246"/>
        <item x="135"/>
        <item x="212"/>
        <item x="304"/>
        <item x="349"/>
        <item x="88"/>
        <item x="326"/>
        <item x="275"/>
        <item x="265"/>
        <item x="39"/>
        <item x="250"/>
        <item x="396"/>
        <item x="324"/>
        <item x="219"/>
        <item x="197"/>
        <item x="418"/>
        <item x="7"/>
        <item x="133"/>
        <item x="106"/>
        <item x="119"/>
        <item x="285"/>
        <item x="393"/>
        <item x="223"/>
        <item x="58"/>
        <item x="399"/>
        <item x="237"/>
        <item x="68"/>
        <item x="325"/>
        <item x="89"/>
        <item x="266"/>
        <item x="305"/>
        <item x="208"/>
        <item x="301"/>
        <item x="415"/>
        <item x="215"/>
        <item x="424"/>
        <item x="280"/>
        <item x="63"/>
        <item x="109"/>
        <item x="268"/>
        <item x="102"/>
        <item x="116"/>
        <item x="384"/>
        <item x="188"/>
        <item x="145"/>
        <item x="370"/>
        <item x="56"/>
        <item x="184"/>
        <item x="191"/>
        <item x="263"/>
        <item x="430"/>
        <item x="1"/>
        <item x="213"/>
        <item x="373"/>
        <item x="307"/>
        <item x="2"/>
        <item x="30"/>
        <item x="151"/>
        <item x="0"/>
        <item x="80"/>
        <item x="381"/>
        <item x="105"/>
        <item x="387"/>
        <item x="46"/>
        <item x="125"/>
        <item x="97"/>
        <item x="93"/>
        <item x="290"/>
        <item x="346"/>
        <item x="25"/>
        <item x="240"/>
        <item x="312"/>
        <item x="401"/>
        <item x="360"/>
        <item x="160"/>
        <item x="359"/>
        <item x="321"/>
        <item x="222"/>
        <item x="164"/>
        <item x="19"/>
        <item x="92"/>
        <item x="169"/>
        <item x="337"/>
        <item x="101"/>
        <item x="201"/>
        <item x="392"/>
        <item x="372"/>
        <item x="379"/>
        <item x="98"/>
        <item x="385"/>
        <item x="311"/>
        <item x="364"/>
        <item x="216"/>
        <item x="234"/>
        <item x="130"/>
        <item x="238"/>
        <item x="403"/>
        <item x="318"/>
        <item x="302"/>
        <item x="390"/>
        <item x="131"/>
        <item x="129"/>
        <item x="55"/>
        <item x="134"/>
        <item x="54"/>
        <item x="142"/>
        <item x="333"/>
        <item x="252"/>
        <item x="230"/>
        <item x="161"/>
        <item x="111"/>
        <item x="83"/>
        <item x="190"/>
        <item x="382"/>
        <item x="375"/>
        <item x="205"/>
        <item x="192"/>
        <item x="429"/>
        <item x="411"/>
        <item x="81"/>
        <item x="13"/>
        <item x="156"/>
        <item x="271"/>
        <item x="128"/>
        <item x="155"/>
        <item x="292"/>
        <item x="74"/>
        <item x="34"/>
        <item x="244"/>
        <item x="90"/>
        <item x="179"/>
        <item x="141"/>
        <item x="221"/>
        <item x="306"/>
        <item x="186"/>
        <item x="87"/>
        <item x="397"/>
        <item x="132"/>
        <item x="67"/>
        <item x="378"/>
        <item x="228"/>
        <item x="153"/>
        <item x="154"/>
        <item x="419"/>
        <item x="85"/>
        <item x="343"/>
        <item x="328"/>
        <item x="95"/>
        <item x="60"/>
        <item x="260"/>
        <item x="288"/>
        <item x="322"/>
        <item x="127"/>
        <item x="410"/>
        <item x="247"/>
        <item x="236"/>
        <item x="206"/>
        <item x="158"/>
        <item x="353"/>
        <item x="194"/>
        <item x="287"/>
        <item x="291"/>
        <item x="377"/>
        <item x="417"/>
        <item x="165"/>
        <item x="350"/>
        <item x="367"/>
        <item x="242"/>
        <item x="361"/>
        <item x="332"/>
        <item x="276"/>
        <item x="227"/>
        <item x="329"/>
        <item x="176"/>
        <item x="59"/>
        <item x="64"/>
        <item x="421"/>
        <item x="294"/>
        <item x="172"/>
        <item x="258"/>
        <item x="426"/>
        <item x="345"/>
        <item x="264"/>
        <item x="402"/>
        <item x="340"/>
        <item x="17"/>
        <item x="32"/>
        <item x="338"/>
        <item x="120"/>
        <item x="94"/>
        <item x="391"/>
        <item x="204"/>
        <item x="293"/>
        <item x="152"/>
        <item x="8"/>
        <item x="183"/>
        <item x="65"/>
        <item x="327"/>
        <item x="341"/>
        <item x="277"/>
        <item x="138"/>
        <item x="214"/>
        <item x="193"/>
        <item x="175"/>
        <item x="331"/>
        <item x="334"/>
        <item x="413"/>
        <item x="231"/>
        <item x="124"/>
        <item x="297"/>
        <item x="117"/>
        <item x="310"/>
        <item x="48"/>
        <item x="140"/>
        <item x="72"/>
        <item x="262"/>
        <item x="43"/>
        <item x="220"/>
        <item x="320"/>
        <item x="309"/>
        <item x="182"/>
        <item x="148"/>
        <item x="400"/>
        <item x="386"/>
        <item x="198"/>
        <item x="69"/>
        <item x="10"/>
        <item x="298"/>
        <item x="42"/>
        <item x="16"/>
        <item x="84"/>
        <item x="143"/>
        <item x="317"/>
        <item x="257"/>
        <item x="178"/>
        <item x="289"/>
        <item x="355"/>
        <item x="207"/>
        <item x="313"/>
        <item x="99"/>
        <item x="24"/>
        <item x="423"/>
        <item x="136"/>
        <item x="254"/>
        <item x="406"/>
        <item x="279"/>
        <item x="36"/>
        <item x="82"/>
        <item x="308"/>
        <item x="314"/>
        <item x="96"/>
        <item x="44"/>
        <item x="12"/>
        <item x="351"/>
        <item x="122"/>
        <item x="150"/>
        <item x="112"/>
        <item x="283"/>
        <item x="259"/>
        <item x="61"/>
        <item x="398"/>
        <item x="270"/>
        <item t="default"/>
      </items>
    </pivotField>
    <pivotField showAll="0"/>
    <pivotField showAll="0">
      <items count="538">
        <item x="152"/>
        <item x="83"/>
        <item x="121"/>
        <item x="399"/>
        <item x="315"/>
        <item x="379"/>
        <item x="9"/>
        <item x="272"/>
        <item x="116"/>
        <item x="430"/>
        <item x="120"/>
        <item x="10"/>
        <item x="389"/>
        <item x="329"/>
        <item x="86"/>
        <item x="233"/>
        <item x="77"/>
        <item x="525"/>
        <item x="205"/>
        <item x="522"/>
        <item x="191"/>
        <item x="110"/>
        <item x="53"/>
        <item x="44"/>
        <item x="157"/>
        <item x="177"/>
        <item x="168"/>
        <item x="385"/>
        <item x="468"/>
        <item x="307"/>
        <item x="5"/>
        <item x="6"/>
        <item x="517"/>
        <item x="48"/>
        <item x="371"/>
        <item x="268"/>
        <item x="530"/>
        <item x="269"/>
        <item x="182"/>
        <item x="212"/>
        <item x="372"/>
        <item x="143"/>
        <item x="230"/>
        <item x="345"/>
        <item x="310"/>
        <item x="84"/>
        <item x="486"/>
        <item x="130"/>
        <item x="377"/>
        <item x="478"/>
        <item x="134"/>
        <item x="477"/>
        <item x="370"/>
        <item x="360"/>
        <item x="218"/>
        <item x="258"/>
        <item x="435"/>
        <item x="117"/>
        <item x="217"/>
        <item x="496"/>
        <item x="417"/>
        <item x="444"/>
        <item x="236"/>
        <item x="508"/>
        <item x="34"/>
        <item x="454"/>
        <item x="356"/>
        <item x="192"/>
        <item x="63"/>
        <item x="154"/>
        <item x="202"/>
        <item x="313"/>
        <item x="234"/>
        <item x="314"/>
        <item x="407"/>
        <item x="491"/>
        <item x="257"/>
        <item x="81"/>
        <item x="426"/>
        <item x="469"/>
        <item x="349"/>
        <item x="452"/>
        <item x="296"/>
        <item x="488"/>
        <item x="463"/>
        <item x="95"/>
        <item x="386"/>
        <item x="59"/>
        <item x="503"/>
        <item x="330"/>
        <item x="160"/>
        <item x="199"/>
        <item x="429"/>
        <item x="327"/>
        <item x="31"/>
        <item x="41"/>
        <item x="85"/>
        <item x="103"/>
        <item x="507"/>
        <item x="2"/>
        <item x="353"/>
        <item x="137"/>
        <item x="420"/>
        <item x="216"/>
        <item x="394"/>
        <item x="368"/>
        <item x="510"/>
        <item x="255"/>
        <item x="169"/>
        <item x="476"/>
        <item x="4"/>
        <item x="106"/>
        <item x="424"/>
        <item x="166"/>
        <item x="397"/>
        <item x="499"/>
        <item x="165"/>
        <item x="175"/>
        <item x="237"/>
        <item x="127"/>
        <item x="114"/>
        <item x="509"/>
        <item x="473"/>
        <item x="410"/>
        <item x="222"/>
        <item x="28"/>
        <item x="105"/>
        <item x="362"/>
        <item x="527"/>
        <item x="195"/>
        <item x="518"/>
        <item x="474"/>
        <item x="214"/>
        <item x="187"/>
        <item x="235"/>
        <item x="534"/>
        <item x="351"/>
        <item x="112"/>
        <item x="26"/>
        <item x="0"/>
        <item x="535"/>
        <item x="479"/>
        <item x="434"/>
        <item x="256"/>
        <item x="408"/>
        <item x="378"/>
        <item x="449"/>
        <item x="102"/>
        <item x="24"/>
        <item x="208"/>
        <item x="405"/>
        <item x="361"/>
        <item x="515"/>
        <item x="382"/>
        <item x="409"/>
        <item x="97"/>
        <item x="495"/>
        <item x="519"/>
        <item x="151"/>
        <item x="65"/>
        <item x="523"/>
        <item x="493"/>
        <item x="153"/>
        <item x="387"/>
        <item x="359"/>
        <item x="247"/>
        <item x="249"/>
        <item x="70"/>
        <item x="365"/>
        <item x="455"/>
        <item x="243"/>
        <item x="309"/>
        <item x="446"/>
        <item x="193"/>
        <item x="395"/>
        <item x="305"/>
        <item x="156"/>
        <item x="392"/>
        <item x="122"/>
        <item x="458"/>
        <item x="358"/>
        <item x="75"/>
        <item x="338"/>
        <item x="277"/>
        <item x="414"/>
        <item x="393"/>
        <item x="326"/>
        <item x="27"/>
        <item x="158"/>
        <item x="231"/>
        <item x="423"/>
        <item x="210"/>
        <item x="336"/>
        <item x="421"/>
        <item x="73"/>
        <item x="11"/>
        <item x="146"/>
        <item x="475"/>
        <item x="204"/>
        <item x="529"/>
        <item x="494"/>
        <item x="113"/>
        <item x="91"/>
        <item x="355"/>
        <item x="180"/>
        <item x="163"/>
        <item x="374"/>
        <item x="223"/>
        <item x="321"/>
        <item x="464"/>
        <item x="57"/>
        <item x="416"/>
        <item x="254"/>
        <item x="381"/>
        <item x="232"/>
        <item x="37"/>
        <item x="489"/>
        <item x="140"/>
        <item x="490"/>
        <item x="17"/>
        <item x="340"/>
        <item x="436"/>
        <item x="398"/>
        <item x="145"/>
        <item x="179"/>
        <item x="47"/>
        <item x="21"/>
        <item x="521"/>
        <item x="76"/>
        <item x="422"/>
        <item x="265"/>
        <item x="167"/>
        <item x="79"/>
        <item x="72"/>
        <item x="285"/>
        <item x="484"/>
        <item x="241"/>
        <item x="200"/>
        <item x="90"/>
        <item x="348"/>
        <item x="67"/>
        <item x="498"/>
        <item x="532"/>
        <item x="32"/>
        <item x="383"/>
        <item x="306"/>
        <item x="273"/>
        <item x="279"/>
        <item x="132"/>
        <item x="341"/>
        <item x="209"/>
        <item x="320"/>
        <item x="419"/>
        <item x="485"/>
        <item x="366"/>
        <item x="447"/>
        <item x="427"/>
        <item x="451"/>
        <item x="220"/>
        <item x="280"/>
        <item x="342"/>
        <item x="19"/>
        <item x="50"/>
        <item x="390"/>
        <item x="119"/>
        <item x="289"/>
        <item x="251"/>
        <item x="403"/>
        <item x="497"/>
        <item x="528"/>
        <item x="432"/>
        <item x="181"/>
        <item x="462"/>
        <item x="89"/>
        <item x="335"/>
        <item x="260"/>
        <item x="295"/>
        <item x="404"/>
        <item x="482"/>
        <item x="39"/>
        <item x="228"/>
        <item x="46"/>
        <item x="347"/>
        <item x="344"/>
        <item x="148"/>
        <item x="64"/>
        <item x="38"/>
        <item x="171"/>
        <item x="98"/>
        <item x="439"/>
        <item x="56"/>
        <item x="526"/>
        <item x="7"/>
        <item x="194"/>
        <item x="22"/>
        <item x="242"/>
        <item x="164"/>
        <item x="52"/>
        <item x="138"/>
        <item x="42"/>
        <item x="82"/>
        <item x="170"/>
        <item x="149"/>
        <item x="196"/>
        <item x="291"/>
        <item x="129"/>
        <item x="263"/>
        <item x="334"/>
        <item x="136"/>
        <item x="288"/>
        <item x="224"/>
        <item x="467"/>
        <item x="278"/>
        <item x="367"/>
        <item x="43"/>
        <item x="226"/>
        <item x="271"/>
        <item x="20"/>
        <item x="142"/>
        <item x="108"/>
        <item x="211"/>
        <item x="125"/>
        <item x="141"/>
        <item x="3"/>
        <item x="317"/>
        <item x="184"/>
        <item x="99"/>
        <item x="25"/>
        <item x="501"/>
        <item x="58"/>
        <item x="483"/>
        <item x="55"/>
        <item x="100"/>
        <item x="384"/>
        <item x="437"/>
        <item x="275"/>
        <item x="8"/>
        <item x="322"/>
        <item x="308"/>
        <item x="346"/>
        <item x="323"/>
        <item x="282"/>
        <item x="107"/>
        <item x="301"/>
        <item x="240"/>
        <item x="401"/>
        <item x="206"/>
        <item x="159"/>
        <item x="201"/>
        <item x="411"/>
        <item x="66"/>
        <item x="465"/>
        <item x="111"/>
        <item x="504"/>
        <item x="332"/>
        <item x="264"/>
        <item x="459"/>
        <item x="456"/>
        <item x="215"/>
        <item x="270"/>
        <item x="396"/>
        <item x="150"/>
        <item x="29"/>
        <item x="124"/>
        <item x="433"/>
        <item x="128"/>
        <item x="324"/>
        <item x="438"/>
        <item x="155"/>
        <item x="400"/>
        <item x="221"/>
        <item x="364"/>
        <item x="248"/>
        <item x="96"/>
        <item x="30"/>
        <item x="135"/>
        <item x="139"/>
        <item x="363"/>
        <item x="352"/>
        <item x="229"/>
        <item x="71"/>
        <item x="267"/>
        <item x="16"/>
        <item x="412"/>
        <item x="185"/>
        <item x="369"/>
        <item x="104"/>
        <item x="460"/>
        <item x="174"/>
        <item x="287"/>
        <item x="88"/>
        <item x="470"/>
        <item x="78"/>
        <item x="487"/>
        <item x="213"/>
        <item x="245"/>
        <item x="442"/>
        <item x="376"/>
        <item x="298"/>
        <item x="511"/>
        <item x="60"/>
        <item x="13"/>
        <item x="304"/>
        <item x="514"/>
        <item x="325"/>
        <item x="441"/>
        <item x="227"/>
        <item x="286"/>
        <item x="161"/>
        <item x="415"/>
        <item x="45"/>
        <item x="524"/>
        <item x="318"/>
        <item x="80"/>
        <item x="183"/>
        <item x="388"/>
        <item x="250"/>
        <item x="1"/>
        <item x="391"/>
        <item x="15"/>
        <item x="36"/>
        <item x="274"/>
        <item x="375"/>
        <item x="453"/>
        <item x="262"/>
        <item x="266"/>
        <item x="461"/>
        <item x="54"/>
        <item x="190"/>
        <item x="536"/>
        <item x="516"/>
        <item x="92"/>
        <item x="188"/>
        <item x="445"/>
        <item x="299"/>
        <item x="466"/>
        <item x="101"/>
        <item x="246"/>
        <item x="40"/>
        <item x="189"/>
        <item x="61"/>
        <item x="33"/>
        <item x="512"/>
        <item x="51"/>
        <item x="261"/>
        <item x="513"/>
        <item x="428"/>
        <item x="68"/>
        <item x="207"/>
        <item x="93"/>
        <item x="283"/>
        <item x="290"/>
        <item x="448"/>
        <item x="380"/>
        <item x="35"/>
        <item x="354"/>
        <item x="197"/>
        <item x="225"/>
        <item x="373"/>
        <item x="406"/>
        <item x="115"/>
        <item x="440"/>
        <item x="506"/>
        <item x="302"/>
        <item x="350"/>
        <item x="333"/>
        <item x="131"/>
        <item x="402"/>
        <item x="303"/>
        <item x="147"/>
        <item x="297"/>
        <item x="62"/>
        <item x="331"/>
        <item x="23"/>
        <item x="294"/>
        <item x="319"/>
        <item x="502"/>
        <item x="480"/>
        <item x="457"/>
        <item x="293"/>
        <item x="173"/>
        <item x="337"/>
        <item x="316"/>
        <item x="176"/>
        <item x="472"/>
        <item x="12"/>
        <item x="18"/>
        <item x="49"/>
        <item x="425"/>
        <item x="418"/>
        <item x="357"/>
        <item x="312"/>
        <item x="87"/>
        <item x="219"/>
        <item x="133"/>
        <item x="520"/>
        <item x="94"/>
        <item x="252"/>
        <item x="443"/>
        <item x="126"/>
        <item x="300"/>
        <item x="178"/>
        <item x="284"/>
        <item x="118"/>
        <item x="259"/>
        <item x="276"/>
        <item x="492"/>
        <item x="339"/>
        <item x="413"/>
        <item x="74"/>
        <item x="505"/>
        <item x="292"/>
        <item x="69"/>
        <item x="253"/>
        <item x="14"/>
        <item x="244"/>
        <item x="500"/>
        <item x="481"/>
        <item x="531"/>
        <item x="144"/>
        <item x="533"/>
        <item x="239"/>
        <item x="281"/>
        <item x="471"/>
        <item x="328"/>
        <item x="343"/>
        <item x="162"/>
        <item x="431"/>
        <item x="172"/>
        <item x="198"/>
        <item x="186"/>
        <item x="450"/>
        <item x="123"/>
        <item x="238"/>
        <item x="311"/>
        <item x="109"/>
        <item x="203"/>
        <item t="default"/>
      </items>
    </pivotField>
    <pivotField showAll="0"/>
    <pivotField showAll="0">
      <items count="2">
        <item x="0"/>
        <item t="default"/>
      </items>
    </pivotField>
    <pivotField showAll="0"/>
    <pivotField showAll="0"/>
    <pivotField showAll="0">
      <items count="5">
        <item x="0"/>
        <item x="3"/>
        <item x="2"/>
        <item x="1"/>
        <item t="default"/>
      </items>
    </pivotField>
    <pivotField axis="axisRow" showAll="0" measureFilter="1" sortType="descending">
      <items count="29">
        <item x="23"/>
        <item x="4"/>
        <item x="1"/>
        <item x="7"/>
        <item x="14"/>
        <item x="22"/>
        <item x="0"/>
        <item x="19"/>
        <item x="18"/>
        <item x="12"/>
        <item x="9"/>
        <item x="15"/>
        <item x="3"/>
        <item x="11"/>
        <item x="27"/>
        <item x="5"/>
        <item x="17"/>
        <item x="10"/>
        <item x="8"/>
        <item x="24"/>
        <item x="25"/>
        <item x="20"/>
        <item x="2"/>
        <item x="16"/>
        <item x="21"/>
        <item x="26"/>
        <item x="6"/>
        <item x="13"/>
        <item t="default"/>
      </items>
      <autoSortScope>
        <pivotArea dataOnly="0" outline="0" fieldPosition="0">
          <references count="1">
            <reference field="4294967294" count="1" selected="0">
              <x v="0"/>
            </reference>
          </references>
        </pivotArea>
      </autoSortScope>
    </pivotField>
    <pivotField showAll="0">
      <items count="7">
        <item x="4"/>
        <item x="1"/>
        <item x="3"/>
        <item x="2"/>
        <item x="5"/>
        <item x="0"/>
        <item t="default"/>
      </items>
    </pivotField>
    <pivotField showAll="0">
      <items count="13">
        <item x="11"/>
        <item x="5"/>
        <item x="2"/>
        <item x="10"/>
        <item x="3"/>
        <item x="1"/>
        <item x="9"/>
        <item x="8"/>
        <item x="0"/>
        <item x="7"/>
        <item x="4"/>
        <item x="6"/>
        <item t="default"/>
      </items>
    </pivotField>
    <pivotField showAll="0"/>
    <pivotField showAll="0"/>
    <pivotField dataField="1" showAll="0"/>
    <pivotField showAll="0"/>
    <pivotField showAll="0"/>
    <pivotField showAll="0">
      <items count="5">
        <item x="3"/>
        <item x="1"/>
        <item x="2"/>
        <item x="0"/>
        <item t="default"/>
      </items>
    </pivotField>
    <pivotField showAll="0">
      <items count="4">
        <item x="1"/>
        <item x="2"/>
        <item x="0"/>
        <item t="default"/>
      </items>
    </pivotField>
    <pivotField showAll="0"/>
    <pivotField showAll="0"/>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10"/>
  </rowFields>
  <rowItems count="7">
    <i>
      <x v="6"/>
    </i>
    <i>
      <x v="22"/>
    </i>
    <i>
      <x v="25"/>
    </i>
    <i>
      <x v="21"/>
    </i>
    <i>
      <x v="9"/>
    </i>
    <i>
      <x v="23"/>
    </i>
    <i t="grand">
      <x/>
    </i>
  </rowItems>
  <colItems count="1">
    <i/>
  </colItems>
  <dataFields count="1">
    <dataField name="Sum of Total Sales" fld="15" baseField="0" baseItem="0"/>
  </dataFields>
  <chartFormats count="2">
    <chartFormat chart="4"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F905FA-2570-443F-889B-7A742B37032F}" name="kpi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0:B133" firstHeaderRow="1" firstDataRow="1" firstDataCol="1"/>
  <pivotFields count="26">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items count="3">
        <item x="0"/>
        <item x="1"/>
        <item t="default"/>
      </items>
    </pivotField>
    <pivotField numFmtId="14" showAll="0">
      <items count="432">
        <item x="20"/>
        <item x="404"/>
        <item x="365"/>
        <item x="73"/>
        <item x="394"/>
        <item x="363"/>
        <item x="126"/>
        <item x="425"/>
        <item x="211"/>
        <item x="273"/>
        <item x="121"/>
        <item x="376"/>
        <item x="380"/>
        <item x="5"/>
        <item x="347"/>
        <item x="53"/>
        <item x="274"/>
        <item x="356"/>
        <item x="23"/>
        <item x="315"/>
        <item x="91"/>
        <item x="389"/>
        <item x="323"/>
        <item x="420"/>
        <item x="62"/>
        <item x="416"/>
        <item x="330"/>
        <item x="157"/>
        <item x="409"/>
        <item x="79"/>
        <item x="51"/>
        <item x="33"/>
        <item x="107"/>
        <item x="27"/>
        <item x="248"/>
        <item x="405"/>
        <item x="284"/>
        <item x="177"/>
        <item x="29"/>
        <item x="26"/>
        <item x="147"/>
        <item x="225"/>
        <item x="408"/>
        <item x="173"/>
        <item x="15"/>
        <item x="303"/>
        <item x="118"/>
        <item x="114"/>
        <item x="233"/>
        <item x="339"/>
        <item x="22"/>
        <item x="256"/>
        <item x="414"/>
        <item x="11"/>
        <item x="407"/>
        <item x="422"/>
        <item x="368"/>
        <item x="137"/>
        <item x="28"/>
        <item x="166"/>
        <item x="232"/>
        <item x="218"/>
        <item x="171"/>
        <item x="162"/>
        <item x="261"/>
        <item x="49"/>
        <item x="395"/>
        <item x="103"/>
        <item x="282"/>
        <item x="174"/>
        <item x="366"/>
        <item x="217"/>
        <item x="86"/>
        <item x="335"/>
        <item x="35"/>
        <item x="6"/>
        <item x="427"/>
        <item x="202"/>
        <item x="47"/>
        <item x="200"/>
        <item x="428"/>
        <item x="21"/>
        <item x="357"/>
        <item x="342"/>
        <item x="272"/>
        <item x="170"/>
        <item x="189"/>
        <item x="75"/>
        <item x="9"/>
        <item x="40"/>
        <item x="163"/>
        <item x="369"/>
        <item x="196"/>
        <item x="78"/>
        <item x="371"/>
        <item x="243"/>
        <item x="71"/>
        <item x="4"/>
        <item x="352"/>
        <item x="344"/>
        <item x="281"/>
        <item x="185"/>
        <item x="224"/>
        <item x="104"/>
        <item x="139"/>
        <item x="180"/>
        <item x="354"/>
        <item x="159"/>
        <item x="146"/>
        <item x="31"/>
        <item x="66"/>
        <item x="210"/>
        <item x="50"/>
        <item x="241"/>
        <item x="249"/>
        <item x="70"/>
        <item x="286"/>
        <item x="295"/>
        <item x="209"/>
        <item x="269"/>
        <item x="77"/>
        <item x="18"/>
        <item x="299"/>
        <item x="110"/>
        <item x="115"/>
        <item x="374"/>
        <item x="76"/>
        <item x="52"/>
        <item x="144"/>
        <item x="100"/>
        <item x="226"/>
        <item x="14"/>
        <item x="123"/>
        <item x="235"/>
        <item x="3"/>
        <item x="316"/>
        <item x="239"/>
        <item x="348"/>
        <item x="181"/>
        <item x="195"/>
        <item x="41"/>
        <item x="108"/>
        <item x="203"/>
        <item x="278"/>
        <item x="358"/>
        <item x="255"/>
        <item x="113"/>
        <item x="149"/>
        <item x="38"/>
        <item x="362"/>
        <item x="267"/>
        <item x="253"/>
        <item x="199"/>
        <item x="251"/>
        <item x="168"/>
        <item x="229"/>
        <item x="319"/>
        <item x="300"/>
        <item x="167"/>
        <item x="187"/>
        <item x="37"/>
        <item x="412"/>
        <item x="57"/>
        <item x="296"/>
        <item x="45"/>
        <item x="245"/>
        <item x="383"/>
        <item x="336"/>
        <item x="388"/>
        <item x="246"/>
        <item x="135"/>
        <item x="212"/>
        <item x="304"/>
        <item x="349"/>
        <item x="88"/>
        <item x="326"/>
        <item x="275"/>
        <item x="265"/>
        <item x="39"/>
        <item x="250"/>
        <item x="396"/>
        <item x="324"/>
        <item x="219"/>
        <item x="197"/>
        <item x="418"/>
        <item x="7"/>
        <item x="133"/>
        <item x="106"/>
        <item x="119"/>
        <item x="285"/>
        <item x="393"/>
        <item x="223"/>
        <item x="58"/>
        <item x="399"/>
        <item x="237"/>
        <item x="68"/>
        <item x="325"/>
        <item x="89"/>
        <item x="266"/>
        <item x="305"/>
        <item x="208"/>
        <item x="301"/>
        <item x="415"/>
        <item x="215"/>
        <item x="424"/>
        <item x="280"/>
        <item x="63"/>
        <item x="109"/>
        <item x="268"/>
        <item x="102"/>
        <item x="116"/>
        <item x="384"/>
        <item x="188"/>
        <item x="145"/>
        <item x="370"/>
        <item x="56"/>
        <item x="184"/>
        <item x="191"/>
        <item x="263"/>
        <item x="430"/>
        <item x="1"/>
        <item x="213"/>
        <item x="373"/>
        <item x="307"/>
        <item x="2"/>
        <item x="30"/>
        <item x="151"/>
        <item x="0"/>
        <item x="80"/>
        <item x="381"/>
        <item x="105"/>
        <item x="387"/>
        <item x="46"/>
        <item x="125"/>
        <item x="97"/>
        <item x="93"/>
        <item x="290"/>
        <item x="346"/>
        <item x="25"/>
        <item x="240"/>
        <item x="312"/>
        <item x="401"/>
        <item x="360"/>
        <item x="160"/>
        <item x="359"/>
        <item x="321"/>
        <item x="222"/>
        <item x="164"/>
        <item x="19"/>
        <item x="92"/>
        <item x="169"/>
        <item x="337"/>
        <item x="101"/>
        <item x="201"/>
        <item x="392"/>
        <item x="372"/>
        <item x="379"/>
        <item x="98"/>
        <item x="385"/>
        <item x="311"/>
        <item x="364"/>
        <item x="216"/>
        <item x="234"/>
        <item x="130"/>
        <item x="238"/>
        <item x="403"/>
        <item x="318"/>
        <item x="302"/>
        <item x="390"/>
        <item x="131"/>
        <item x="129"/>
        <item x="55"/>
        <item x="134"/>
        <item x="54"/>
        <item x="142"/>
        <item x="333"/>
        <item x="252"/>
        <item x="230"/>
        <item x="161"/>
        <item x="111"/>
        <item x="83"/>
        <item x="190"/>
        <item x="382"/>
        <item x="375"/>
        <item x="205"/>
        <item x="192"/>
        <item x="429"/>
        <item x="411"/>
        <item x="81"/>
        <item x="13"/>
        <item x="156"/>
        <item x="271"/>
        <item x="128"/>
        <item x="155"/>
        <item x="292"/>
        <item x="74"/>
        <item x="34"/>
        <item x="244"/>
        <item x="90"/>
        <item x="179"/>
        <item x="141"/>
        <item x="221"/>
        <item x="306"/>
        <item x="186"/>
        <item x="87"/>
        <item x="397"/>
        <item x="132"/>
        <item x="67"/>
        <item x="378"/>
        <item x="228"/>
        <item x="153"/>
        <item x="154"/>
        <item x="419"/>
        <item x="85"/>
        <item x="343"/>
        <item x="328"/>
        <item x="95"/>
        <item x="60"/>
        <item x="260"/>
        <item x="288"/>
        <item x="322"/>
        <item x="127"/>
        <item x="410"/>
        <item x="247"/>
        <item x="236"/>
        <item x="206"/>
        <item x="158"/>
        <item x="353"/>
        <item x="194"/>
        <item x="287"/>
        <item x="291"/>
        <item x="377"/>
        <item x="417"/>
        <item x="165"/>
        <item x="350"/>
        <item x="367"/>
        <item x="242"/>
        <item x="361"/>
        <item x="332"/>
        <item x="276"/>
        <item x="227"/>
        <item x="329"/>
        <item x="176"/>
        <item x="59"/>
        <item x="64"/>
        <item x="421"/>
        <item x="294"/>
        <item x="172"/>
        <item x="258"/>
        <item x="426"/>
        <item x="345"/>
        <item x="264"/>
        <item x="402"/>
        <item x="340"/>
        <item x="17"/>
        <item x="32"/>
        <item x="338"/>
        <item x="120"/>
        <item x="94"/>
        <item x="391"/>
        <item x="204"/>
        <item x="293"/>
        <item x="152"/>
        <item x="8"/>
        <item x="183"/>
        <item x="65"/>
        <item x="327"/>
        <item x="341"/>
        <item x="277"/>
        <item x="138"/>
        <item x="214"/>
        <item x="193"/>
        <item x="175"/>
        <item x="331"/>
        <item x="334"/>
        <item x="413"/>
        <item x="231"/>
        <item x="124"/>
        <item x="297"/>
        <item x="117"/>
        <item x="310"/>
        <item x="48"/>
        <item x="140"/>
        <item x="72"/>
        <item x="262"/>
        <item x="43"/>
        <item x="220"/>
        <item x="320"/>
        <item x="309"/>
        <item x="182"/>
        <item x="148"/>
        <item x="400"/>
        <item x="386"/>
        <item x="198"/>
        <item x="69"/>
        <item x="10"/>
        <item x="298"/>
        <item x="42"/>
        <item x="16"/>
        <item x="84"/>
        <item x="143"/>
        <item x="317"/>
        <item x="257"/>
        <item x="178"/>
        <item x="289"/>
        <item x="355"/>
        <item x="207"/>
        <item x="313"/>
        <item x="99"/>
        <item x="24"/>
        <item x="423"/>
        <item x="136"/>
        <item x="254"/>
        <item x="406"/>
        <item x="279"/>
        <item x="36"/>
        <item x="82"/>
        <item x="308"/>
        <item x="314"/>
        <item x="96"/>
        <item x="44"/>
        <item x="12"/>
        <item x="351"/>
        <item x="122"/>
        <item x="150"/>
        <item x="112"/>
        <item x="283"/>
        <item x="259"/>
        <item x="61"/>
        <item x="398"/>
        <item x="270"/>
        <item t="default"/>
      </items>
    </pivotField>
    <pivotField showAll="0"/>
    <pivotField showAll="0">
      <items count="538">
        <item x="152"/>
        <item x="83"/>
        <item x="121"/>
        <item x="399"/>
        <item x="315"/>
        <item x="379"/>
        <item x="9"/>
        <item x="272"/>
        <item x="116"/>
        <item x="430"/>
        <item x="120"/>
        <item x="10"/>
        <item x="389"/>
        <item x="329"/>
        <item x="86"/>
        <item x="233"/>
        <item x="77"/>
        <item x="525"/>
        <item x="205"/>
        <item x="522"/>
        <item x="191"/>
        <item x="110"/>
        <item x="53"/>
        <item x="44"/>
        <item x="157"/>
        <item x="177"/>
        <item x="168"/>
        <item x="385"/>
        <item x="468"/>
        <item x="307"/>
        <item x="5"/>
        <item x="6"/>
        <item x="517"/>
        <item x="48"/>
        <item x="371"/>
        <item x="268"/>
        <item x="530"/>
        <item x="269"/>
        <item x="182"/>
        <item x="212"/>
        <item x="372"/>
        <item x="143"/>
        <item x="230"/>
        <item x="345"/>
        <item x="310"/>
        <item x="84"/>
        <item x="486"/>
        <item x="130"/>
        <item x="377"/>
        <item x="478"/>
        <item x="134"/>
        <item x="477"/>
        <item x="370"/>
        <item x="360"/>
        <item x="218"/>
        <item x="258"/>
        <item x="435"/>
        <item x="117"/>
        <item x="217"/>
        <item x="496"/>
        <item x="417"/>
        <item x="444"/>
        <item x="236"/>
        <item x="508"/>
        <item x="34"/>
        <item x="454"/>
        <item x="356"/>
        <item x="192"/>
        <item x="63"/>
        <item x="154"/>
        <item x="202"/>
        <item x="313"/>
        <item x="234"/>
        <item x="314"/>
        <item x="407"/>
        <item x="491"/>
        <item x="257"/>
        <item x="81"/>
        <item x="426"/>
        <item x="469"/>
        <item x="349"/>
        <item x="452"/>
        <item x="296"/>
        <item x="488"/>
        <item x="463"/>
        <item x="95"/>
        <item x="386"/>
        <item x="59"/>
        <item x="503"/>
        <item x="330"/>
        <item x="160"/>
        <item x="199"/>
        <item x="429"/>
        <item x="327"/>
        <item x="31"/>
        <item x="41"/>
        <item x="85"/>
        <item x="103"/>
        <item x="507"/>
        <item x="2"/>
        <item x="353"/>
        <item x="137"/>
        <item x="420"/>
        <item x="216"/>
        <item x="394"/>
        <item x="368"/>
        <item x="510"/>
        <item x="255"/>
        <item x="169"/>
        <item x="476"/>
        <item x="4"/>
        <item x="106"/>
        <item x="424"/>
        <item x="166"/>
        <item x="397"/>
        <item x="499"/>
        <item x="165"/>
        <item x="175"/>
        <item x="237"/>
        <item x="127"/>
        <item x="114"/>
        <item x="509"/>
        <item x="473"/>
        <item x="410"/>
        <item x="222"/>
        <item x="28"/>
        <item x="105"/>
        <item x="362"/>
        <item x="527"/>
        <item x="195"/>
        <item x="518"/>
        <item x="474"/>
        <item x="214"/>
        <item x="187"/>
        <item x="235"/>
        <item x="534"/>
        <item x="351"/>
        <item x="112"/>
        <item x="26"/>
        <item x="0"/>
        <item x="535"/>
        <item x="479"/>
        <item x="434"/>
        <item x="256"/>
        <item x="408"/>
        <item x="378"/>
        <item x="449"/>
        <item x="102"/>
        <item x="24"/>
        <item x="208"/>
        <item x="405"/>
        <item x="361"/>
        <item x="515"/>
        <item x="382"/>
        <item x="409"/>
        <item x="97"/>
        <item x="495"/>
        <item x="519"/>
        <item x="151"/>
        <item x="65"/>
        <item x="523"/>
        <item x="493"/>
        <item x="153"/>
        <item x="387"/>
        <item x="359"/>
        <item x="247"/>
        <item x="249"/>
        <item x="70"/>
        <item x="365"/>
        <item x="455"/>
        <item x="243"/>
        <item x="309"/>
        <item x="446"/>
        <item x="193"/>
        <item x="395"/>
        <item x="305"/>
        <item x="156"/>
        <item x="392"/>
        <item x="122"/>
        <item x="458"/>
        <item x="358"/>
        <item x="75"/>
        <item x="338"/>
        <item x="277"/>
        <item x="414"/>
        <item x="393"/>
        <item x="326"/>
        <item x="27"/>
        <item x="158"/>
        <item x="231"/>
        <item x="423"/>
        <item x="210"/>
        <item x="336"/>
        <item x="421"/>
        <item x="73"/>
        <item x="11"/>
        <item x="146"/>
        <item x="475"/>
        <item x="204"/>
        <item x="529"/>
        <item x="494"/>
        <item x="113"/>
        <item x="91"/>
        <item x="355"/>
        <item x="180"/>
        <item x="163"/>
        <item x="374"/>
        <item x="223"/>
        <item x="321"/>
        <item x="464"/>
        <item x="57"/>
        <item x="416"/>
        <item x="254"/>
        <item x="381"/>
        <item x="232"/>
        <item x="37"/>
        <item x="489"/>
        <item x="140"/>
        <item x="490"/>
        <item x="17"/>
        <item x="340"/>
        <item x="436"/>
        <item x="398"/>
        <item x="145"/>
        <item x="179"/>
        <item x="47"/>
        <item x="21"/>
        <item x="521"/>
        <item x="76"/>
        <item x="422"/>
        <item x="265"/>
        <item x="167"/>
        <item x="79"/>
        <item x="72"/>
        <item x="285"/>
        <item x="484"/>
        <item x="241"/>
        <item x="200"/>
        <item x="90"/>
        <item x="348"/>
        <item x="67"/>
        <item x="498"/>
        <item x="532"/>
        <item x="32"/>
        <item x="383"/>
        <item x="306"/>
        <item x="273"/>
        <item x="279"/>
        <item x="132"/>
        <item x="341"/>
        <item x="209"/>
        <item x="320"/>
        <item x="419"/>
        <item x="485"/>
        <item x="366"/>
        <item x="447"/>
        <item x="427"/>
        <item x="451"/>
        <item x="220"/>
        <item x="280"/>
        <item x="342"/>
        <item x="19"/>
        <item x="50"/>
        <item x="390"/>
        <item x="119"/>
        <item x="289"/>
        <item x="251"/>
        <item x="403"/>
        <item x="497"/>
        <item x="528"/>
        <item x="432"/>
        <item x="181"/>
        <item x="462"/>
        <item x="89"/>
        <item x="335"/>
        <item x="260"/>
        <item x="295"/>
        <item x="404"/>
        <item x="482"/>
        <item x="39"/>
        <item x="228"/>
        <item x="46"/>
        <item x="347"/>
        <item x="344"/>
        <item x="148"/>
        <item x="64"/>
        <item x="38"/>
        <item x="171"/>
        <item x="98"/>
        <item x="439"/>
        <item x="56"/>
        <item x="526"/>
        <item x="7"/>
        <item x="194"/>
        <item x="22"/>
        <item x="242"/>
        <item x="164"/>
        <item x="52"/>
        <item x="138"/>
        <item x="42"/>
        <item x="82"/>
        <item x="170"/>
        <item x="149"/>
        <item x="196"/>
        <item x="291"/>
        <item x="129"/>
        <item x="263"/>
        <item x="334"/>
        <item x="136"/>
        <item x="288"/>
        <item x="224"/>
        <item x="467"/>
        <item x="278"/>
        <item x="367"/>
        <item x="43"/>
        <item x="226"/>
        <item x="271"/>
        <item x="20"/>
        <item x="142"/>
        <item x="108"/>
        <item x="211"/>
        <item x="125"/>
        <item x="141"/>
        <item x="3"/>
        <item x="317"/>
        <item x="184"/>
        <item x="99"/>
        <item x="25"/>
        <item x="501"/>
        <item x="58"/>
        <item x="483"/>
        <item x="55"/>
        <item x="100"/>
        <item x="384"/>
        <item x="437"/>
        <item x="275"/>
        <item x="8"/>
        <item x="322"/>
        <item x="308"/>
        <item x="346"/>
        <item x="323"/>
        <item x="282"/>
        <item x="107"/>
        <item x="301"/>
        <item x="240"/>
        <item x="401"/>
        <item x="206"/>
        <item x="159"/>
        <item x="201"/>
        <item x="411"/>
        <item x="66"/>
        <item x="465"/>
        <item x="111"/>
        <item x="504"/>
        <item x="332"/>
        <item x="264"/>
        <item x="459"/>
        <item x="456"/>
        <item x="215"/>
        <item x="270"/>
        <item x="396"/>
        <item x="150"/>
        <item x="29"/>
        <item x="124"/>
        <item x="433"/>
        <item x="128"/>
        <item x="324"/>
        <item x="438"/>
        <item x="155"/>
        <item x="400"/>
        <item x="221"/>
        <item x="364"/>
        <item x="248"/>
        <item x="96"/>
        <item x="30"/>
        <item x="135"/>
        <item x="139"/>
        <item x="363"/>
        <item x="352"/>
        <item x="229"/>
        <item x="71"/>
        <item x="267"/>
        <item x="16"/>
        <item x="412"/>
        <item x="185"/>
        <item x="369"/>
        <item x="104"/>
        <item x="460"/>
        <item x="174"/>
        <item x="287"/>
        <item x="88"/>
        <item x="470"/>
        <item x="78"/>
        <item x="487"/>
        <item x="213"/>
        <item x="245"/>
        <item x="442"/>
        <item x="376"/>
        <item x="298"/>
        <item x="511"/>
        <item x="60"/>
        <item x="13"/>
        <item x="304"/>
        <item x="514"/>
        <item x="325"/>
        <item x="441"/>
        <item x="227"/>
        <item x="286"/>
        <item x="161"/>
        <item x="415"/>
        <item x="45"/>
        <item x="524"/>
        <item x="318"/>
        <item x="80"/>
        <item x="183"/>
        <item x="388"/>
        <item x="250"/>
        <item x="1"/>
        <item x="391"/>
        <item x="15"/>
        <item x="36"/>
        <item x="274"/>
        <item x="375"/>
        <item x="453"/>
        <item x="262"/>
        <item x="266"/>
        <item x="461"/>
        <item x="54"/>
        <item x="190"/>
        <item x="536"/>
        <item x="516"/>
        <item x="92"/>
        <item x="188"/>
        <item x="445"/>
        <item x="299"/>
        <item x="466"/>
        <item x="101"/>
        <item x="246"/>
        <item x="40"/>
        <item x="189"/>
        <item x="61"/>
        <item x="33"/>
        <item x="512"/>
        <item x="51"/>
        <item x="261"/>
        <item x="513"/>
        <item x="428"/>
        <item x="68"/>
        <item x="207"/>
        <item x="93"/>
        <item x="283"/>
        <item x="290"/>
        <item x="448"/>
        <item x="380"/>
        <item x="35"/>
        <item x="354"/>
        <item x="197"/>
        <item x="225"/>
        <item x="373"/>
        <item x="406"/>
        <item x="115"/>
        <item x="440"/>
        <item x="506"/>
        <item x="302"/>
        <item x="350"/>
        <item x="333"/>
        <item x="131"/>
        <item x="402"/>
        <item x="303"/>
        <item x="147"/>
        <item x="297"/>
        <item x="62"/>
        <item x="331"/>
        <item x="23"/>
        <item x="294"/>
        <item x="319"/>
        <item x="502"/>
        <item x="480"/>
        <item x="457"/>
        <item x="293"/>
        <item x="173"/>
        <item x="337"/>
        <item x="316"/>
        <item x="176"/>
        <item x="472"/>
        <item x="12"/>
        <item x="18"/>
        <item x="49"/>
        <item x="425"/>
        <item x="418"/>
        <item x="357"/>
        <item x="312"/>
        <item x="87"/>
        <item x="219"/>
        <item x="133"/>
        <item x="520"/>
        <item x="94"/>
        <item x="252"/>
        <item x="443"/>
        <item x="126"/>
        <item x="300"/>
        <item x="178"/>
        <item x="284"/>
        <item x="118"/>
        <item x="259"/>
        <item x="276"/>
        <item x="492"/>
        <item x="339"/>
        <item x="413"/>
        <item x="74"/>
        <item x="505"/>
        <item x="292"/>
        <item x="69"/>
        <item x="253"/>
        <item x="14"/>
        <item x="244"/>
        <item x="500"/>
        <item x="481"/>
        <item x="531"/>
        <item x="144"/>
        <item x="533"/>
        <item x="239"/>
        <item x="281"/>
        <item x="471"/>
        <item x="328"/>
        <item x="343"/>
        <item x="162"/>
        <item x="431"/>
        <item x="172"/>
        <item x="198"/>
        <item x="186"/>
        <item x="450"/>
        <item x="123"/>
        <item x="238"/>
        <item x="311"/>
        <item x="109"/>
        <item x="203"/>
        <item t="default"/>
      </items>
    </pivotField>
    <pivotField showAll="0"/>
    <pivotField showAll="0"/>
    <pivotField showAll="0"/>
    <pivotField showAll="0"/>
    <pivotField showAll="0">
      <items count="5">
        <item x="0"/>
        <item x="3"/>
        <item x="2"/>
        <item x="1"/>
        <item t="default"/>
      </items>
    </pivotField>
    <pivotField showAll="0"/>
    <pivotField showAll="0">
      <items count="7">
        <item x="4"/>
        <item x="1"/>
        <item x="3"/>
        <item x="2"/>
        <item x="5"/>
        <item x="0"/>
        <item t="default"/>
      </items>
    </pivotField>
    <pivotField showAll="0">
      <items count="13">
        <item x="11"/>
        <item x="5"/>
        <item x="2"/>
        <item x="10"/>
        <item x="3"/>
        <item x="1"/>
        <item x="9"/>
        <item x="8"/>
        <item x="0"/>
        <item x="7"/>
        <item x="4"/>
        <item x="6"/>
        <item t="default"/>
      </items>
    </pivotField>
    <pivotField showAll="0"/>
    <pivotField showAll="0"/>
    <pivotField showAll="0"/>
    <pivotField showAll="0"/>
    <pivotField showAll="0"/>
    <pivotField showAll="0">
      <items count="5">
        <item x="3"/>
        <item x="1"/>
        <item x="2"/>
        <item x="0"/>
        <item t="default"/>
      </items>
    </pivotField>
    <pivotField showAll="0">
      <items count="4">
        <item x="1"/>
        <item x="2"/>
        <item x="0"/>
        <item t="default"/>
      </items>
    </pivotField>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0"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08B427-A816-47D5-93DE-638FCF755F98}" name="kpi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98:E111" firstHeaderRow="1" firstDataRow="1" firstDataCol="1"/>
  <pivotFields count="26">
    <pivotField showAll="0"/>
    <pivotField showAll="0">
      <items count="3">
        <item x="0"/>
        <item x="1"/>
        <item t="default"/>
      </items>
    </pivotField>
    <pivotField numFmtId="14" showAll="0">
      <items count="432">
        <item x="20"/>
        <item x="404"/>
        <item x="365"/>
        <item x="73"/>
        <item x="394"/>
        <item x="363"/>
        <item x="126"/>
        <item x="425"/>
        <item x="211"/>
        <item x="273"/>
        <item x="121"/>
        <item x="376"/>
        <item x="380"/>
        <item x="5"/>
        <item x="347"/>
        <item x="53"/>
        <item x="274"/>
        <item x="356"/>
        <item x="23"/>
        <item x="315"/>
        <item x="91"/>
        <item x="389"/>
        <item x="323"/>
        <item x="420"/>
        <item x="62"/>
        <item x="416"/>
        <item x="330"/>
        <item x="157"/>
        <item x="409"/>
        <item x="79"/>
        <item x="51"/>
        <item x="33"/>
        <item x="107"/>
        <item x="27"/>
        <item x="248"/>
        <item x="405"/>
        <item x="284"/>
        <item x="177"/>
        <item x="29"/>
        <item x="26"/>
        <item x="147"/>
        <item x="225"/>
        <item x="408"/>
        <item x="173"/>
        <item x="15"/>
        <item x="303"/>
        <item x="118"/>
        <item x="114"/>
        <item x="233"/>
        <item x="339"/>
        <item x="22"/>
        <item x="256"/>
        <item x="414"/>
        <item x="11"/>
        <item x="407"/>
        <item x="422"/>
        <item x="368"/>
        <item x="137"/>
        <item x="28"/>
        <item x="166"/>
        <item x="232"/>
        <item x="218"/>
        <item x="171"/>
        <item x="162"/>
        <item x="261"/>
        <item x="49"/>
        <item x="395"/>
        <item x="103"/>
        <item x="282"/>
        <item x="174"/>
        <item x="366"/>
        <item x="217"/>
        <item x="86"/>
        <item x="335"/>
        <item x="35"/>
        <item x="6"/>
        <item x="427"/>
        <item x="202"/>
        <item x="47"/>
        <item x="200"/>
        <item x="428"/>
        <item x="21"/>
        <item x="357"/>
        <item x="342"/>
        <item x="272"/>
        <item x="170"/>
        <item x="189"/>
        <item x="75"/>
        <item x="9"/>
        <item x="40"/>
        <item x="163"/>
        <item x="369"/>
        <item x="196"/>
        <item x="78"/>
        <item x="371"/>
        <item x="243"/>
        <item x="71"/>
        <item x="4"/>
        <item x="352"/>
        <item x="344"/>
        <item x="281"/>
        <item x="185"/>
        <item x="224"/>
        <item x="104"/>
        <item x="139"/>
        <item x="180"/>
        <item x="354"/>
        <item x="159"/>
        <item x="146"/>
        <item x="31"/>
        <item x="66"/>
        <item x="210"/>
        <item x="50"/>
        <item x="241"/>
        <item x="249"/>
        <item x="70"/>
        <item x="286"/>
        <item x="295"/>
        <item x="209"/>
        <item x="269"/>
        <item x="77"/>
        <item x="18"/>
        <item x="299"/>
        <item x="110"/>
        <item x="115"/>
        <item x="374"/>
        <item x="76"/>
        <item x="52"/>
        <item x="144"/>
        <item x="100"/>
        <item x="226"/>
        <item x="14"/>
        <item x="123"/>
        <item x="235"/>
        <item x="3"/>
        <item x="316"/>
        <item x="239"/>
        <item x="348"/>
        <item x="181"/>
        <item x="195"/>
        <item x="41"/>
        <item x="108"/>
        <item x="203"/>
        <item x="278"/>
        <item x="358"/>
        <item x="255"/>
        <item x="113"/>
        <item x="149"/>
        <item x="38"/>
        <item x="362"/>
        <item x="267"/>
        <item x="253"/>
        <item x="199"/>
        <item x="251"/>
        <item x="168"/>
        <item x="229"/>
        <item x="319"/>
        <item x="300"/>
        <item x="167"/>
        <item x="187"/>
        <item x="37"/>
        <item x="412"/>
        <item x="57"/>
        <item x="296"/>
        <item x="45"/>
        <item x="245"/>
        <item x="383"/>
        <item x="336"/>
        <item x="388"/>
        <item x="246"/>
        <item x="135"/>
        <item x="212"/>
        <item x="304"/>
        <item x="349"/>
        <item x="88"/>
        <item x="326"/>
        <item x="275"/>
        <item x="265"/>
        <item x="39"/>
        <item x="250"/>
        <item x="396"/>
        <item x="324"/>
        <item x="219"/>
        <item x="197"/>
        <item x="418"/>
        <item x="7"/>
        <item x="133"/>
        <item x="106"/>
        <item x="119"/>
        <item x="285"/>
        <item x="393"/>
        <item x="223"/>
        <item x="58"/>
        <item x="399"/>
        <item x="237"/>
        <item x="68"/>
        <item x="325"/>
        <item x="89"/>
        <item x="266"/>
        <item x="305"/>
        <item x="208"/>
        <item x="301"/>
        <item x="415"/>
        <item x="215"/>
        <item x="424"/>
        <item x="280"/>
        <item x="63"/>
        <item x="109"/>
        <item x="268"/>
        <item x="102"/>
        <item x="116"/>
        <item x="384"/>
        <item x="188"/>
        <item x="145"/>
        <item x="370"/>
        <item x="56"/>
        <item x="184"/>
        <item x="191"/>
        <item x="263"/>
        <item x="430"/>
        <item x="1"/>
        <item x="213"/>
        <item x="373"/>
        <item x="307"/>
        <item x="2"/>
        <item x="30"/>
        <item x="151"/>
        <item x="0"/>
        <item x="80"/>
        <item x="381"/>
        <item x="105"/>
        <item x="387"/>
        <item x="46"/>
        <item x="125"/>
        <item x="97"/>
        <item x="93"/>
        <item x="290"/>
        <item x="346"/>
        <item x="25"/>
        <item x="240"/>
        <item x="312"/>
        <item x="401"/>
        <item x="360"/>
        <item x="160"/>
        <item x="359"/>
        <item x="321"/>
        <item x="222"/>
        <item x="164"/>
        <item x="19"/>
        <item x="92"/>
        <item x="169"/>
        <item x="337"/>
        <item x="101"/>
        <item x="201"/>
        <item x="392"/>
        <item x="372"/>
        <item x="379"/>
        <item x="98"/>
        <item x="385"/>
        <item x="311"/>
        <item x="364"/>
        <item x="216"/>
        <item x="234"/>
        <item x="130"/>
        <item x="238"/>
        <item x="403"/>
        <item x="318"/>
        <item x="302"/>
        <item x="390"/>
        <item x="131"/>
        <item x="129"/>
        <item x="55"/>
        <item x="134"/>
        <item x="54"/>
        <item x="142"/>
        <item x="333"/>
        <item x="252"/>
        <item x="230"/>
        <item x="161"/>
        <item x="111"/>
        <item x="83"/>
        <item x="190"/>
        <item x="382"/>
        <item x="375"/>
        <item x="205"/>
        <item x="192"/>
        <item x="429"/>
        <item x="411"/>
        <item x="81"/>
        <item x="13"/>
        <item x="156"/>
        <item x="271"/>
        <item x="128"/>
        <item x="155"/>
        <item x="292"/>
        <item x="74"/>
        <item x="34"/>
        <item x="244"/>
        <item x="90"/>
        <item x="179"/>
        <item x="141"/>
        <item x="221"/>
        <item x="306"/>
        <item x="186"/>
        <item x="87"/>
        <item x="397"/>
        <item x="132"/>
        <item x="67"/>
        <item x="378"/>
        <item x="228"/>
        <item x="153"/>
        <item x="154"/>
        <item x="419"/>
        <item x="85"/>
        <item x="343"/>
        <item x="328"/>
        <item x="95"/>
        <item x="60"/>
        <item x="260"/>
        <item x="288"/>
        <item x="322"/>
        <item x="127"/>
        <item x="410"/>
        <item x="247"/>
        <item x="236"/>
        <item x="206"/>
        <item x="158"/>
        <item x="353"/>
        <item x="194"/>
        <item x="287"/>
        <item x="291"/>
        <item x="377"/>
        <item x="417"/>
        <item x="165"/>
        <item x="350"/>
        <item x="367"/>
        <item x="242"/>
        <item x="361"/>
        <item x="332"/>
        <item x="276"/>
        <item x="227"/>
        <item x="329"/>
        <item x="176"/>
        <item x="59"/>
        <item x="64"/>
        <item x="421"/>
        <item x="294"/>
        <item x="172"/>
        <item x="258"/>
        <item x="426"/>
        <item x="345"/>
        <item x="264"/>
        <item x="402"/>
        <item x="340"/>
        <item x="17"/>
        <item x="32"/>
        <item x="338"/>
        <item x="120"/>
        <item x="94"/>
        <item x="391"/>
        <item x="204"/>
        <item x="293"/>
        <item x="152"/>
        <item x="8"/>
        <item x="183"/>
        <item x="65"/>
        <item x="327"/>
        <item x="341"/>
        <item x="277"/>
        <item x="138"/>
        <item x="214"/>
        <item x="193"/>
        <item x="175"/>
        <item x="331"/>
        <item x="334"/>
        <item x="413"/>
        <item x="231"/>
        <item x="124"/>
        <item x="297"/>
        <item x="117"/>
        <item x="310"/>
        <item x="48"/>
        <item x="140"/>
        <item x="72"/>
        <item x="262"/>
        <item x="43"/>
        <item x="220"/>
        <item x="320"/>
        <item x="309"/>
        <item x="182"/>
        <item x="148"/>
        <item x="400"/>
        <item x="386"/>
        <item x="198"/>
        <item x="69"/>
        <item x="10"/>
        <item x="298"/>
        <item x="42"/>
        <item x="16"/>
        <item x="84"/>
        <item x="143"/>
        <item x="317"/>
        <item x="257"/>
        <item x="178"/>
        <item x="289"/>
        <item x="355"/>
        <item x="207"/>
        <item x="313"/>
        <item x="99"/>
        <item x="24"/>
        <item x="423"/>
        <item x="136"/>
        <item x="254"/>
        <item x="406"/>
        <item x="279"/>
        <item x="36"/>
        <item x="82"/>
        <item x="308"/>
        <item x="314"/>
        <item x="96"/>
        <item x="44"/>
        <item x="12"/>
        <item x="351"/>
        <item x="122"/>
        <item x="150"/>
        <item x="112"/>
        <item x="283"/>
        <item x="259"/>
        <item x="61"/>
        <item x="398"/>
        <item x="270"/>
        <item t="default"/>
      </items>
    </pivotField>
    <pivotField showAll="0"/>
    <pivotField showAll="0">
      <items count="538">
        <item x="152"/>
        <item x="83"/>
        <item x="121"/>
        <item x="399"/>
        <item x="315"/>
        <item x="379"/>
        <item x="9"/>
        <item x="272"/>
        <item x="116"/>
        <item x="430"/>
        <item x="120"/>
        <item x="10"/>
        <item x="389"/>
        <item x="329"/>
        <item x="86"/>
        <item x="233"/>
        <item x="77"/>
        <item x="525"/>
        <item x="205"/>
        <item x="522"/>
        <item x="191"/>
        <item x="110"/>
        <item x="53"/>
        <item x="44"/>
        <item x="157"/>
        <item x="177"/>
        <item x="168"/>
        <item x="385"/>
        <item x="468"/>
        <item x="307"/>
        <item x="5"/>
        <item x="6"/>
        <item x="517"/>
        <item x="48"/>
        <item x="371"/>
        <item x="268"/>
        <item x="530"/>
        <item x="269"/>
        <item x="182"/>
        <item x="212"/>
        <item x="372"/>
        <item x="143"/>
        <item x="230"/>
        <item x="345"/>
        <item x="310"/>
        <item x="84"/>
        <item x="486"/>
        <item x="130"/>
        <item x="377"/>
        <item x="478"/>
        <item x="134"/>
        <item x="477"/>
        <item x="370"/>
        <item x="360"/>
        <item x="218"/>
        <item x="258"/>
        <item x="435"/>
        <item x="117"/>
        <item x="217"/>
        <item x="496"/>
        <item x="417"/>
        <item x="444"/>
        <item x="236"/>
        <item x="508"/>
        <item x="34"/>
        <item x="454"/>
        <item x="356"/>
        <item x="192"/>
        <item x="63"/>
        <item x="154"/>
        <item x="202"/>
        <item x="313"/>
        <item x="234"/>
        <item x="314"/>
        <item x="407"/>
        <item x="491"/>
        <item x="257"/>
        <item x="81"/>
        <item x="426"/>
        <item x="469"/>
        <item x="349"/>
        <item x="452"/>
        <item x="296"/>
        <item x="488"/>
        <item x="463"/>
        <item x="95"/>
        <item x="386"/>
        <item x="59"/>
        <item x="503"/>
        <item x="330"/>
        <item x="160"/>
        <item x="199"/>
        <item x="429"/>
        <item x="327"/>
        <item x="31"/>
        <item x="41"/>
        <item x="85"/>
        <item x="103"/>
        <item x="507"/>
        <item x="2"/>
        <item x="353"/>
        <item x="137"/>
        <item x="420"/>
        <item x="216"/>
        <item x="394"/>
        <item x="368"/>
        <item x="510"/>
        <item x="255"/>
        <item x="169"/>
        <item x="476"/>
        <item x="4"/>
        <item x="106"/>
        <item x="424"/>
        <item x="166"/>
        <item x="397"/>
        <item x="499"/>
        <item x="165"/>
        <item x="175"/>
        <item x="237"/>
        <item x="127"/>
        <item x="114"/>
        <item x="509"/>
        <item x="473"/>
        <item x="410"/>
        <item x="222"/>
        <item x="28"/>
        <item x="105"/>
        <item x="362"/>
        <item x="527"/>
        <item x="195"/>
        <item x="518"/>
        <item x="474"/>
        <item x="214"/>
        <item x="187"/>
        <item x="235"/>
        <item x="534"/>
        <item x="351"/>
        <item x="112"/>
        <item x="26"/>
        <item x="0"/>
        <item x="535"/>
        <item x="479"/>
        <item x="434"/>
        <item x="256"/>
        <item x="408"/>
        <item x="378"/>
        <item x="449"/>
        <item x="102"/>
        <item x="24"/>
        <item x="208"/>
        <item x="405"/>
        <item x="361"/>
        <item x="515"/>
        <item x="382"/>
        <item x="409"/>
        <item x="97"/>
        <item x="495"/>
        <item x="519"/>
        <item x="151"/>
        <item x="65"/>
        <item x="523"/>
        <item x="493"/>
        <item x="153"/>
        <item x="387"/>
        <item x="359"/>
        <item x="247"/>
        <item x="249"/>
        <item x="70"/>
        <item x="365"/>
        <item x="455"/>
        <item x="243"/>
        <item x="309"/>
        <item x="446"/>
        <item x="193"/>
        <item x="395"/>
        <item x="305"/>
        <item x="156"/>
        <item x="392"/>
        <item x="122"/>
        <item x="458"/>
        <item x="358"/>
        <item x="75"/>
        <item x="338"/>
        <item x="277"/>
        <item x="414"/>
        <item x="393"/>
        <item x="326"/>
        <item x="27"/>
        <item x="158"/>
        <item x="231"/>
        <item x="423"/>
        <item x="210"/>
        <item x="336"/>
        <item x="421"/>
        <item x="73"/>
        <item x="11"/>
        <item x="146"/>
        <item x="475"/>
        <item x="204"/>
        <item x="529"/>
        <item x="494"/>
        <item x="113"/>
        <item x="91"/>
        <item x="355"/>
        <item x="180"/>
        <item x="163"/>
        <item x="374"/>
        <item x="223"/>
        <item x="321"/>
        <item x="464"/>
        <item x="57"/>
        <item x="416"/>
        <item x="254"/>
        <item x="381"/>
        <item x="232"/>
        <item x="37"/>
        <item x="489"/>
        <item x="140"/>
        <item x="490"/>
        <item x="17"/>
        <item x="340"/>
        <item x="436"/>
        <item x="398"/>
        <item x="145"/>
        <item x="179"/>
        <item x="47"/>
        <item x="21"/>
        <item x="521"/>
        <item x="76"/>
        <item x="422"/>
        <item x="265"/>
        <item x="167"/>
        <item x="79"/>
        <item x="72"/>
        <item x="285"/>
        <item x="484"/>
        <item x="241"/>
        <item x="200"/>
        <item x="90"/>
        <item x="348"/>
        <item x="67"/>
        <item x="498"/>
        <item x="532"/>
        <item x="32"/>
        <item x="383"/>
        <item x="306"/>
        <item x="273"/>
        <item x="279"/>
        <item x="132"/>
        <item x="341"/>
        <item x="209"/>
        <item x="320"/>
        <item x="419"/>
        <item x="485"/>
        <item x="366"/>
        <item x="447"/>
        <item x="427"/>
        <item x="451"/>
        <item x="220"/>
        <item x="280"/>
        <item x="342"/>
        <item x="19"/>
        <item x="50"/>
        <item x="390"/>
        <item x="119"/>
        <item x="289"/>
        <item x="251"/>
        <item x="403"/>
        <item x="497"/>
        <item x="528"/>
        <item x="432"/>
        <item x="181"/>
        <item x="462"/>
        <item x="89"/>
        <item x="335"/>
        <item x="260"/>
        <item x="295"/>
        <item x="404"/>
        <item x="482"/>
        <item x="39"/>
        <item x="228"/>
        <item x="46"/>
        <item x="347"/>
        <item x="344"/>
        <item x="148"/>
        <item x="64"/>
        <item x="38"/>
        <item x="171"/>
        <item x="98"/>
        <item x="439"/>
        <item x="56"/>
        <item x="526"/>
        <item x="7"/>
        <item x="194"/>
        <item x="22"/>
        <item x="242"/>
        <item x="164"/>
        <item x="52"/>
        <item x="138"/>
        <item x="42"/>
        <item x="82"/>
        <item x="170"/>
        <item x="149"/>
        <item x="196"/>
        <item x="291"/>
        <item x="129"/>
        <item x="263"/>
        <item x="334"/>
        <item x="136"/>
        <item x="288"/>
        <item x="224"/>
        <item x="467"/>
        <item x="278"/>
        <item x="367"/>
        <item x="43"/>
        <item x="226"/>
        <item x="271"/>
        <item x="20"/>
        <item x="142"/>
        <item x="108"/>
        <item x="211"/>
        <item x="125"/>
        <item x="141"/>
        <item x="3"/>
        <item x="317"/>
        <item x="184"/>
        <item x="99"/>
        <item x="25"/>
        <item x="501"/>
        <item x="58"/>
        <item x="483"/>
        <item x="55"/>
        <item x="100"/>
        <item x="384"/>
        <item x="437"/>
        <item x="275"/>
        <item x="8"/>
        <item x="322"/>
        <item x="308"/>
        <item x="346"/>
        <item x="323"/>
        <item x="282"/>
        <item x="107"/>
        <item x="301"/>
        <item x="240"/>
        <item x="401"/>
        <item x="206"/>
        <item x="159"/>
        <item x="201"/>
        <item x="411"/>
        <item x="66"/>
        <item x="465"/>
        <item x="111"/>
        <item x="504"/>
        <item x="332"/>
        <item x="264"/>
        <item x="459"/>
        <item x="456"/>
        <item x="215"/>
        <item x="270"/>
        <item x="396"/>
        <item x="150"/>
        <item x="29"/>
        <item x="124"/>
        <item x="433"/>
        <item x="128"/>
        <item x="324"/>
        <item x="438"/>
        <item x="155"/>
        <item x="400"/>
        <item x="221"/>
        <item x="364"/>
        <item x="248"/>
        <item x="96"/>
        <item x="30"/>
        <item x="135"/>
        <item x="139"/>
        <item x="363"/>
        <item x="352"/>
        <item x="229"/>
        <item x="71"/>
        <item x="267"/>
        <item x="16"/>
        <item x="412"/>
        <item x="185"/>
        <item x="369"/>
        <item x="104"/>
        <item x="460"/>
        <item x="174"/>
        <item x="287"/>
        <item x="88"/>
        <item x="470"/>
        <item x="78"/>
        <item x="487"/>
        <item x="213"/>
        <item x="245"/>
        <item x="442"/>
        <item x="376"/>
        <item x="298"/>
        <item x="511"/>
        <item x="60"/>
        <item x="13"/>
        <item x="304"/>
        <item x="514"/>
        <item x="325"/>
        <item x="441"/>
        <item x="227"/>
        <item x="286"/>
        <item x="161"/>
        <item x="415"/>
        <item x="45"/>
        <item x="524"/>
        <item x="318"/>
        <item x="80"/>
        <item x="183"/>
        <item x="388"/>
        <item x="250"/>
        <item x="1"/>
        <item x="391"/>
        <item x="15"/>
        <item x="36"/>
        <item x="274"/>
        <item x="375"/>
        <item x="453"/>
        <item x="262"/>
        <item x="266"/>
        <item x="461"/>
        <item x="54"/>
        <item x="190"/>
        <item x="536"/>
        <item x="516"/>
        <item x="92"/>
        <item x="188"/>
        <item x="445"/>
        <item x="299"/>
        <item x="466"/>
        <item x="101"/>
        <item x="246"/>
        <item x="40"/>
        <item x="189"/>
        <item x="61"/>
        <item x="33"/>
        <item x="512"/>
        <item x="51"/>
        <item x="261"/>
        <item x="513"/>
        <item x="428"/>
        <item x="68"/>
        <item x="207"/>
        <item x="93"/>
        <item x="283"/>
        <item x="290"/>
        <item x="448"/>
        <item x="380"/>
        <item x="35"/>
        <item x="354"/>
        <item x="197"/>
        <item x="225"/>
        <item x="373"/>
        <item x="406"/>
        <item x="115"/>
        <item x="440"/>
        <item x="506"/>
        <item x="302"/>
        <item x="350"/>
        <item x="333"/>
        <item x="131"/>
        <item x="402"/>
        <item x="303"/>
        <item x="147"/>
        <item x="297"/>
        <item x="62"/>
        <item x="331"/>
        <item x="23"/>
        <item x="294"/>
        <item x="319"/>
        <item x="502"/>
        <item x="480"/>
        <item x="457"/>
        <item x="293"/>
        <item x="173"/>
        <item x="337"/>
        <item x="316"/>
        <item x="176"/>
        <item x="472"/>
        <item x="12"/>
        <item x="18"/>
        <item x="49"/>
        <item x="425"/>
        <item x="418"/>
        <item x="357"/>
        <item x="312"/>
        <item x="87"/>
        <item x="219"/>
        <item x="133"/>
        <item x="520"/>
        <item x="94"/>
        <item x="252"/>
        <item x="443"/>
        <item x="126"/>
        <item x="300"/>
        <item x="178"/>
        <item x="284"/>
        <item x="118"/>
        <item x="259"/>
        <item x="276"/>
        <item x="492"/>
        <item x="339"/>
        <item x="413"/>
        <item x="74"/>
        <item x="505"/>
        <item x="292"/>
        <item x="69"/>
        <item x="253"/>
        <item x="14"/>
        <item x="244"/>
        <item x="500"/>
        <item x="481"/>
        <item x="531"/>
        <item x="144"/>
        <item x="533"/>
        <item x="239"/>
        <item x="281"/>
        <item x="471"/>
        <item x="328"/>
        <item x="343"/>
        <item x="162"/>
        <item x="431"/>
        <item x="172"/>
        <item x="198"/>
        <item x="186"/>
        <item x="450"/>
        <item x="123"/>
        <item x="238"/>
        <item x="311"/>
        <item x="109"/>
        <item x="203"/>
        <item t="default"/>
      </items>
    </pivotField>
    <pivotField showAll="0"/>
    <pivotField showAll="0"/>
    <pivotField showAll="0"/>
    <pivotField showAll="0"/>
    <pivotField showAll="0">
      <items count="5">
        <item x="0"/>
        <item x="3"/>
        <item x="2"/>
        <item x="1"/>
        <item t="default"/>
      </items>
    </pivotField>
    <pivotField showAll="0"/>
    <pivotField showAll="0">
      <items count="7">
        <item x="4"/>
        <item x="1"/>
        <item x="3"/>
        <item x="2"/>
        <item x="5"/>
        <item x="0"/>
        <item t="default"/>
      </items>
    </pivotField>
    <pivotField showAll="0">
      <items count="13">
        <item x="11"/>
        <item x="5"/>
        <item x="2"/>
        <item x="10"/>
        <item x="3"/>
        <item x="1"/>
        <item x="9"/>
        <item x="8"/>
        <item x="0"/>
        <item x="7"/>
        <item x="4"/>
        <item x="6"/>
        <item t="default"/>
      </items>
    </pivotField>
    <pivotField showAll="0"/>
    <pivotField showAll="0"/>
    <pivotField showAll="0"/>
    <pivotField showAll="0"/>
    <pivotField showAll="0"/>
    <pivotField showAll="0">
      <items count="5">
        <item x="3"/>
        <item x="1"/>
        <item x="2"/>
        <item x="0"/>
        <item t="default"/>
      </items>
    </pivotField>
    <pivotField showAll="0">
      <items count="4">
        <item x="1"/>
        <item x="2"/>
        <item x="0"/>
        <item t="default"/>
      </items>
    </pivotField>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CE741A-1A2C-497E-B229-CBF637A83EDF}" name="map 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B71" firstHeaderRow="1" firstDataRow="1" firstDataCol="1"/>
  <pivotFields count="26">
    <pivotField showAll="0"/>
    <pivotField showAll="0">
      <items count="3">
        <item x="0"/>
        <item x="1"/>
        <item t="default"/>
      </items>
    </pivotField>
    <pivotField numFmtId="14" showAll="0">
      <items count="432">
        <item x="20"/>
        <item x="404"/>
        <item x="365"/>
        <item x="73"/>
        <item x="394"/>
        <item x="363"/>
        <item x="126"/>
        <item x="425"/>
        <item x="211"/>
        <item x="273"/>
        <item x="121"/>
        <item x="376"/>
        <item x="380"/>
        <item x="5"/>
        <item x="347"/>
        <item x="53"/>
        <item x="274"/>
        <item x="356"/>
        <item x="23"/>
        <item x="315"/>
        <item x="91"/>
        <item x="389"/>
        <item x="323"/>
        <item x="420"/>
        <item x="62"/>
        <item x="416"/>
        <item x="330"/>
        <item x="157"/>
        <item x="409"/>
        <item x="79"/>
        <item x="51"/>
        <item x="33"/>
        <item x="107"/>
        <item x="27"/>
        <item x="248"/>
        <item x="405"/>
        <item x="284"/>
        <item x="177"/>
        <item x="29"/>
        <item x="26"/>
        <item x="147"/>
        <item x="225"/>
        <item x="408"/>
        <item x="173"/>
        <item x="15"/>
        <item x="303"/>
        <item x="118"/>
        <item x="114"/>
        <item x="233"/>
        <item x="339"/>
        <item x="22"/>
        <item x="256"/>
        <item x="414"/>
        <item x="11"/>
        <item x="407"/>
        <item x="422"/>
        <item x="368"/>
        <item x="137"/>
        <item x="28"/>
        <item x="166"/>
        <item x="232"/>
        <item x="218"/>
        <item x="171"/>
        <item x="162"/>
        <item x="261"/>
        <item x="49"/>
        <item x="395"/>
        <item x="103"/>
        <item x="282"/>
        <item x="174"/>
        <item x="366"/>
        <item x="217"/>
        <item x="86"/>
        <item x="335"/>
        <item x="35"/>
        <item x="6"/>
        <item x="427"/>
        <item x="202"/>
        <item x="47"/>
        <item x="200"/>
        <item x="428"/>
        <item x="21"/>
        <item x="357"/>
        <item x="342"/>
        <item x="272"/>
        <item x="170"/>
        <item x="189"/>
        <item x="75"/>
        <item x="9"/>
        <item x="40"/>
        <item x="163"/>
        <item x="369"/>
        <item x="196"/>
        <item x="78"/>
        <item x="371"/>
        <item x="243"/>
        <item x="71"/>
        <item x="4"/>
        <item x="352"/>
        <item x="344"/>
        <item x="281"/>
        <item x="185"/>
        <item x="224"/>
        <item x="104"/>
        <item x="139"/>
        <item x="180"/>
        <item x="354"/>
        <item x="159"/>
        <item x="146"/>
        <item x="31"/>
        <item x="66"/>
        <item x="210"/>
        <item x="50"/>
        <item x="241"/>
        <item x="249"/>
        <item x="70"/>
        <item x="286"/>
        <item x="295"/>
        <item x="209"/>
        <item x="269"/>
        <item x="77"/>
        <item x="18"/>
        <item x="299"/>
        <item x="110"/>
        <item x="115"/>
        <item x="374"/>
        <item x="76"/>
        <item x="52"/>
        <item x="144"/>
        <item x="100"/>
        <item x="226"/>
        <item x="14"/>
        <item x="123"/>
        <item x="235"/>
        <item x="3"/>
        <item x="316"/>
        <item x="239"/>
        <item x="348"/>
        <item x="181"/>
        <item x="195"/>
        <item x="41"/>
        <item x="108"/>
        <item x="203"/>
        <item x="278"/>
        <item x="358"/>
        <item x="255"/>
        <item x="113"/>
        <item x="149"/>
        <item x="38"/>
        <item x="362"/>
        <item x="267"/>
        <item x="253"/>
        <item x="199"/>
        <item x="251"/>
        <item x="168"/>
        <item x="229"/>
        <item x="319"/>
        <item x="300"/>
        <item x="167"/>
        <item x="187"/>
        <item x="37"/>
        <item x="412"/>
        <item x="57"/>
        <item x="296"/>
        <item x="45"/>
        <item x="245"/>
        <item x="383"/>
        <item x="336"/>
        <item x="388"/>
        <item x="246"/>
        <item x="135"/>
        <item x="212"/>
        <item x="304"/>
        <item x="349"/>
        <item x="88"/>
        <item x="326"/>
        <item x="275"/>
        <item x="265"/>
        <item x="39"/>
        <item x="250"/>
        <item x="396"/>
        <item x="324"/>
        <item x="219"/>
        <item x="197"/>
        <item x="418"/>
        <item x="7"/>
        <item x="133"/>
        <item x="106"/>
        <item x="119"/>
        <item x="285"/>
        <item x="393"/>
        <item x="223"/>
        <item x="58"/>
        <item x="399"/>
        <item x="237"/>
        <item x="68"/>
        <item x="325"/>
        <item x="89"/>
        <item x="266"/>
        <item x="305"/>
        <item x="208"/>
        <item x="301"/>
        <item x="415"/>
        <item x="215"/>
        <item x="424"/>
        <item x="280"/>
        <item x="63"/>
        <item x="109"/>
        <item x="268"/>
        <item x="102"/>
        <item x="116"/>
        <item x="384"/>
        <item x="188"/>
        <item x="145"/>
        <item x="370"/>
        <item x="56"/>
        <item x="184"/>
        <item x="191"/>
        <item x="263"/>
        <item x="430"/>
        <item x="1"/>
        <item x="213"/>
        <item x="373"/>
        <item x="307"/>
        <item x="2"/>
        <item x="30"/>
        <item x="151"/>
        <item x="0"/>
        <item x="80"/>
        <item x="381"/>
        <item x="105"/>
        <item x="387"/>
        <item x="46"/>
        <item x="125"/>
        <item x="97"/>
        <item x="93"/>
        <item x="290"/>
        <item x="346"/>
        <item x="25"/>
        <item x="240"/>
        <item x="312"/>
        <item x="401"/>
        <item x="360"/>
        <item x="160"/>
        <item x="359"/>
        <item x="321"/>
        <item x="222"/>
        <item x="164"/>
        <item x="19"/>
        <item x="92"/>
        <item x="169"/>
        <item x="337"/>
        <item x="101"/>
        <item x="201"/>
        <item x="392"/>
        <item x="372"/>
        <item x="379"/>
        <item x="98"/>
        <item x="385"/>
        <item x="311"/>
        <item x="364"/>
        <item x="216"/>
        <item x="234"/>
        <item x="130"/>
        <item x="238"/>
        <item x="403"/>
        <item x="318"/>
        <item x="302"/>
        <item x="390"/>
        <item x="131"/>
        <item x="129"/>
        <item x="55"/>
        <item x="134"/>
        <item x="54"/>
        <item x="142"/>
        <item x="333"/>
        <item x="252"/>
        <item x="230"/>
        <item x="161"/>
        <item x="111"/>
        <item x="83"/>
        <item x="190"/>
        <item x="382"/>
        <item x="375"/>
        <item x="205"/>
        <item x="192"/>
        <item x="429"/>
        <item x="411"/>
        <item x="81"/>
        <item x="13"/>
        <item x="156"/>
        <item x="271"/>
        <item x="128"/>
        <item x="155"/>
        <item x="292"/>
        <item x="74"/>
        <item x="34"/>
        <item x="244"/>
        <item x="90"/>
        <item x="179"/>
        <item x="141"/>
        <item x="221"/>
        <item x="306"/>
        <item x="186"/>
        <item x="87"/>
        <item x="397"/>
        <item x="132"/>
        <item x="67"/>
        <item x="378"/>
        <item x="228"/>
        <item x="153"/>
        <item x="154"/>
        <item x="419"/>
        <item x="85"/>
        <item x="343"/>
        <item x="328"/>
        <item x="95"/>
        <item x="60"/>
        <item x="260"/>
        <item x="288"/>
        <item x="322"/>
        <item x="127"/>
        <item x="410"/>
        <item x="247"/>
        <item x="236"/>
        <item x="206"/>
        <item x="158"/>
        <item x="353"/>
        <item x="194"/>
        <item x="287"/>
        <item x="291"/>
        <item x="377"/>
        <item x="417"/>
        <item x="165"/>
        <item x="350"/>
        <item x="367"/>
        <item x="242"/>
        <item x="361"/>
        <item x="332"/>
        <item x="276"/>
        <item x="227"/>
        <item x="329"/>
        <item x="176"/>
        <item x="59"/>
        <item x="64"/>
        <item x="421"/>
        <item x="294"/>
        <item x="172"/>
        <item x="258"/>
        <item x="426"/>
        <item x="345"/>
        <item x="264"/>
        <item x="402"/>
        <item x="340"/>
        <item x="17"/>
        <item x="32"/>
        <item x="338"/>
        <item x="120"/>
        <item x="94"/>
        <item x="391"/>
        <item x="204"/>
        <item x="293"/>
        <item x="152"/>
        <item x="8"/>
        <item x="183"/>
        <item x="65"/>
        <item x="327"/>
        <item x="341"/>
        <item x="277"/>
        <item x="138"/>
        <item x="214"/>
        <item x="193"/>
        <item x="175"/>
        <item x="331"/>
        <item x="334"/>
        <item x="413"/>
        <item x="231"/>
        <item x="124"/>
        <item x="297"/>
        <item x="117"/>
        <item x="310"/>
        <item x="48"/>
        <item x="140"/>
        <item x="72"/>
        <item x="262"/>
        <item x="43"/>
        <item x="220"/>
        <item x="320"/>
        <item x="309"/>
        <item x="182"/>
        <item x="148"/>
        <item x="400"/>
        <item x="386"/>
        <item x="198"/>
        <item x="69"/>
        <item x="10"/>
        <item x="298"/>
        <item x="42"/>
        <item x="16"/>
        <item x="84"/>
        <item x="143"/>
        <item x="317"/>
        <item x="257"/>
        <item x="178"/>
        <item x="289"/>
        <item x="355"/>
        <item x="207"/>
        <item x="313"/>
        <item x="99"/>
        <item x="24"/>
        <item x="423"/>
        <item x="136"/>
        <item x="254"/>
        <item x="406"/>
        <item x="279"/>
        <item x="36"/>
        <item x="82"/>
        <item x="308"/>
        <item x="314"/>
        <item x="96"/>
        <item x="44"/>
        <item x="12"/>
        <item x="351"/>
        <item x="122"/>
        <item x="150"/>
        <item x="112"/>
        <item x="283"/>
        <item x="259"/>
        <item x="61"/>
        <item x="398"/>
        <item x="270"/>
        <item t="default"/>
      </items>
    </pivotField>
    <pivotField showAll="0"/>
    <pivotField showAll="0">
      <items count="538">
        <item x="152"/>
        <item x="83"/>
        <item x="121"/>
        <item x="399"/>
        <item x="315"/>
        <item x="379"/>
        <item x="9"/>
        <item x="272"/>
        <item x="116"/>
        <item x="430"/>
        <item x="120"/>
        <item x="10"/>
        <item x="389"/>
        <item x="329"/>
        <item x="86"/>
        <item x="233"/>
        <item x="77"/>
        <item x="525"/>
        <item x="205"/>
        <item x="522"/>
        <item x="191"/>
        <item x="110"/>
        <item x="53"/>
        <item x="44"/>
        <item x="157"/>
        <item x="177"/>
        <item x="168"/>
        <item x="385"/>
        <item x="468"/>
        <item x="307"/>
        <item x="5"/>
        <item x="6"/>
        <item x="517"/>
        <item x="48"/>
        <item x="371"/>
        <item x="268"/>
        <item x="530"/>
        <item x="269"/>
        <item x="182"/>
        <item x="212"/>
        <item x="372"/>
        <item x="143"/>
        <item x="230"/>
        <item x="345"/>
        <item x="310"/>
        <item x="84"/>
        <item x="486"/>
        <item x="130"/>
        <item x="377"/>
        <item x="478"/>
        <item x="134"/>
        <item x="477"/>
        <item x="370"/>
        <item x="360"/>
        <item x="218"/>
        <item x="258"/>
        <item x="435"/>
        <item x="117"/>
        <item x="217"/>
        <item x="496"/>
        <item x="417"/>
        <item x="444"/>
        <item x="236"/>
        <item x="508"/>
        <item x="34"/>
        <item x="454"/>
        <item x="356"/>
        <item x="192"/>
        <item x="63"/>
        <item x="154"/>
        <item x="202"/>
        <item x="313"/>
        <item x="234"/>
        <item x="314"/>
        <item x="407"/>
        <item x="491"/>
        <item x="257"/>
        <item x="81"/>
        <item x="426"/>
        <item x="469"/>
        <item x="349"/>
        <item x="452"/>
        <item x="296"/>
        <item x="488"/>
        <item x="463"/>
        <item x="95"/>
        <item x="386"/>
        <item x="59"/>
        <item x="503"/>
        <item x="330"/>
        <item x="160"/>
        <item x="199"/>
        <item x="429"/>
        <item x="327"/>
        <item x="31"/>
        <item x="41"/>
        <item x="85"/>
        <item x="103"/>
        <item x="507"/>
        <item x="2"/>
        <item x="353"/>
        <item x="137"/>
        <item x="420"/>
        <item x="216"/>
        <item x="394"/>
        <item x="368"/>
        <item x="510"/>
        <item x="255"/>
        <item x="169"/>
        <item x="476"/>
        <item x="4"/>
        <item x="106"/>
        <item x="424"/>
        <item x="166"/>
        <item x="397"/>
        <item x="499"/>
        <item x="165"/>
        <item x="175"/>
        <item x="237"/>
        <item x="127"/>
        <item x="114"/>
        <item x="509"/>
        <item x="473"/>
        <item x="410"/>
        <item x="222"/>
        <item x="28"/>
        <item x="105"/>
        <item x="362"/>
        <item x="527"/>
        <item x="195"/>
        <item x="518"/>
        <item x="474"/>
        <item x="214"/>
        <item x="187"/>
        <item x="235"/>
        <item x="534"/>
        <item x="351"/>
        <item x="112"/>
        <item x="26"/>
        <item x="0"/>
        <item x="535"/>
        <item x="479"/>
        <item x="434"/>
        <item x="256"/>
        <item x="408"/>
        <item x="378"/>
        <item x="449"/>
        <item x="102"/>
        <item x="24"/>
        <item x="208"/>
        <item x="405"/>
        <item x="361"/>
        <item x="515"/>
        <item x="382"/>
        <item x="409"/>
        <item x="97"/>
        <item x="495"/>
        <item x="519"/>
        <item x="151"/>
        <item x="65"/>
        <item x="523"/>
        <item x="493"/>
        <item x="153"/>
        <item x="387"/>
        <item x="359"/>
        <item x="247"/>
        <item x="249"/>
        <item x="70"/>
        <item x="365"/>
        <item x="455"/>
        <item x="243"/>
        <item x="309"/>
        <item x="446"/>
        <item x="193"/>
        <item x="395"/>
        <item x="305"/>
        <item x="156"/>
        <item x="392"/>
        <item x="122"/>
        <item x="458"/>
        <item x="358"/>
        <item x="75"/>
        <item x="338"/>
        <item x="277"/>
        <item x="414"/>
        <item x="393"/>
        <item x="326"/>
        <item x="27"/>
        <item x="158"/>
        <item x="231"/>
        <item x="423"/>
        <item x="210"/>
        <item x="336"/>
        <item x="421"/>
        <item x="73"/>
        <item x="11"/>
        <item x="146"/>
        <item x="475"/>
        <item x="204"/>
        <item x="529"/>
        <item x="494"/>
        <item x="113"/>
        <item x="91"/>
        <item x="355"/>
        <item x="180"/>
        <item x="163"/>
        <item x="374"/>
        <item x="223"/>
        <item x="321"/>
        <item x="464"/>
        <item x="57"/>
        <item x="416"/>
        <item x="254"/>
        <item x="381"/>
        <item x="232"/>
        <item x="37"/>
        <item x="489"/>
        <item x="140"/>
        <item x="490"/>
        <item x="17"/>
        <item x="340"/>
        <item x="436"/>
        <item x="398"/>
        <item x="145"/>
        <item x="179"/>
        <item x="47"/>
        <item x="21"/>
        <item x="521"/>
        <item x="76"/>
        <item x="422"/>
        <item x="265"/>
        <item x="167"/>
        <item x="79"/>
        <item x="72"/>
        <item x="285"/>
        <item x="484"/>
        <item x="241"/>
        <item x="200"/>
        <item x="90"/>
        <item x="348"/>
        <item x="67"/>
        <item x="498"/>
        <item x="532"/>
        <item x="32"/>
        <item x="383"/>
        <item x="306"/>
        <item x="273"/>
        <item x="279"/>
        <item x="132"/>
        <item x="341"/>
        <item x="209"/>
        <item x="320"/>
        <item x="419"/>
        <item x="485"/>
        <item x="366"/>
        <item x="447"/>
        <item x="427"/>
        <item x="451"/>
        <item x="220"/>
        <item x="280"/>
        <item x="342"/>
        <item x="19"/>
        <item x="50"/>
        <item x="390"/>
        <item x="119"/>
        <item x="289"/>
        <item x="251"/>
        <item x="403"/>
        <item x="497"/>
        <item x="528"/>
        <item x="432"/>
        <item x="181"/>
        <item x="462"/>
        <item x="89"/>
        <item x="335"/>
        <item x="260"/>
        <item x="295"/>
        <item x="404"/>
        <item x="482"/>
        <item x="39"/>
        <item x="228"/>
        <item x="46"/>
        <item x="347"/>
        <item x="344"/>
        <item x="148"/>
        <item x="64"/>
        <item x="38"/>
        <item x="171"/>
        <item x="98"/>
        <item x="439"/>
        <item x="56"/>
        <item x="526"/>
        <item x="7"/>
        <item x="194"/>
        <item x="22"/>
        <item x="242"/>
        <item x="164"/>
        <item x="52"/>
        <item x="138"/>
        <item x="42"/>
        <item x="82"/>
        <item x="170"/>
        <item x="149"/>
        <item x="196"/>
        <item x="291"/>
        <item x="129"/>
        <item x="263"/>
        <item x="334"/>
        <item x="136"/>
        <item x="288"/>
        <item x="224"/>
        <item x="467"/>
        <item x="278"/>
        <item x="367"/>
        <item x="43"/>
        <item x="226"/>
        <item x="271"/>
        <item x="20"/>
        <item x="142"/>
        <item x="108"/>
        <item x="211"/>
        <item x="125"/>
        <item x="141"/>
        <item x="3"/>
        <item x="317"/>
        <item x="184"/>
        <item x="99"/>
        <item x="25"/>
        <item x="501"/>
        <item x="58"/>
        <item x="483"/>
        <item x="55"/>
        <item x="100"/>
        <item x="384"/>
        <item x="437"/>
        <item x="275"/>
        <item x="8"/>
        <item x="322"/>
        <item x="308"/>
        <item x="346"/>
        <item x="323"/>
        <item x="282"/>
        <item x="107"/>
        <item x="301"/>
        <item x="240"/>
        <item x="401"/>
        <item x="206"/>
        <item x="159"/>
        <item x="201"/>
        <item x="411"/>
        <item x="66"/>
        <item x="465"/>
        <item x="111"/>
        <item x="504"/>
        <item x="332"/>
        <item x="264"/>
        <item x="459"/>
        <item x="456"/>
        <item x="215"/>
        <item x="270"/>
        <item x="396"/>
        <item x="150"/>
        <item x="29"/>
        <item x="124"/>
        <item x="433"/>
        <item x="128"/>
        <item x="324"/>
        <item x="438"/>
        <item x="155"/>
        <item x="400"/>
        <item x="221"/>
        <item x="364"/>
        <item x="248"/>
        <item x="96"/>
        <item x="30"/>
        <item x="135"/>
        <item x="139"/>
        <item x="363"/>
        <item x="352"/>
        <item x="229"/>
        <item x="71"/>
        <item x="267"/>
        <item x="16"/>
        <item x="412"/>
        <item x="185"/>
        <item x="369"/>
        <item x="104"/>
        <item x="460"/>
        <item x="174"/>
        <item x="287"/>
        <item x="88"/>
        <item x="470"/>
        <item x="78"/>
        <item x="487"/>
        <item x="213"/>
        <item x="245"/>
        <item x="442"/>
        <item x="376"/>
        <item x="298"/>
        <item x="511"/>
        <item x="60"/>
        <item x="13"/>
        <item x="304"/>
        <item x="514"/>
        <item x="325"/>
        <item x="441"/>
        <item x="227"/>
        <item x="286"/>
        <item x="161"/>
        <item x="415"/>
        <item x="45"/>
        <item x="524"/>
        <item x="318"/>
        <item x="80"/>
        <item x="183"/>
        <item x="388"/>
        <item x="250"/>
        <item x="1"/>
        <item x="391"/>
        <item x="15"/>
        <item x="36"/>
        <item x="274"/>
        <item x="375"/>
        <item x="453"/>
        <item x="262"/>
        <item x="266"/>
        <item x="461"/>
        <item x="54"/>
        <item x="190"/>
        <item x="536"/>
        <item x="516"/>
        <item x="92"/>
        <item x="188"/>
        <item x="445"/>
        <item x="299"/>
        <item x="466"/>
        <item x="101"/>
        <item x="246"/>
        <item x="40"/>
        <item x="189"/>
        <item x="61"/>
        <item x="33"/>
        <item x="512"/>
        <item x="51"/>
        <item x="261"/>
        <item x="513"/>
        <item x="428"/>
        <item x="68"/>
        <item x="207"/>
        <item x="93"/>
        <item x="283"/>
        <item x="290"/>
        <item x="448"/>
        <item x="380"/>
        <item x="35"/>
        <item x="354"/>
        <item x="197"/>
        <item x="225"/>
        <item x="373"/>
        <item x="406"/>
        <item x="115"/>
        <item x="440"/>
        <item x="506"/>
        <item x="302"/>
        <item x="350"/>
        <item x="333"/>
        <item x="131"/>
        <item x="402"/>
        <item x="303"/>
        <item x="147"/>
        <item x="297"/>
        <item x="62"/>
        <item x="331"/>
        <item x="23"/>
        <item x="294"/>
        <item x="319"/>
        <item x="502"/>
        <item x="480"/>
        <item x="457"/>
        <item x="293"/>
        <item x="173"/>
        <item x="337"/>
        <item x="316"/>
        <item x="176"/>
        <item x="472"/>
        <item x="12"/>
        <item x="18"/>
        <item x="49"/>
        <item x="425"/>
        <item x="418"/>
        <item x="357"/>
        <item x="312"/>
        <item x="87"/>
        <item x="219"/>
        <item x="133"/>
        <item x="520"/>
        <item x="94"/>
        <item x="252"/>
        <item x="443"/>
        <item x="126"/>
        <item x="300"/>
        <item x="178"/>
        <item x="284"/>
        <item x="118"/>
        <item x="259"/>
        <item x="276"/>
        <item x="492"/>
        <item x="339"/>
        <item x="413"/>
        <item x="74"/>
        <item x="505"/>
        <item x="292"/>
        <item x="69"/>
        <item x="253"/>
        <item x="14"/>
        <item x="244"/>
        <item x="500"/>
        <item x="481"/>
        <item x="531"/>
        <item x="144"/>
        <item x="533"/>
        <item x="239"/>
        <item x="281"/>
        <item x="471"/>
        <item x="328"/>
        <item x="343"/>
        <item x="162"/>
        <item x="431"/>
        <item x="172"/>
        <item x="198"/>
        <item x="186"/>
        <item x="450"/>
        <item x="123"/>
        <item x="238"/>
        <item x="311"/>
        <item x="109"/>
        <item x="203"/>
        <item t="default"/>
      </items>
    </pivotField>
    <pivotField showAll="0"/>
    <pivotField showAll="0"/>
    <pivotField showAll="0"/>
    <pivotField axis="axisRow" showAll="0">
      <items count="11">
        <item x="0"/>
        <item x="5"/>
        <item x="8"/>
        <item x="6"/>
        <item x="4"/>
        <item x="3"/>
        <item x="7"/>
        <item x="9"/>
        <item x="1"/>
        <item x="2"/>
        <item t="default"/>
      </items>
    </pivotField>
    <pivotField showAll="0">
      <items count="5">
        <item x="0"/>
        <item x="3"/>
        <item x="2"/>
        <item x="1"/>
        <item t="default"/>
      </items>
    </pivotField>
    <pivotField showAll="0"/>
    <pivotField showAll="0">
      <items count="7">
        <item x="4"/>
        <item x="1"/>
        <item x="3"/>
        <item x="2"/>
        <item x="5"/>
        <item x="0"/>
        <item t="default"/>
      </items>
    </pivotField>
    <pivotField showAll="0">
      <items count="13">
        <item x="11"/>
        <item x="5"/>
        <item x="2"/>
        <item x="10"/>
        <item x="3"/>
        <item x="1"/>
        <item x="9"/>
        <item x="8"/>
        <item x="0"/>
        <item x="7"/>
        <item x="4"/>
        <item x="6"/>
        <item t="default"/>
      </items>
    </pivotField>
    <pivotField showAll="0"/>
    <pivotField showAll="0"/>
    <pivotField dataField="1" showAll="0"/>
    <pivotField showAll="0"/>
    <pivotField showAll="0"/>
    <pivotField showAll="0">
      <items count="5">
        <item x="3"/>
        <item x="1"/>
        <item x="2"/>
        <item x="0"/>
        <item t="default"/>
      </items>
    </pivotField>
    <pivotField showAll="0">
      <items count="4">
        <item x="1"/>
        <item x="2"/>
        <item x="0"/>
        <item t="default"/>
      </items>
    </pivotField>
    <pivotField showAll="0"/>
    <pivotField showAll="0"/>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8"/>
  </rowFields>
  <rowItems count="11">
    <i>
      <x/>
    </i>
    <i>
      <x v="1"/>
    </i>
    <i>
      <x v="2"/>
    </i>
    <i>
      <x v="3"/>
    </i>
    <i>
      <x v="4"/>
    </i>
    <i>
      <x v="5"/>
    </i>
    <i>
      <x v="6"/>
    </i>
    <i>
      <x v="7"/>
    </i>
    <i>
      <x v="8"/>
    </i>
    <i>
      <x v="9"/>
    </i>
    <i t="grand">
      <x/>
    </i>
  </rowItems>
  <colItems count="1">
    <i/>
  </colItems>
  <dataFields count="1">
    <dataField name="Sum of Total Sal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B76F5EE-DAB1-4E81-BFBB-4740FAF97A76}" sourceName="Year">
  <pivotTables>
    <pivotTable tabId="2" name="bar chart"/>
    <pivotTable tabId="2" name="kpi margin"/>
    <pivotTable tabId="2" name="combo chart"/>
    <pivotTable tabId="2" name="waterfall chart"/>
    <pivotTable tabId="2" name="pie chart"/>
    <pivotTable tabId="2" name="map chart"/>
    <pivotTable tabId="2" name="kpi sales"/>
    <pivotTable tabId="2" name="kpi profit"/>
    <pivotTable tabId="2" name="kpi quantity"/>
    <pivotTable tabId="2" name="kpi orders"/>
  </pivotTables>
  <data>
    <tabular pivotCacheId="94447419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3BE9B1-D39F-48BD-A547-58649F99AB25}" sourceName="Region">
  <pivotTables>
    <pivotTable tabId="2" name="bar chart"/>
    <pivotTable tabId="2" name="combo chart"/>
    <pivotTable tabId="2" name="kpi margin"/>
    <pivotTable tabId="2" name="kpi orders"/>
    <pivotTable tabId="2" name="kpi profit"/>
    <pivotTable tabId="2" name="kpi quantity"/>
    <pivotTable tabId="2" name="kpi sales"/>
    <pivotTable tabId="2" name="map chart"/>
    <pivotTable tabId="2" name="pie chart"/>
    <pivotTable tabId="2" name="waterfall chart"/>
    <pivotTable tabId="2" name="kpi yoy"/>
  </pivotTables>
  <data>
    <tabular pivotCacheId="944474191">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0D1F75A-51C7-4915-8D1D-89AF4D3190C3}" sourceName="Product Category">
  <pivotTables>
    <pivotTable tabId="2" name="bar chart"/>
    <pivotTable tabId="2" name="kpi margin"/>
    <pivotTable tabId="2" name="combo chart"/>
    <pivotTable tabId="2" name="waterfall chart"/>
    <pivotTable tabId="2" name="pie chart"/>
    <pivotTable tabId="2" name="map chart"/>
    <pivotTable tabId="2" name="kpi sales"/>
    <pivotTable tabId="2" name="kpi profit"/>
    <pivotTable tabId="2" name="kpi quantity"/>
    <pivotTable tabId="2" name="kpi orders"/>
    <pivotTable tabId="2" name="kpi yoy"/>
  </pivotTables>
  <data>
    <tabular pivotCacheId="944474191">
      <items count="6">
        <i x="4" s="1"/>
        <i x="1" s="1"/>
        <i x="3" s="1"/>
        <i x="2" s="1"/>
        <i x="5"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013DA607-2F81-4D47-8CFE-DE77AF01AC37}" sourceName="Brand">
  <pivotTables>
    <pivotTable tabId="2" name="bar chart"/>
    <pivotTable tabId="2" name="combo chart"/>
    <pivotTable tabId="2" name="kpi margin"/>
    <pivotTable tabId="2" name="kpi orders"/>
    <pivotTable tabId="2" name="kpi profit"/>
    <pivotTable tabId="2" name="kpi quantity"/>
    <pivotTable tabId="2" name="kpi sales"/>
    <pivotTable tabId="2" name="map chart"/>
    <pivotTable tabId="2" name="pie chart"/>
    <pivotTable tabId="2" name="waterfall chart"/>
    <pivotTable tabId="2" name="kpi yoy"/>
  </pivotTables>
  <data>
    <tabular pivotCacheId="944474191">
      <items count="12">
        <i x="11" s="1"/>
        <i x="5" s="1"/>
        <i x="2" s="1"/>
        <i x="10" s="1"/>
        <i x="3" s="1"/>
        <i x="1" s="1"/>
        <i x="9" s="1"/>
        <i x="8" s="1"/>
        <i x="0" s="1"/>
        <i x="7" s="1"/>
        <i x="4"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EF7A4EB9-3E4B-4907-9CEC-AD95104221DD}" sourceName="Customer ID">
  <pivotTables>
    <pivotTable tabId="2" name="kpi yoy"/>
    <pivotTable tabId="2" name="bar chart"/>
    <pivotTable tabId="2" name="combo chart"/>
    <pivotTable tabId="2" name="kpi margin"/>
    <pivotTable tabId="2" name="kpi orders"/>
    <pivotTable tabId="2" name="kpi profit"/>
    <pivotTable tabId="2" name="kpi quantity"/>
    <pivotTable tabId="2" name="kpi sales"/>
    <pivotTable tabId="2" name="map chart"/>
    <pivotTable tabId="2" name="pie chart"/>
    <pivotTable tabId="2" name="waterfall chart"/>
  </pivotTables>
  <data>
    <tabular pivotCacheId="944474191">
      <items count="537">
        <i x="152" s="1"/>
        <i x="83" s="1"/>
        <i x="121" s="1"/>
        <i x="399" s="1"/>
        <i x="315" s="1"/>
        <i x="379" s="1"/>
        <i x="9" s="1"/>
        <i x="272" s="1"/>
        <i x="116" s="1"/>
        <i x="430" s="1"/>
        <i x="120" s="1"/>
        <i x="10" s="1"/>
        <i x="389" s="1"/>
        <i x="329" s="1"/>
        <i x="86" s="1"/>
        <i x="233" s="1"/>
        <i x="77" s="1"/>
        <i x="525" s="1"/>
        <i x="205" s="1"/>
        <i x="522" s="1"/>
        <i x="191" s="1"/>
        <i x="110" s="1"/>
        <i x="53" s="1"/>
        <i x="44" s="1"/>
        <i x="157" s="1"/>
        <i x="177" s="1"/>
        <i x="168" s="1"/>
        <i x="385" s="1"/>
        <i x="468" s="1"/>
        <i x="307" s="1"/>
        <i x="5" s="1"/>
        <i x="6" s="1"/>
        <i x="517" s="1"/>
        <i x="48" s="1"/>
        <i x="371" s="1"/>
        <i x="268" s="1"/>
        <i x="530" s="1"/>
        <i x="269" s="1"/>
        <i x="182" s="1"/>
        <i x="212" s="1"/>
        <i x="372" s="1"/>
        <i x="143" s="1"/>
        <i x="230" s="1"/>
        <i x="345" s="1"/>
        <i x="310" s="1"/>
        <i x="84" s="1"/>
        <i x="486" s="1"/>
        <i x="130" s="1"/>
        <i x="377" s="1"/>
        <i x="478" s="1"/>
        <i x="134" s="1"/>
        <i x="477" s="1"/>
        <i x="370" s="1"/>
        <i x="360" s="1"/>
        <i x="218" s="1"/>
        <i x="258" s="1"/>
        <i x="435" s="1"/>
        <i x="117" s="1"/>
        <i x="217" s="1"/>
        <i x="496" s="1"/>
        <i x="417" s="1"/>
        <i x="444" s="1"/>
        <i x="236" s="1"/>
        <i x="508" s="1"/>
        <i x="34" s="1"/>
        <i x="454" s="1"/>
        <i x="356" s="1"/>
        <i x="192" s="1"/>
        <i x="63" s="1"/>
        <i x="154" s="1"/>
        <i x="202" s="1"/>
        <i x="313" s="1"/>
        <i x="234" s="1"/>
        <i x="314" s="1"/>
        <i x="407" s="1"/>
        <i x="491" s="1"/>
        <i x="257" s="1"/>
        <i x="81" s="1"/>
        <i x="426" s="1"/>
        <i x="469" s="1"/>
        <i x="349" s="1"/>
        <i x="452" s="1"/>
        <i x="296" s="1"/>
        <i x="488" s="1"/>
        <i x="463" s="1"/>
        <i x="95" s="1"/>
        <i x="386" s="1"/>
        <i x="59" s="1"/>
        <i x="503" s="1"/>
        <i x="330" s="1"/>
        <i x="160" s="1"/>
        <i x="199" s="1"/>
        <i x="429" s="1"/>
        <i x="327" s="1"/>
        <i x="31" s="1"/>
        <i x="41" s="1"/>
        <i x="85" s="1"/>
        <i x="103" s="1"/>
        <i x="507" s="1"/>
        <i x="2" s="1"/>
        <i x="353" s="1"/>
        <i x="137" s="1"/>
        <i x="420" s="1"/>
        <i x="216" s="1"/>
        <i x="394" s="1"/>
        <i x="368" s="1"/>
        <i x="510" s="1"/>
        <i x="255" s="1"/>
        <i x="169" s="1"/>
        <i x="476" s="1"/>
        <i x="4" s="1"/>
        <i x="106" s="1"/>
        <i x="424" s="1"/>
        <i x="166" s="1"/>
        <i x="397" s="1"/>
        <i x="499" s="1"/>
        <i x="165" s="1"/>
        <i x="175" s="1"/>
        <i x="237" s="1"/>
        <i x="127" s="1"/>
        <i x="114" s="1"/>
        <i x="509" s="1"/>
        <i x="473" s="1"/>
        <i x="410" s="1"/>
        <i x="222" s="1"/>
        <i x="28" s="1"/>
        <i x="105" s="1"/>
        <i x="362" s="1"/>
        <i x="527" s="1"/>
        <i x="195" s="1"/>
        <i x="518" s="1"/>
        <i x="474" s="1"/>
        <i x="214" s="1"/>
        <i x="187" s="1"/>
        <i x="235" s="1"/>
        <i x="534" s="1"/>
        <i x="351" s="1"/>
        <i x="112" s="1"/>
        <i x="26" s="1"/>
        <i x="0" s="1"/>
        <i x="535" s="1"/>
        <i x="479" s="1"/>
        <i x="434" s="1"/>
        <i x="256" s="1"/>
        <i x="408" s="1"/>
        <i x="378" s="1"/>
        <i x="449" s="1"/>
        <i x="102" s="1"/>
        <i x="24" s="1"/>
        <i x="208" s="1"/>
        <i x="405" s="1"/>
        <i x="361" s="1"/>
        <i x="515" s="1"/>
        <i x="382" s="1"/>
        <i x="409" s="1"/>
        <i x="97" s="1"/>
        <i x="495" s="1"/>
        <i x="519" s="1"/>
        <i x="151" s="1"/>
        <i x="65" s="1"/>
        <i x="523" s="1"/>
        <i x="493" s="1"/>
        <i x="153" s="1"/>
        <i x="387" s="1"/>
        <i x="359" s="1"/>
        <i x="247" s="1"/>
        <i x="249" s="1"/>
        <i x="70" s="1"/>
        <i x="365" s="1"/>
        <i x="455" s="1"/>
        <i x="243" s="1"/>
        <i x="309" s="1"/>
        <i x="446" s="1"/>
        <i x="193" s="1"/>
        <i x="395" s="1"/>
        <i x="305" s="1"/>
        <i x="156" s="1"/>
        <i x="392" s="1"/>
        <i x="122" s="1"/>
        <i x="458" s="1"/>
        <i x="358" s="1"/>
        <i x="75" s="1"/>
        <i x="338" s="1"/>
        <i x="277" s="1"/>
        <i x="414" s="1"/>
        <i x="393" s="1"/>
        <i x="326" s="1"/>
        <i x="27" s="1"/>
        <i x="158" s="1"/>
        <i x="231" s="1"/>
        <i x="423" s="1"/>
        <i x="210" s="1"/>
        <i x="336" s="1"/>
        <i x="421" s="1"/>
        <i x="73" s="1"/>
        <i x="11" s="1"/>
        <i x="146" s="1"/>
        <i x="475" s="1"/>
        <i x="204" s="1"/>
        <i x="529" s="1"/>
        <i x="494" s="1"/>
        <i x="113" s="1"/>
        <i x="91" s="1"/>
        <i x="355" s="1"/>
        <i x="180" s="1"/>
        <i x="163" s="1"/>
        <i x="374" s="1"/>
        <i x="223" s="1"/>
        <i x="321" s="1"/>
        <i x="464" s="1"/>
        <i x="57" s="1"/>
        <i x="416" s="1"/>
        <i x="254" s="1"/>
        <i x="381" s="1"/>
        <i x="232" s="1"/>
        <i x="37" s="1"/>
        <i x="489" s="1"/>
        <i x="140" s="1"/>
        <i x="490" s="1"/>
        <i x="17" s="1"/>
        <i x="340" s="1"/>
        <i x="436" s="1"/>
        <i x="398" s="1"/>
        <i x="145" s="1"/>
        <i x="179" s="1"/>
        <i x="47" s="1"/>
        <i x="21" s="1"/>
        <i x="521" s="1"/>
        <i x="76" s="1"/>
        <i x="422" s="1"/>
        <i x="265" s="1"/>
        <i x="167" s="1"/>
        <i x="79" s="1"/>
        <i x="72" s="1"/>
        <i x="285" s="1"/>
        <i x="484" s="1"/>
        <i x="241" s="1"/>
        <i x="200" s="1"/>
        <i x="90" s="1"/>
        <i x="348" s="1"/>
        <i x="67" s="1"/>
        <i x="498" s="1"/>
        <i x="532" s="1"/>
        <i x="32" s="1"/>
        <i x="383" s="1"/>
        <i x="306" s="1"/>
        <i x="273" s="1"/>
        <i x="279" s="1"/>
        <i x="132" s="1"/>
        <i x="341" s="1"/>
        <i x="209" s="1"/>
        <i x="320" s="1"/>
        <i x="419" s="1"/>
        <i x="485" s="1"/>
        <i x="366" s="1"/>
        <i x="447" s="1"/>
        <i x="427" s="1"/>
        <i x="451" s="1"/>
        <i x="220" s="1"/>
        <i x="280" s="1"/>
        <i x="342" s="1"/>
        <i x="19" s="1"/>
        <i x="50" s="1"/>
        <i x="390" s="1"/>
        <i x="119" s="1"/>
        <i x="289" s="1"/>
        <i x="251" s="1"/>
        <i x="403" s="1"/>
        <i x="497" s="1"/>
        <i x="528" s="1"/>
        <i x="432" s="1"/>
        <i x="181" s="1"/>
        <i x="462" s="1"/>
        <i x="89" s="1"/>
        <i x="335" s="1"/>
        <i x="260" s="1"/>
        <i x="295" s="1"/>
        <i x="404" s="1"/>
        <i x="482" s="1"/>
        <i x="39" s="1"/>
        <i x="228" s="1"/>
        <i x="46" s="1"/>
        <i x="347" s="1"/>
        <i x="344" s="1"/>
        <i x="148" s="1"/>
        <i x="64" s="1"/>
        <i x="38" s="1"/>
        <i x="171" s="1"/>
        <i x="98" s="1"/>
        <i x="439" s="1"/>
        <i x="56" s="1"/>
        <i x="526" s="1"/>
        <i x="7" s="1"/>
        <i x="194" s="1"/>
        <i x="22" s="1"/>
        <i x="242" s="1"/>
        <i x="164" s="1"/>
        <i x="52" s="1"/>
        <i x="138" s="1"/>
        <i x="42" s="1"/>
        <i x="82" s="1"/>
        <i x="170" s="1"/>
        <i x="149" s="1"/>
        <i x="196" s="1"/>
        <i x="291" s="1"/>
        <i x="129" s="1"/>
        <i x="263" s="1"/>
        <i x="334" s="1"/>
        <i x="136" s="1"/>
        <i x="288" s="1"/>
        <i x="224" s="1"/>
        <i x="467" s="1"/>
        <i x="278" s="1"/>
        <i x="367" s="1"/>
        <i x="43" s="1"/>
        <i x="226" s="1"/>
        <i x="271" s="1"/>
        <i x="20" s="1"/>
        <i x="142" s="1"/>
        <i x="108" s="1"/>
        <i x="211" s="1"/>
        <i x="125" s="1"/>
        <i x="141" s="1"/>
        <i x="3" s="1"/>
        <i x="317" s="1"/>
        <i x="184" s="1"/>
        <i x="99" s="1"/>
        <i x="25" s="1"/>
        <i x="501" s="1"/>
        <i x="58" s="1"/>
        <i x="483" s="1"/>
        <i x="55" s="1"/>
        <i x="100" s="1"/>
        <i x="384" s="1"/>
        <i x="437" s="1"/>
        <i x="275" s="1"/>
        <i x="8" s="1"/>
        <i x="322" s="1"/>
        <i x="308" s="1"/>
        <i x="346" s="1"/>
        <i x="323" s="1"/>
        <i x="282" s="1"/>
        <i x="107" s="1"/>
        <i x="301" s="1"/>
        <i x="240" s="1"/>
        <i x="401" s="1"/>
        <i x="206" s="1"/>
        <i x="159" s="1"/>
        <i x="201" s="1"/>
        <i x="411" s="1"/>
        <i x="66" s="1"/>
        <i x="465" s="1"/>
        <i x="111" s="1"/>
        <i x="504" s="1"/>
        <i x="332" s="1"/>
        <i x="264" s="1"/>
        <i x="459" s="1"/>
        <i x="456" s="1"/>
        <i x="215" s="1"/>
        <i x="270" s="1"/>
        <i x="396" s="1"/>
        <i x="150" s="1"/>
        <i x="29" s="1"/>
        <i x="124" s="1"/>
        <i x="433" s="1"/>
        <i x="128" s="1"/>
        <i x="324" s="1"/>
        <i x="438" s="1"/>
        <i x="155" s="1"/>
        <i x="400" s="1"/>
        <i x="221" s="1"/>
        <i x="364" s="1"/>
        <i x="248" s="1"/>
        <i x="96" s="1"/>
        <i x="30" s="1"/>
        <i x="135" s="1"/>
        <i x="139" s="1"/>
        <i x="363" s="1"/>
        <i x="352" s="1"/>
        <i x="229" s="1"/>
        <i x="71" s="1"/>
        <i x="267" s="1"/>
        <i x="16" s="1"/>
        <i x="412" s="1"/>
        <i x="185" s="1"/>
        <i x="369" s="1"/>
        <i x="104" s="1"/>
        <i x="460" s="1"/>
        <i x="174" s="1"/>
        <i x="287" s="1"/>
        <i x="88" s="1"/>
        <i x="470" s="1"/>
        <i x="78" s="1"/>
        <i x="487" s="1"/>
        <i x="213" s="1"/>
        <i x="245" s="1"/>
        <i x="442" s="1"/>
        <i x="376" s="1"/>
        <i x="298" s="1"/>
        <i x="511" s="1"/>
        <i x="60" s="1"/>
        <i x="13" s="1"/>
        <i x="304" s="1"/>
        <i x="514" s="1"/>
        <i x="325" s="1"/>
        <i x="441" s="1"/>
        <i x="227" s="1"/>
        <i x="286" s="1"/>
        <i x="161" s="1"/>
        <i x="415" s="1"/>
        <i x="45" s="1"/>
        <i x="524" s="1"/>
        <i x="318" s="1"/>
        <i x="80" s="1"/>
        <i x="183" s="1"/>
        <i x="388" s="1"/>
        <i x="250" s="1"/>
        <i x="1" s="1"/>
        <i x="391" s="1"/>
        <i x="15" s="1"/>
        <i x="36" s="1"/>
        <i x="274" s="1"/>
        <i x="375" s="1"/>
        <i x="453" s="1"/>
        <i x="262" s="1"/>
        <i x="266" s="1"/>
        <i x="461" s="1"/>
        <i x="54" s="1"/>
        <i x="190" s="1"/>
        <i x="536" s="1"/>
        <i x="516" s="1"/>
        <i x="92" s="1"/>
        <i x="188" s="1"/>
        <i x="445" s="1"/>
        <i x="299" s="1"/>
        <i x="466" s="1"/>
        <i x="101" s="1"/>
        <i x="246" s="1"/>
        <i x="40" s="1"/>
        <i x="189" s="1"/>
        <i x="61" s="1"/>
        <i x="33" s="1"/>
        <i x="512" s="1"/>
        <i x="51" s="1"/>
        <i x="261" s="1"/>
        <i x="513" s="1"/>
        <i x="428" s="1"/>
        <i x="68" s="1"/>
        <i x="207" s="1"/>
        <i x="93" s="1"/>
        <i x="283" s="1"/>
        <i x="290" s="1"/>
        <i x="448" s="1"/>
        <i x="380" s="1"/>
        <i x="35" s="1"/>
        <i x="354" s="1"/>
        <i x="197" s="1"/>
        <i x="225" s="1"/>
        <i x="373" s="1"/>
        <i x="406" s="1"/>
        <i x="115" s="1"/>
        <i x="440" s="1"/>
        <i x="506" s="1"/>
        <i x="302" s="1"/>
        <i x="350" s="1"/>
        <i x="333" s="1"/>
        <i x="131" s="1"/>
        <i x="402" s="1"/>
        <i x="303" s="1"/>
        <i x="147" s="1"/>
        <i x="297" s="1"/>
        <i x="62" s="1"/>
        <i x="331" s="1"/>
        <i x="23" s="1"/>
        <i x="294" s="1"/>
        <i x="319" s="1"/>
        <i x="502" s="1"/>
        <i x="480" s="1"/>
        <i x="457" s="1"/>
        <i x="293" s="1"/>
        <i x="173" s="1"/>
        <i x="337" s="1"/>
        <i x="316" s="1"/>
        <i x="176" s="1"/>
        <i x="472" s="1"/>
        <i x="12" s="1"/>
        <i x="18" s="1"/>
        <i x="49" s="1"/>
        <i x="425" s="1"/>
        <i x="418" s="1"/>
        <i x="357" s="1"/>
        <i x="312" s="1"/>
        <i x="87" s="1"/>
        <i x="219" s="1"/>
        <i x="133" s="1"/>
        <i x="520" s="1"/>
        <i x="94" s="1"/>
        <i x="252" s="1"/>
        <i x="443" s="1"/>
        <i x="126" s="1"/>
        <i x="300" s="1"/>
        <i x="178" s="1"/>
        <i x="284" s="1"/>
        <i x="118" s="1"/>
        <i x="259" s="1"/>
        <i x="276" s="1"/>
        <i x="492" s="1"/>
        <i x="339" s="1"/>
        <i x="413" s="1"/>
        <i x="74" s="1"/>
        <i x="505" s="1"/>
        <i x="292" s="1"/>
        <i x="69" s="1"/>
        <i x="253" s="1"/>
        <i x="14" s="1"/>
        <i x="244" s="1"/>
        <i x="500" s="1"/>
        <i x="481" s="1"/>
        <i x="531" s="1"/>
        <i x="144" s="1"/>
        <i x="533" s="1"/>
        <i x="239" s="1"/>
        <i x="281" s="1"/>
        <i x="471" s="1"/>
        <i x="328" s="1"/>
        <i x="343" s="1"/>
        <i x="162" s="1"/>
        <i x="431" s="1"/>
        <i x="172" s="1"/>
        <i x="198" s="1"/>
        <i x="186" s="1"/>
        <i x="450" s="1"/>
        <i x="123" s="1"/>
        <i x="238" s="1"/>
        <i x="311" s="1"/>
        <i x="109" s="1"/>
        <i x="20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19E1AD1C-4AF3-4CE9-AE53-3C98FB380937}" sourceName="Order Status">
  <pivotTables>
    <pivotTable tabId="2" name="kpi yoy"/>
    <pivotTable tabId="2" name="bar chart"/>
    <pivotTable tabId="2" name="combo chart"/>
    <pivotTable tabId="2" name="kpi margin"/>
    <pivotTable tabId="2" name="kpi orders"/>
    <pivotTable tabId="2" name="kpi profit"/>
    <pivotTable tabId="2" name="kpi quantity"/>
    <pivotTable tabId="2" name="kpi sales"/>
    <pivotTable tabId="2" name="map chart"/>
    <pivotTable tabId="2" name="pie chart"/>
    <pivotTable tabId="2" name="waterfall chart"/>
  </pivotTables>
  <data>
    <tabular pivotCacheId="944474191">
      <items count="3">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CBA32A0-3AFD-4024-8F17-E3C7F97EC0F2}" sourceName="Payment Mode">
  <pivotTables>
    <pivotTable tabId="2" name="kpi yoy"/>
    <pivotTable tabId="2" name="bar chart"/>
    <pivotTable tabId="2" name="combo chart"/>
    <pivotTable tabId="2" name="kpi margin"/>
    <pivotTable tabId="2" name="kpi orders"/>
    <pivotTable tabId="2" name="kpi profit"/>
    <pivotTable tabId="2" name="kpi quantity"/>
    <pivotTable tabId="2" name="kpi sales"/>
    <pivotTable tabId="2" name="map chart"/>
    <pivotTable tabId="2" name="pie chart"/>
    <pivotTable tabId="2" name="waterfall chart"/>
  </pivotTables>
  <data>
    <tabular pivotCacheId="944474191">
      <items count="4">
        <i x="3" s="1"/>
        <i x="1" s="1"/>
        <i x="2"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B2504F5-6148-404D-BEEE-100207F650DA}" sourceName="Country">
  <pivotTables>
    <pivotTable tabId="2" name="bar chart"/>
  </pivotTables>
  <data>
    <tabular pivotCacheId="944474191">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4869E09-0FB0-460A-B0B4-212C935ADDD1}" cache="Slicer_Year" caption="Year" rowHeight="234950"/>
  <slicer name="Region" xr10:uid="{6CF9982F-5EC6-4C96-88E9-841786ED54B5}" cache="Slicer_Region" caption="Region" rowHeight="234950"/>
  <slicer name="Product Category" xr10:uid="{06381B81-9D51-41E6-AEFB-DCDF7E21F631}" cache="Slicer_Product_Category" caption="Product Category" rowHeight="234950"/>
  <slicer name="Brand" xr10:uid="{43DBB817-D095-429B-B1DB-4FD0C78665A9}" cache="Slicer_Brand" caption="Brand" rowHeight="234950"/>
  <slicer name="Customer ID" xr10:uid="{14A37CB1-9ACC-40FC-BCB1-2C68A83BBE79}" cache="Slicer_Customer_ID" caption="Customer ID" rowHeight="234950"/>
  <slicer name="Order Status" xr10:uid="{E5EFBBEE-D136-489F-9D6B-F06216C6A6E6}" cache="Slicer_Order_Status" caption="Order Status" rowHeight="234950"/>
  <slicer name="Payment Mode" xr10:uid="{38E21031-5280-4F0E-A1C4-F5761DB040C5}" cache="Slicer_Payment_Mode" caption="Payment Mode" rowHeight="234950"/>
  <slicer name="Country" xr10:uid="{86312E70-EEB5-4784-824F-D79F48A1AA87}" cache="Slicer_Country" caption="Coun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BBC9CB4-4D3C-482F-B896-4A926B83E057}" cache="Slicer_Year" caption="Year" style="AB" rowHeight="234950"/>
  <slicer name="Region 1" xr10:uid="{D2064060-1075-42E4-94E3-F32F3512AF06}" cache="Slicer_Region" caption="Region" style="AB" rowHeight="234950"/>
  <slicer name="Product Category 1" xr10:uid="{07599BAB-2C23-44F5-BC6E-94DB507CD348}" cache="Slicer_Product_Category" caption="Product Category" style="AB" rowHeight="234950"/>
  <slicer name="Brand 1" xr10:uid="{AE2AAB15-9531-4228-A037-B40BFEF5AEAD}" cache="Slicer_Brand" caption="Brand" style="AB" rowHeight="234950"/>
  <slicer name="Customer ID 2" xr10:uid="{3D74AD0C-6277-4BB0-8150-18068006294E}" cache="Slicer_Customer_ID" caption="Customer ID" style="AB" rowHeight="234950"/>
  <slicer name="Order Status 1" xr10:uid="{508C7CF6-7711-4E56-80F9-07B01203EFA8}" cache="Slicer_Order_Status" caption="Order Status" style="AB" rowHeight="234950"/>
  <slicer name="Payment Mode 1" xr10:uid="{0AACC7D2-7F19-4EB4-A75F-1900648FAAA8}" cache="Slicer_Payment_Mode" caption="Payment Mode"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998E70-057C-4C26-A459-50F221EC274D}" name="Data" displayName="Data" ref="A1:V801" totalsRowShown="0" headerRowDxfId="19" headerRowBorderDxfId="18" tableBorderDxfId="17">
  <autoFilter ref="A1:V801" xr:uid="{60998E70-057C-4C26-A459-50F221EC274D}"/>
  <tableColumns count="22">
    <tableColumn id="1" xr3:uid="{2AB69362-F2CD-4361-9E3B-F1534AE524D1}" name="Order ID"/>
    <tableColumn id="2" xr3:uid="{7D0E52A9-3024-48AE-B937-4914B8B6F883}" name="Year"/>
    <tableColumn id="3" xr3:uid="{139B396B-0052-4D8E-AEC8-CA00250DDB53}" name="Order Date" dataDxfId="16"/>
    <tableColumn id="4" xr3:uid="{90C776E4-BC36-49D6-8572-18AE324A35A2}" name="Customer Name"/>
    <tableColumn id="5" xr3:uid="{1AC8D0AA-BBB9-4C29-B08B-23826DCE7CEA}" name="Customer ID"/>
    <tableColumn id="6" xr3:uid="{DF45F454-2E8C-4767-8A7E-BD2FAF0AC7CE}" name="Mobile No"/>
    <tableColumn id="7" xr3:uid="{634C55B2-4EE7-4D26-AAC4-C7C79CA42AE8}" name="Country"/>
    <tableColumn id="8" xr3:uid="{274B41FE-4190-48D6-957F-CF535B9AC6CE}" name="City"/>
    <tableColumn id="9" xr3:uid="{0FE7A336-1051-41BF-BB6A-30E7AC1C092D}" name="State"/>
    <tableColumn id="10" xr3:uid="{7BE5B67E-B144-4D2A-BCD7-EA94CBD3B2CB}" name="Region"/>
    <tableColumn id="11" xr3:uid="{62F06646-EF0A-4E35-8A11-E1C7AD9C9C3D}" name="Product Name"/>
    <tableColumn id="12" xr3:uid="{A67AF459-780F-491A-8A10-FD700613DA86}" name="Product Category"/>
    <tableColumn id="13" xr3:uid="{8E14AB63-7C35-44ED-BB48-5B78C8BB4F6A}" name="Brand"/>
    <tableColumn id="14" xr3:uid="{0979BAAC-6921-4BF4-907D-BC91CA8D1E1F}" name="Quantity Ordered"/>
    <tableColumn id="15" xr3:uid="{5D0CD9A9-74B4-4E8C-A7BE-B5F5D360A7A4}" name="Unit Price">
      <calculatedColumnFormula>ROUNDUP((77431.41),-1)</calculatedColumnFormula>
    </tableColumn>
    <tableColumn id="16" xr3:uid="{66A5745A-32D4-41EB-B215-239552E64906}" name="Total Sales">
      <calculatedColumnFormula>O2*N2</calculatedColumnFormula>
    </tableColumn>
    <tableColumn id="17" xr3:uid="{BED1D87E-560C-4C54-B464-2F1564BA96FC}" name="Discount %"/>
    <tableColumn id="18" xr3:uid="{3EAFF591-F8EE-49B9-A720-EDF6ACD391DF}" name="Discounted Price">
      <calculatedColumnFormula>P2*(1-Q2/100)</calculatedColumnFormula>
    </tableColumn>
    <tableColumn id="19" xr3:uid="{F6125C2F-85B0-4673-B098-2643BA5EB61B}" name="Payment Mode"/>
    <tableColumn id="20" xr3:uid="{BA58BF3D-2F85-41E3-B85C-CD34F5690BCA}" name="Order Status"/>
    <tableColumn id="21" xr3:uid="{846341B1-0201-4219-A2F8-C6AE6C524B7C}" name="Delivery Date" dataDxfId="15">
      <calculatedColumnFormula>IF(T2="Delivered", C2 + 7, "Not Delivered")</calculatedColumnFormula>
    </tableColumn>
    <tableColumn id="22" xr3:uid="{A63CFCF7-A049-4603-B356-EE116729C608}" name="Profit">
      <calculatedColumnFormula>P2*15%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01"/>
  <sheetViews>
    <sheetView zoomScaleNormal="90" workbookViewId="0"/>
  </sheetViews>
  <sheetFormatPr defaultRowHeight="14.4" x14ac:dyDescent="0.3"/>
  <cols>
    <col min="1" max="1" width="9.88671875" customWidth="1"/>
    <col min="2" max="2" width="6.5546875" customWidth="1"/>
    <col min="3" max="3" width="12" style="1" customWidth="1"/>
    <col min="4" max="4" width="16.44140625" customWidth="1"/>
    <col min="5" max="5" width="13.21875" customWidth="1"/>
    <col min="6" max="6" width="14.109375" bestFit="1" customWidth="1"/>
    <col min="7" max="7" width="9.6640625" customWidth="1"/>
    <col min="8" max="8" width="10.6640625" bestFit="1" customWidth="1"/>
    <col min="9" max="9" width="12.21875" bestFit="1" customWidth="1"/>
    <col min="10" max="10" width="8.6640625" customWidth="1"/>
    <col min="11" max="11" width="22.88671875" bestFit="1" customWidth="1"/>
    <col min="12" max="12" width="17.5546875" customWidth="1"/>
    <col min="13" max="13" width="8.109375" bestFit="1" customWidth="1"/>
    <col min="14" max="14" width="17.5546875" customWidth="1"/>
    <col min="15" max="15" width="11" customWidth="1"/>
    <col min="16" max="16" width="16.77734375" customWidth="1"/>
    <col min="17" max="17" width="12.109375" customWidth="1"/>
    <col min="18" max="18" width="16.88671875" customWidth="1"/>
    <col min="19" max="19" width="15.88671875" customWidth="1"/>
    <col min="20" max="20" width="13.33203125" customWidth="1"/>
    <col min="21" max="21" width="14" style="1" customWidth="1"/>
    <col min="22" max="22" width="12" bestFit="1" customWidth="1"/>
  </cols>
  <sheetData>
    <row r="1" spans="1:22" x14ac:dyDescent="0.3">
      <c r="A1" s="2"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2283</v>
      </c>
      <c r="Q1" s="2" t="s">
        <v>15</v>
      </c>
      <c r="R1" s="2" t="s">
        <v>2267</v>
      </c>
      <c r="S1" s="2" t="s">
        <v>16</v>
      </c>
      <c r="T1" s="2" t="s">
        <v>17</v>
      </c>
      <c r="U1" s="3" t="s">
        <v>18</v>
      </c>
      <c r="V1" s="2" t="s">
        <v>19</v>
      </c>
    </row>
    <row r="2" spans="1:22" x14ac:dyDescent="0.3">
      <c r="A2" t="s">
        <v>20</v>
      </c>
      <c r="B2">
        <v>2024</v>
      </c>
      <c r="C2" s="1">
        <v>45600</v>
      </c>
      <c r="D2" t="s">
        <v>820</v>
      </c>
      <c r="E2" t="s">
        <v>830</v>
      </c>
      <c r="F2" t="s">
        <v>1367</v>
      </c>
      <c r="G2" t="s">
        <v>2167</v>
      </c>
      <c r="H2" t="s">
        <v>2168</v>
      </c>
      <c r="I2" t="s">
        <v>2200</v>
      </c>
      <c r="J2" t="s">
        <v>2210</v>
      </c>
      <c r="K2" t="s">
        <v>2214</v>
      </c>
      <c r="L2" t="s">
        <v>2242</v>
      </c>
      <c r="M2" t="s">
        <v>2248</v>
      </c>
      <c r="N2">
        <v>1</v>
      </c>
      <c r="O2">
        <f>ROUNDUP((77431.41),-1)</f>
        <v>77440</v>
      </c>
      <c r="P2">
        <f>O2*N2</f>
        <v>77440</v>
      </c>
      <c r="Q2">
        <v>10</v>
      </c>
      <c r="R2">
        <f>P2*(1-Q2/100)</f>
        <v>69696</v>
      </c>
      <c r="S2" t="s">
        <v>2260</v>
      </c>
      <c r="T2" t="s">
        <v>2264</v>
      </c>
      <c r="U2" s="1" t="str">
        <f>IF(T2="Delivered", C2 + 7, "Not Delivered")</f>
        <v>Not Delivered</v>
      </c>
      <c r="V2">
        <f>P2*15%</f>
        <v>11616</v>
      </c>
    </row>
    <row r="3" spans="1:22" x14ac:dyDescent="0.3">
      <c r="A3" t="s">
        <v>21</v>
      </c>
      <c r="B3">
        <v>2024</v>
      </c>
      <c r="C3" s="1">
        <v>45591</v>
      </c>
      <c r="D3" t="s">
        <v>821</v>
      </c>
      <c r="E3" t="s">
        <v>831</v>
      </c>
      <c r="F3" t="s">
        <v>1368</v>
      </c>
      <c r="G3" t="s">
        <v>2167</v>
      </c>
      <c r="H3" t="s">
        <v>2169</v>
      </c>
      <c r="I3" t="s">
        <v>2201</v>
      </c>
      <c r="J3" t="s">
        <v>2211</v>
      </c>
      <c r="K3" t="s">
        <v>2215</v>
      </c>
      <c r="L3" t="s">
        <v>2243</v>
      </c>
      <c r="M3" t="s">
        <v>2249</v>
      </c>
      <c r="N3">
        <v>1</v>
      </c>
      <c r="O3">
        <f t="shared" ref="O3:O66" si="0">ROUNDUP((77431.41),-1)</f>
        <v>77440</v>
      </c>
      <c r="P3">
        <f t="shared" ref="P3:P66" si="1">O3*N3</f>
        <v>77440</v>
      </c>
      <c r="Q3">
        <v>5</v>
      </c>
      <c r="R3">
        <f t="shared" ref="R3:R66" si="2">P3*(1-Q3/100)</f>
        <v>73568</v>
      </c>
      <c r="S3" t="s">
        <v>2261</v>
      </c>
      <c r="T3" t="s">
        <v>2264</v>
      </c>
      <c r="U3" s="1" t="str">
        <f t="shared" ref="U3:U66" si="3">IF(T3="Delivered", C3 + 7, "Not Delivered")</f>
        <v>Not Delivered</v>
      </c>
      <c r="V3">
        <f t="shared" ref="V3:V66" si="4">P3*15%</f>
        <v>11616</v>
      </c>
    </row>
    <row r="4" spans="1:22" x14ac:dyDescent="0.3">
      <c r="A4" t="s">
        <v>22</v>
      </c>
      <c r="B4">
        <v>2024</v>
      </c>
      <c r="C4" s="1">
        <v>45597</v>
      </c>
      <c r="D4" t="s">
        <v>822</v>
      </c>
      <c r="E4" t="s">
        <v>832</v>
      </c>
      <c r="F4" t="s">
        <v>1369</v>
      </c>
      <c r="G4" t="s">
        <v>2167</v>
      </c>
      <c r="H4" t="s">
        <v>2170</v>
      </c>
      <c r="I4" t="s">
        <v>2201</v>
      </c>
      <c r="J4" t="s">
        <v>2210</v>
      </c>
      <c r="K4" t="s">
        <v>2216</v>
      </c>
      <c r="L4" t="s">
        <v>2242</v>
      </c>
      <c r="M4" t="s">
        <v>2249</v>
      </c>
      <c r="N4">
        <v>1</v>
      </c>
      <c r="O4">
        <f t="shared" si="0"/>
        <v>77440</v>
      </c>
      <c r="P4">
        <f t="shared" si="1"/>
        <v>77440</v>
      </c>
      <c r="Q4">
        <v>0</v>
      </c>
      <c r="R4">
        <f t="shared" si="2"/>
        <v>77440</v>
      </c>
      <c r="S4" t="s">
        <v>2262</v>
      </c>
      <c r="T4" t="s">
        <v>2265</v>
      </c>
      <c r="U4" s="1" t="str">
        <f t="shared" si="3"/>
        <v>Not Delivered</v>
      </c>
      <c r="V4">
        <f t="shared" si="4"/>
        <v>11616</v>
      </c>
    </row>
    <row r="5" spans="1:22" x14ac:dyDescent="0.3">
      <c r="A5" t="s">
        <v>23</v>
      </c>
      <c r="B5">
        <v>2024</v>
      </c>
      <c r="C5" s="1">
        <v>45473</v>
      </c>
      <c r="D5" t="s">
        <v>823</v>
      </c>
      <c r="E5" t="s">
        <v>833</v>
      </c>
      <c r="F5" t="s">
        <v>1370</v>
      </c>
      <c r="G5" t="s">
        <v>2167</v>
      </c>
      <c r="H5" t="s">
        <v>2171</v>
      </c>
      <c r="I5" t="s">
        <v>2202</v>
      </c>
      <c r="J5" t="s">
        <v>2212</v>
      </c>
      <c r="K5" t="s">
        <v>2217</v>
      </c>
      <c r="L5" t="s">
        <v>2244</v>
      </c>
      <c r="M5" t="s">
        <v>2250</v>
      </c>
      <c r="N5">
        <v>1</v>
      </c>
      <c r="O5">
        <f t="shared" si="0"/>
        <v>77440</v>
      </c>
      <c r="P5">
        <f t="shared" si="1"/>
        <v>77440</v>
      </c>
      <c r="Q5">
        <v>20</v>
      </c>
      <c r="R5">
        <f t="shared" si="2"/>
        <v>61952</v>
      </c>
      <c r="S5" t="s">
        <v>2263</v>
      </c>
      <c r="T5" t="s">
        <v>2264</v>
      </c>
      <c r="U5" s="1" t="str">
        <f t="shared" si="3"/>
        <v>Not Delivered</v>
      </c>
      <c r="V5">
        <f t="shared" si="4"/>
        <v>11616</v>
      </c>
    </row>
    <row r="6" spans="1:22" x14ac:dyDescent="0.3">
      <c r="A6" t="s">
        <v>24</v>
      </c>
      <c r="B6">
        <v>2024</v>
      </c>
      <c r="C6" s="1">
        <v>45420</v>
      </c>
      <c r="D6" t="s">
        <v>824</v>
      </c>
      <c r="E6" t="s">
        <v>834</v>
      </c>
      <c r="F6" t="s">
        <v>1371</v>
      </c>
      <c r="G6" t="s">
        <v>2167</v>
      </c>
      <c r="H6" t="s">
        <v>2172</v>
      </c>
      <c r="I6" t="s">
        <v>2203</v>
      </c>
      <c r="J6" t="s">
        <v>2212</v>
      </c>
      <c r="K6" t="s">
        <v>2214</v>
      </c>
      <c r="L6" t="s">
        <v>2242</v>
      </c>
      <c r="M6" t="s">
        <v>2251</v>
      </c>
      <c r="N6">
        <v>4</v>
      </c>
      <c r="O6">
        <f t="shared" si="0"/>
        <v>77440</v>
      </c>
      <c r="P6">
        <f t="shared" si="1"/>
        <v>309760</v>
      </c>
      <c r="Q6">
        <v>5</v>
      </c>
      <c r="R6">
        <f t="shared" si="2"/>
        <v>294272</v>
      </c>
      <c r="S6" t="s">
        <v>2261</v>
      </c>
      <c r="T6" t="s">
        <v>2265</v>
      </c>
      <c r="U6" s="1" t="str">
        <f t="shared" si="3"/>
        <v>Not Delivered</v>
      </c>
      <c r="V6">
        <f t="shared" si="4"/>
        <v>46464</v>
      </c>
    </row>
    <row r="7" spans="1:22" x14ac:dyDescent="0.3">
      <c r="A7" t="s">
        <v>25</v>
      </c>
      <c r="B7">
        <v>2024</v>
      </c>
      <c r="C7" s="1">
        <v>45307</v>
      </c>
      <c r="D7" t="s">
        <v>825</v>
      </c>
      <c r="E7" t="s">
        <v>835</v>
      </c>
      <c r="F7" t="s">
        <v>1372</v>
      </c>
      <c r="G7" t="s">
        <v>2167</v>
      </c>
      <c r="H7" t="s">
        <v>2173</v>
      </c>
      <c r="I7" t="s">
        <v>2204</v>
      </c>
      <c r="J7" t="s">
        <v>2212</v>
      </c>
      <c r="K7" t="s">
        <v>2218</v>
      </c>
      <c r="L7" t="s">
        <v>2242</v>
      </c>
      <c r="M7" t="s">
        <v>2252</v>
      </c>
      <c r="N7">
        <v>4</v>
      </c>
      <c r="O7">
        <f t="shared" si="0"/>
        <v>77440</v>
      </c>
      <c r="P7">
        <f t="shared" si="1"/>
        <v>309760</v>
      </c>
      <c r="Q7">
        <v>0</v>
      </c>
      <c r="R7">
        <f t="shared" si="2"/>
        <v>309760</v>
      </c>
      <c r="S7" t="s">
        <v>2262</v>
      </c>
      <c r="T7" t="s">
        <v>2265</v>
      </c>
      <c r="U7" s="1" t="str">
        <f t="shared" si="3"/>
        <v>Not Delivered</v>
      </c>
      <c r="V7">
        <f t="shared" si="4"/>
        <v>46464</v>
      </c>
    </row>
    <row r="8" spans="1:22" x14ac:dyDescent="0.3">
      <c r="A8" t="s">
        <v>26</v>
      </c>
      <c r="B8">
        <v>2024</v>
      </c>
      <c r="C8" s="1">
        <v>45391</v>
      </c>
      <c r="D8" t="s">
        <v>824</v>
      </c>
      <c r="E8" t="s">
        <v>836</v>
      </c>
      <c r="F8" t="s">
        <v>1373</v>
      </c>
      <c r="G8" t="s">
        <v>2167</v>
      </c>
      <c r="H8" t="s">
        <v>2174</v>
      </c>
      <c r="I8" t="s">
        <v>2205</v>
      </c>
      <c r="J8" t="s">
        <v>2210</v>
      </c>
      <c r="K8" t="s">
        <v>2219</v>
      </c>
      <c r="L8" t="s">
        <v>2243</v>
      </c>
      <c r="M8" t="s">
        <v>2251</v>
      </c>
      <c r="N8">
        <v>1</v>
      </c>
      <c r="O8">
        <f t="shared" si="0"/>
        <v>77440</v>
      </c>
      <c r="P8">
        <f t="shared" si="1"/>
        <v>77440</v>
      </c>
      <c r="Q8">
        <v>0</v>
      </c>
      <c r="R8">
        <f t="shared" si="2"/>
        <v>77440</v>
      </c>
      <c r="S8" t="s">
        <v>2263</v>
      </c>
      <c r="T8" t="s">
        <v>2266</v>
      </c>
      <c r="U8" s="1">
        <f t="shared" si="3"/>
        <v>45398</v>
      </c>
      <c r="V8">
        <f t="shared" si="4"/>
        <v>11616</v>
      </c>
    </row>
    <row r="9" spans="1:22" x14ac:dyDescent="0.3">
      <c r="A9" t="s">
        <v>27</v>
      </c>
      <c r="B9">
        <v>2024</v>
      </c>
      <c r="C9" s="1">
        <v>45544</v>
      </c>
      <c r="D9" t="s">
        <v>821</v>
      </c>
      <c r="E9" t="s">
        <v>837</v>
      </c>
      <c r="F9" t="s">
        <v>1374</v>
      </c>
      <c r="G9" t="s">
        <v>2167</v>
      </c>
      <c r="H9" t="s">
        <v>2175</v>
      </c>
      <c r="I9" t="s">
        <v>2203</v>
      </c>
      <c r="J9" t="s">
        <v>2211</v>
      </c>
      <c r="K9" t="s">
        <v>2220</v>
      </c>
      <c r="L9" t="s">
        <v>2245</v>
      </c>
      <c r="M9" t="s">
        <v>2251</v>
      </c>
      <c r="N9">
        <v>1</v>
      </c>
      <c r="O9">
        <f t="shared" si="0"/>
        <v>77440</v>
      </c>
      <c r="P9">
        <f t="shared" si="1"/>
        <v>77440</v>
      </c>
      <c r="Q9">
        <v>20</v>
      </c>
      <c r="R9">
        <f t="shared" si="2"/>
        <v>61952</v>
      </c>
      <c r="S9" t="s">
        <v>2261</v>
      </c>
      <c r="T9" t="s">
        <v>2266</v>
      </c>
      <c r="U9" s="1">
        <f t="shared" si="3"/>
        <v>45551</v>
      </c>
      <c r="V9">
        <f t="shared" si="4"/>
        <v>11616</v>
      </c>
    </row>
    <row r="10" spans="1:22" x14ac:dyDescent="0.3">
      <c r="A10" t="s">
        <v>28</v>
      </c>
      <c r="B10">
        <v>2025</v>
      </c>
      <c r="C10" s="1">
        <v>45779</v>
      </c>
      <c r="D10" t="s">
        <v>825</v>
      </c>
      <c r="E10" t="s">
        <v>838</v>
      </c>
      <c r="F10" t="s">
        <v>1375</v>
      </c>
      <c r="G10" t="s">
        <v>2167</v>
      </c>
      <c r="H10" t="s">
        <v>2169</v>
      </c>
      <c r="I10" t="s">
        <v>2201</v>
      </c>
      <c r="J10" t="s">
        <v>2212</v>
      </c>
      <c r="K10" t="s">
        <v>2221</v>
      </c>
      <c r="L10" t="s">
        <v>2246</v>
      </c>
      <c r="M10" t="s">
        <v>2249</v>
      </c>
      <c r="N10">
        <v>1</v>
      </c>
      <c r="O10">
        <f t="shared" si="0"/>
        <v>77440</v>
      </c>
      <c r="P10">
        <f t="shared" si="1"/>
        <v>77440</v>
      </c>
      <c r="Q10">
        <v>10</v>
      </c>
      <c r="R10">
        <f t="shared" si="2"/>
        <v>69696</v>
      </c>
      <c r="S10" t="s">
        <v>2263</v>
      </c>
      <c r="T10" t="s">
        <v>2266</v>
      </c>
      <c r="U10" s="1">
        <f t="shared" si="3"/>
        <v>45786</v>
      </c>
      <c r="V10">
        <f t="shared" si="4"/>
        <v>11616</v>
      </c>
    </row>
    <row r="11" spans="1:22" x14ac:dyDescent="0.3">
      <c r="A11" t="s">
        <v>29</v>
      </c>
      <c r="B11">
        <v>2024</v>
      </c>
      <c r="C11" s="1">
        <v>45406</v>
      </c>
      <c r="D11" t="s">
        <v>821</v>
      </c>
      <c r="E11" t="s">
        <v>839</v>
      </c>
      <c r="F11" t="s">
        <v>1376</v>
      </c>
      <c r="G11" t="s">
        <v>2167</v>
      </c>
      <c r="H11" t="s">
        <v>2173</v>
      </c>
      <c r="I11" t="s">
        <v>2204</v>
      </c>
      <c r="J11" t="s">
        <v>2212</v>
      </c>
      <c r="K11" t="s">
        <v>2222</v>
      </c>
      <c r="L11" t="s">
        <v>2247</v>
      </c>
      <c r="M11" t="s">
        <v>2250</v>
      </c>
      <c r="N11">
        <v>2</v>
      </c>
      <c r="O11">
        <f t="shared" si="0"/>
        <v>77440</v>
      </c>
      <c r="P11">
        <f t="shared" si="1"/>
        <v>154880</v>
      </c>
      <c r="Q11">
        <v>10</v>
      </c>
      <c r="R11">
        <f t="shared" si="2"/>
        <v>139392</v>
      </c>
      <c r="S11" t="s">
        <v>2261</v>
      </c>
      <c r="T11" t="s">
        <v>2265</v>
      </c>
      <c r="U11" s="1" t="str">
        <f t="shared" si="3"/>
        <v>Not Delivered</v>
      </c>
      <c r="V11">
        <f t="shared" si="4"/>
        <v>23232</v>
      </c>
    </row>
    <row r="12" spans="1:22" x14ac:dyDescent="0.3">
      <c r="A12" t="s">
        <v>30</v>
      </c>
      <c r="B12">
        <v>2025</v>
      </c>
      <c r="C12" s="1">
        <v>45825</v>
      </c>
      <c r="D12" t="s">
        <v>826</v>
      </c>
      <c r="E12" t="s">
        <v>840</v>
      </c>
      <c r="F12" t="s">
        <v>1377</v>
      </c>
      <c r="G12" t="s">
        <v>2167</v>
      </c>
      <c r="H12" t="s">
        <v>2176</v>
      </c>
      <c r="I12" t="s">
        <v>2205</v>
      </c>
      <c r="J12" t="s">
        <v>2210</v>
      </c>
      <c r="K12" t="s">
        <v>2223</v>
      </c>
      <c r="L12" t="s">
        <v>2245</v>
      </c>
      <c r="M12" t="s">
        <v>2252</v>
      </c>
      <c r="N12">
        <v>2</v>
      </c>
      <c r="O12">
        <f t="shared" si="0"/>
        <v>77440</v>
      </c>
      <c r="P12">
        <f t="shared" si="1"/>
        <v>154880</v>
      </c>
      <c r="Q12">
        <v>10</v>
      </c>
      <c r="R12">
        <f t="shared" si="2"/>
        <v>139392</v>
      </c>
      <c r="S12" t="s">
        <v>2261</v>
      </c>
      <c r="T12" t="s">
        <v>2266</v>
      </c>
      <c r="U12" s="1">
        <f t="shared" si="3"/>
        <v>45832</v>
      </c>
      <c r="V12">
        <f t="shared" si="4"/>
        <v>23232</v>
      </c>
    </row>
    <row r="13" spans="1:22" x14ac:dyDescent="0.3">
      <c r="A13" t="s">
        <v>31</v>
      </c>
      <c r="B13">
        <v>2024</v>
      </c>
      <c r="C13" s="1">
        <v>45359</v>
      </c>
      <c r="D13" t="s">
        <v>825</v>
      </c>
      <c r="E13" t="s">
        <v>841</v>
      </c>
      <c r="F13" t="s">
        <v>1378</v>
      </c>
      <c r="G13" t="s">
        <v>2167</v>
      </c>
      <c r="H13" t="s">
        <v>2177</v>
      </c>
      <c r="I13" t="s">
        <v>2206</v>
      </c>
      <c r="J13" t="s">
        <v>2210</v>
      </c>
      <c r="K13" t="s">
        <v>2224</v>
      </c>
      <c r="L13" t="s">
        <v>2245</v>
      </c>
      <c r="M13" t="s">
        <v>2253</v>
      </c>
      <c r="N13">
        <v>1</v>
      </c>
      <c r="O13">
        <f t="shared" si="0"/>
        <v>77440</v>
      </c>
      <c r="P13">
        <f t="shared" si="1"/>
        <v>77440</v>
      </c>
      <c r="Q13">
        <v>20</v>
      </c>
      <c r="R13">
        <f t="shared" si="2"/>
        <v>61952</v>
      </c>
      <c r="S13" t="s">
        <v>2260</v>
      </c>
      <c r="T13" t="s">
        <v>2264</v>
      </c>
      <c r="U13" s="1" t="str">
        <f t="shared" si="3"/>
        <v>Not Delivered</v>
      </c>
      <c r="V13">
        <f t="shared" si="4"/>
        <v>11616</v>
      </c>
    </row>
    <row r="14" spans="1:22" x14ac:dyDescent="0.3">
      <c r="A14" t="s">
        <v>32</v>
      </c>
      <c r="B14">
        <v>2025</v>
      </c>
      <c r="C14" s="1">
        <v>45857</v>
      </c>
      <c r="D14" t="s">
        <v>827</v>
      </c>
      <c r="E14" t="s">
        <v>842</v>
      </c>
      <c r="F14" t="s">
        <v>1379</v>
      </c>
      <c r="G14" t="s">
        <v>2167</v>
      </c>
      <c r="H14" t="s">
        <v>2174</v>
      </c>
      <c r="I14" t="s">
        <v>2205</v>
      </c>
      <c r="J14" t="s">
        <v>2212</v>
      </c>
      <c r="K14" t="s">
        <v>2225</v>
      </c>
      <c r="L14" t="s">
        <v>2243</v>
      </c>
      <c r="M14" t="s">
        <v>2254</v>
      </c>
      <c r="N14">
        <v>1</v>
      </c>
      <c r="O14">
        <f t="shared" si="0"/>
        <v>77440</v>
      </c>
      <c r="P14">
        <f t="shared" si="1"/>
        <v>77440</v>
      </c>
      <c r="Q14">
        <v>20</v>
      </c>
      <c r="R14">
        <f t="shared" si="2"/>
        <v>61952</v>
      </c>
      <c r="S14" t="s">
        <v>2261</v>
      </c>
      <c r="T14" t="s">
        <v>2266</v>
      </c>
      <c r="U14" s="1">
        <f t="shared" si="3"/>
        <v>45864</v>
      </c>
      <c r="V14">
        <f t="shared" si="4"/>
        <v>11616</v>
      </c>
    </row>
    <row r="15" spans="1:22" x14ac:dyDescent="0.3">
      <c r="A15" t="s">
        <v>33</v>
      </c>
      <c r="B15">
        <v>2025</v>
      </c>
      <c r="C15" s="1">
        <v>45682</v>
      </c>
      <c r="D15" t="s">
        <v>826</v>
      </c>
      <c r="E15" t="s">
        <v>843</v>
      </c>
      <c r="F15" t="s">
        <v>1380</v>
      </c>
      <c r="G15" t="s">
        <v>2167</v>
      </c>
      <c r="H15" t="s">
        <v>2178</v>
      </c>
      <c r="I15" t="s">
        <v>2207</v>
      </c>
      <c r="J15" t="s">
        <v>2213</v>
      </c>
      <c r="K15" t="s">
        <v>2226</v>
      </c>
      <c r="L15" t="s">
        <v>2244</v>
      </c>
      <c r="M15" t="s">
        <v>2251</v>
      </c>
      <c r="N15">
        <v>3</v>
      </c>
      <c r="O15">
        <f t="shared" si="0"/>
        <v>77440</v>
      </c>
      <c r="P15">
        <f t="shared" si="1"/>
        <v>232320</v>
      </c>
      <c r="Q15">
        <v>0</v>
      </c>
      <c r="R15">
        <f t="shared" si="2"/>
        <v>232320</v>
      </c>
      <c r="S15" t="s">
        <v>2261</v>
      </c>
      <c r="T15" t="s">
        <v>2265</v>
      </c>
      <c r="U15" s="1" t="str">
        <f t="shared" si="3"/>
        <v>Not Delivered</v>
      </c>
      <c r="V15">
        <f t="shared" si="4"/>
        <v>34848</v>
      </c>
    </row>
    <row r="16" spans="1:22" x14ac:dyDescent="0.3">
      <c r="A16" t="s">
        <v>34</v>
      </c>
      <c r="B16">
        <v>2024</v>
      </c>
      <c r="C16" s="1">
        <v>45466</v>
      </c>
      <c r="D16" t="s">
        <v>823</v>
      </c>
      <c r="E16" t="s">
        <v>844</v>
      </c>
      <c r="F16" t="s">
        <v>1381</v>
      </c>
      <c r="G16" t="s">
        <v>2167</v>
      </c>
      <c r="H16" t="s">
        <v>2179</v>
      </c>
      <c r="I16" t="s">
        <v>2206</v>
      </c>
      <c r="J16" t="s">
        <v>2213</v>
      </c>
      <c r="K16" t="s">
        <v>2223</v>
      </c>
      <c r="L16" t="s">
        <v>2245</v>
      </c>
      <c r="M16" t="s">
        <v>2255</v>
      </c>
      <c r="N16">
        <v>5</v>
      </c>
      <c r="O16">
        <f t="shared" si="0"/>
        <v>77440</v>
      </c>
      <c r="P16">
        <f t="shared" si="1"/>
        <v>387200</v>
      </c>
      <c r="Q16">
        <v>0</v>
      </c>
      <c r="R16">
        <f t="shared" si="2"/>
        <v>387200</v>
      </c>
      <c r="S16" t="s">
        <v>2260</v>
      </c>
      <c r="T16" t="s">
        <v>2264</v>
      </c>
      <c r="U16" s="1" t="str">
        <f t="shared" si="3"/>
        <v>Not Delivered</v>
      </c>
      <c r="V16">
        <f t="shared" si="4"/>
        <v>58080</v>
      </c>
    </row>
    <row r="17" spans="1:22" x14ac:dyDescent="0.3">
      <c r="A17" t="s">
        <v>35</v>
      </c>
      <c r="B17">
        <v>2024</v>
      </c>
      <c r="C17" s="1">
        <v>45348</v>
      </c>
      <c r="D17" t="s">
        <v>824</v>
      </c>
      <c r="E17" t="s">
        <v>845</v>
      </c>
      <c r="F17" t="s">
        <v>1382</v>
      </c>
      <c r="G17" t="s">
        <v>2167</v>
      </c>
      <c r="H17" t="s">
        <v>2175</v>
      </c>
      <c r="I17" t="s">
        <v>2203</v>
      </c>
      <c r="J17" t="s">
        <v>2213</v>
      </c>
      <c r="K17" t="s">
        <v>2219</v>
      </c>
      <c r="L17" t="s">
        <v>2243</v>
      </c>
      <c r="M17" t="s">
        <v>2255</v>
      </c>
      <c r="N17">
        <v>3</v>
      </c>
      <c r="O17">
        <f t="shared" si="0"/>
        <v>77440</v>
      </c>
      <c r="P17">
        <f t="shared" si="1"/>
        <v>232320</v>
      </c>
      <c r="Q17">
        <v>5</v>
      </c>
      <c r="R17">
        <f t="shared" si="2"/>
        <v>220704</v>
      </c>
      <c r="S17" t="s">
        <v>2260</v>
      </c>
      <c r="T17" t="s">
        <v>2264</v>
      </c>
      <c r="U17" s="1" t="str">
        <f t="shared" si="3"/>
        <v>Not Delivered</v>
      </c>
      <c r="V17">
        <f t="shared" si="4"/>
        <v>34848</v>
      </c>
    </row>
    <row r="18" spans="1:22" x14ac:dyDescent="0.3">
      <c r="A18" t="s">
        <v>36</v>
      </c>
      <c r="B18">
        <v>2025</v>
      </c>
      <c r="C18" s="1">
        <v>45828</v>
      </c>
      <c r="D18" t="s">
        <v>822</v>
      </c>
      <c r="E18" t="s">
        <v>846</v>
      </c>
      <c r="F18" t="s">
        <v>1383</v>
      </c>
      <c r="G18" t="s">
        <v>2167</v>
      </c>
      <c r="H18" t="s">
        <v>2180</v>
      </c>
      <c r="I18" t="s">
        <v>2208</v>
      </c>
      <c r="J18" t="s">
        <v>2213</v>
      </c>
      <c r="K18" t="s">
        <v>2227</v>
      </c>
      <c r="L18" t="s">
        <v>2247</v>
      </c>
      <c r="M18" t="s">
        <v>2254</v>
      </c>
      <c r="N18">
        <v>1</v>
      </c>
      <c r="O18">
        <f t="shared" si="0"/>
        <v>77440</v>
      </c>
      <c r="P18">
        <f t="shared" si="1"/>
        <v>77440</v>
      </c>
      <c r="Q18">
        <v>20</v>
      </c>
      <c r="R18">
        <f t="shared" si="2"/>
        <v>61952</v>
      </c>
      <c r="S18" t="s">
        <v>2260</v>
      </c>
      <c r="T18" t="s">
        <v>2265</v>
      </c>
      <c r="U18" s="1" t="str">
        <f t="shared" si="3"/>
        <v>Not Delivered</v>
      </c>
      <c r="V18">
        <f t="shared" si="4"/>
        <v>11616</v>
      </c>
    </row>
    <row r="19" spans="1:22" x14ac:dyDescent="0.3">
      <c r="A19" t="s">
        <v>37</v>
      </c>
      <c r="B19">
        <v>2025</v>
      </c>
      <c r="C19" s="1">
        <v>45767</v>
      </c>
      <c r="D19" t="s">
        <v>827</v>
      </c>
      <c r="E19" t="s">
        <v>847</v>
      </c>
      <c r="F19" t="s">
        <v>1384</v>
      </c>
      <c r="G19" t="s">
        <v>2167</v>
      </c>
      <c r="H19" t="s">
        <v>2170</v>
      </c>
      <c r="I19" t="s">
        <v>2201</v>
      </c>
      <c r="J19" t="s">
        <v>2213</v>
      </c>
      <c r="K19" t="s">
        <v>2228</v>
      </c>
      <c r="L19" t="s">
        <v>2243</v>
      </c>
      <c r="M19" t="s">
        <v>2251</v>
      </c>
      <c r="N19">
        <v>1</v>
      </c>
      <c r="O19">
        <f t="shared" si="0"/>
        <v>77440</v>
      </c>
      <c r="P19">
        <f t="shared" si="1"/>
        <v>77440</v>
      </c>
      <c r="Q19">
        <v>20</v>
      </c>
      <c r="R19">
        <f t="shared" si="2"/>
        <v>61952</v>
      </c>
      <c r="S19" t="s">
        <v>2260</v>
      </c>
      <c r="T19" t="s">
        <v>2266</v>
      </c>
      <c r="U19" s="1">
        <f t="shared" si="3"/>
        <v>45774</v>
      </c>
      <c r="V19">
        <f t="shared" si="4"/>
        <v>11616</v>
      </c>
    </row>
    <row r="20" spans="1:22" x14ac:dyDescent="0.3">
      <c r="A20" t="s">
        <v>38</v>
      </c>
      <c r="B20">
        <v>2024</v>
      </c>
      <c r="C20" s="1">
        <v>45454</v>
      </c>
      <c r="D20" t="s">
        <v>826</v>
      </c>
      <c r="E20" t="s">
        <v>848</v>
      </c>
      <c r="F20" t="s">
        <v>1385</v>
      </c>
      <c r="G20" t="s">
        <v>2167</v>
      </c>
      <c r="H20" t="s">
        <v>2181</v>
      </c>
      <c r="I20" t="s">
        <v>2209</v>
      </c>
      <c r="J20" t="s">
        <v>2210</v>
      </c>
      <c r="K20" t="s">
        <v>2222</v>
      </c>
      <c r="L20" t="s">
        <v>2247</v>
      </c>
      <c r="M20" t="s">
        <v>2256</v>
      </c>
      <c r="N20">
        <v>1</v>
      </c>
      <c r="O20">
        <f t="shared" si="0"/>
        <v>77440</v>
      </c>
      <c r="P20">
        <f t="shared" si="1"/>
        <v>77440</v>
      </c>
      <c r="Q20">
        <v>15</v>
      </c>
      <c r="R20">
        <f t="shared" si="2"/>
        <v>65824</v>
      </c>
      <c r="S20" t="s">
        <v>2261</v>
      </c>
      <c r="T20" t="s">
        <v>2264</v>
      </c>
      <c r="U20" s="1" t="str">
        <f t="shared" si="3"/>
        <v>Not Delivered</v>
      </c>
      <c r="V20">
        <f t="shared" si="4"/>
        <v>11616</v>
      </c>
    </row>
    <row r="21" spans="1:22" x14ac:dyDescent="0.3">
      <c r="A21" t="s">
        <v>39</v>
      </c>
      <c r="B21">
        <v>2024</v>
      </c>
      <c r="C21" s="1">
        <v>45631</v>
      </c>
      <c r="D21" t="s">
        <v>828</v>
      </c>
      <c r="E21" t="s">
        <v>849</v>
      </c>
      <c r="F21" t="s">
        <v>1386</v>
      </c>
      <c r="G21" t="s">
        <v>2167</v>
      </c>
      <c r="H21" t="s">
        <v>2174</v>
      </c>
      <c r="I21" t="s">
        <v>2205</v>
      </c>
      <c r="J21" t="s">
        <v>2212</v>
      </c>
      <c r="K21" t="s">
        <v>2220</v>
      </c>
      <c r="L21" t="s">
        <v>2245</v>
      </c>
      <c r="M21" t="s">
        <v>2257</v>
      </c>
      <c r="N21">
        <v>5</v>
      </c>
      <c r="O21">
        <f t="shared" si="0"/>
        <v>77440</v>
      </c>
      <c r="P21">
        <f t="shared" si="1"/>
        <v>387200</v>
      </c>
      <c r="Q21">
        <v>0</v>
      </c>
      <c r="R21">
        <f t="shared" si="2"/>
        <v>387200</v>
      </c>
      <c r="S21" t="s">
        <v>2261</v>
      </c>
      <c r="T21" t="s">
        <v>2266</v>
      </c>
      <c r="U21" s="1">
        <f t="shared" si="3"/>
        <v>45638</v>
      </c>
      <c r="V21">
        <f t="shared" si="4"/>
        <v>58080</v>
      </c>
    </row>
    <row r="22" spans="1:22" x14ac:dyDescent="0.3">
      <c r="A22" t="s">
        <v>40</v>
      </c>
      <c r="B22">
        <v>2024</v>
      </c>
      <c r="C22" s="1">
        <v>45292</v>
      </c>
      <c r="D22" t="s">
        <v>824</v>
      </c>
      <c r="E22" t="s">
        <v>850</v>
      </c>
      <c r="F22" t="s">
        <v>1387</v>
      </c>
      <c r="G22" t="s">
        <v>2167</v>
      </c>
      <c r="H22" t="s">
        <v>2173</v>
      </c>
      <c r="I22" t="s">
        <v>2204</v>
      </c>
      <c r="J22" t="s">
        <v>2212</v>
      </c>
      <c r="K22" t="s">
        <v>2229</v>
      </c>
      <c r="L22" t="s">
        <v>2246</v>
      </c>
      <c r="M22" t="s">
        <v>2258</v>
      </c>
      <c r="N22">
        <v>5</v>
      </c>
      <c r="O22">
        <f t="shared" si="0"/>
        <v>77440</v>
      </c>
      <c r="P22">
        <f t="shared" si="1"/>
        <v>387200</v>
      </c>
      <c r="Q22">
        <v>15</v>
      </c>
      <c r="R22">
        <f t="shared" si="2"/>
        <v>329120</v>
      </c>
      <c r="S22" t="s">
        <v>2261</v>
      </c>
      <c r="T22" t="s">
        <v>2266</v>
      </c>
      <c r="U22" s="1">
        <f t="shared" si="3"/>
        <v>45299</v>
      </c>
      <c r="V22">
        <f t="shared" si="4"/>
        <v>58080</v>
      </c>
    </row>
    <row r="23" spans="1:22" x14ac:dyDescent="0.3">
      <c r="A23" t="s">
        <v>41</v>
      </c>
      <c r="B23">
        <v>2024</v>
      </c>
      <c r="C23" s="1">
        <v>45397</v>
      </c>
      <c r="D23" t="s">
        <v>825</v>
      </c>
      <c r="E23" t="s">
        <v>851</v>
      </c>
      <c r="F23" t="s">
        <v>1388</v>
      </c>
      <c r="G23" t="s">
        <v>2167</v>
      </c>
      <c r="H23" t="s">
        <v>2175</v>
      </c>
      <c r="I23" t="s">
        <v>2203</v>
      </c>
      <c r="J23" t="s">
        <v>2212</v>
      </c>
      <c r="K23" t="s">
        <v>2228</v>
      </c>
      <c r="L23" t="s">
        <v>2243</v>
      </c>
      <c r="M23" t="s">
        <v>2259</v>
      </c>
      <c r="N23">
        <v>3</v>
      </c>
      <c r="O23">
        <f t="shared" si="0"/>
        <v>77440</v>
      </c>
      <c r="P23">
        <f t="shared" si="1"/>
        <v>232320</v>
      </c>
      <c r="Q23">
        <v>10</v>
      </c>
      <c r="R23">
        <f t="shared" si="2"/>
        <v>209088</v>
      </c>
      <c r="S23" t="s">
        <v>2262</v>
      </c>
      <c r="T23" t="s">
        <v>2265</v>
      </c>
      <c r="U23" s="1" t="str">
        <f t="shared" si="3"/>
        <v>Not Delivered</v>
      </c>
      <c r="V23">
        <f t="shared" si="4"/>
        <v>34848</v>
      </c>
    </row>
    <row r="24" spans="1:22" x14ac:dyDescent="0.3">
      <c r="A24" t="s">
        <v>42</v>
      </c>
      <c r="B24">
        <v>2024</v>
      </c>
      <c r="C24" s="1">
        <v>45355</v>
      </c>
      <c r="D24" t="s">
        <v>829</v>
      </c>
      <c r="E24" t="s">
        <v>852</v>
      </c>
      <c r="F24" t="s">
        <v>1389</v>
      </c>
      <c r="G24" t="s">
        <v>2167</v>
      </c>
      <c r="H24" t="s">
        <v>2179</v>
      </c>
      <c r="I24" t="s">
        <v>2206</v>
      </c>
      <c r="J24" t="s">
        <v>2211</v>
      </c>
      <c r="K24" t="s">
        <v>2230</v>
      </c>
      <c r="L24" t="s">
        <v>2247</v>
      </c>
      <c r="M24" t="s">
        <v>2249</v>
      </c>
      <c r="N24">
        <v>4</v>
      </c>
      <c r="O24">
        <f t="shared" si="0"/>
        <v>77440</v>
      </c>
      <c r="P24">
        <f t="shared" si="1"/>
        <v>309760</v>
      </c>
      <c r="Q24">
        <v>5</v>
      </c>
      <c r="R24">
        <f t="shared" si="2"/>
        <v>294272</v>
      </c>
      <c r="S24" t="s">
        <v>2263</v>
      </c>
      <c r="T24" t="s">
        <v>2266</v>
      </c>
      <c r="U24" s="1">
        <f t="shared" si="3"/>
        <v>45362</v>
      </c>
      <c r="V24">
        <f t="shared" si="4"/>
        <v>46464</v>
      </c>
    </row>
    <row r="25" spans="1:22" x14ac:dyDescent="0.3">
      <c r="A25" t="s">
        <v>43</v>
      </c>
      <c r="B25">
        <v>2024</v>
      </c>
      <c r="C25" s="1">
        <v>45315</v>
      </c>
      <c r="D25" t="s">
        <v>825</v>
      </c>
      <c r="E25" t="s">
        <v>853</v>
      </c>
      <c r="F25" t="s">
        <v>1390</v>
      </c>
      <c r="G25" t="s">
        <v>2167</v>
      </c>
      <c r="H25" t="s">
        <v>2172</v>
      </c>
      <c r="I25" t="s">
        <v>2203</v>
      </c>
      <c r="J25" t="s">
        <v>2210</v>
      </c>
      <c r="K25" t="s">
        <v>2231</v>
      </c>
      <c r="L25" t="s">
        <v>2244</v>
      </c>
      <c r="M25" t="s">
        <v>2259</v>
      </c>
      <c r="N25">
        <v>1</v>
      </c>
      <c r="O25">
        <f t="shared" si="0"/>
        <v>77440</v>
      </c>
      <c r="P25">
        <f t="shared" si="1"/>
        <v>77440</v>
      </c>
      <c r="Q25">
        <v>0</v>
      </c>
      <c r="R25">
        <f t="shared" si="2"/>
        <v>77440</v>
      </c>
      <c r="S25" t="s">
        <v>2262</v>
      </c>
      <c r="T25" t="s">
        <v>2266</v>
      </c>
      <c r="U25" s="1">
        <f t="shared" si="3"/>
        <v>45322</v>
      </c>
      <c r="V25">
        <f t="shared" si="4"/>
        <v>11616</v>
      </c>
    </row>
    <row r="26" spans="1:22" x14ac:dyDescent="0.3">
      <c r="A26" t="s">
        <v>44</v>
      </c>
      <c r="B26">
        <v>2025</v>
      </c>
      <c r="C26" s="1">
        <v>45842</v>
      </c>
      <c r="D26" t="s">
        <v>825</v>
      </c>
      <c r="E26" t="s">
        <v>854</v>
      </c>
      <c r="F26" t="s">
        <v>1391</v>
      </c>
      <c r="G26" t="s">
        <v>2167</v>
      </c>
      <c r="H26" t="s">
        <v>2182</v>
      </c>
      <c r="I26" t="s">
        <v>2206</v>
      </c>
      <c r="J26" t="s">
        <v>2213</v>
      </c>
      <c r="K26" t="s">
        <v>2214</v>
      </c>
      <c r="L26" t="s">
        <v>2242</v>
      </c>
      <c r="M26" t="s">
        <v>2259</v>
      </c>
      <c r="N26">
        <v>2</v>
      </c>
      <c r="O26">
        <f t="shared" si="0"/>
        <v>77440</v>
      </c>
      <c r="P26">
        <f t="shared" si="1"/>
        <v>154880</v>
      </c>
      <c r="Q26">
        <v>5</v>
      </c>
      <c r="R26">
        <f t="shared" si="2"/>
        <v>147136</v>
      </c>
      <c r="S26" t="s">
        <v>2262</v>
      </c>
      <c r="T26" t="s">
        <v>2265</v>
      </c>
      <c r="U26" s="1" t="str">
        <f t="shared" si="3"/>
        <v>Not Delivered</v>
      </c>
      <c r="V26">
        <f t="shared" si="4"/>
        <v>23232</v>
      </c>
    </row>
    <row r="27" spans="1:22" x14ac:dyDescent="0.3">
      <c r="A27" t="s">
        <v>45</v>
      </c>
      <c r="B27">
        <v>2024</v>
      </c>
      <c r="C27" s="1">
        <v>45618</v>
      </c>
      <c r="D27" t="s">
        <v>828</v>
      </c>
      <c r="E27" t="s">
        <v>855</v>
      </c>
      <c r="F27" t="s">
        <v>1392</v>
      </c>
      <c r="G27" t="s">
        <v>2167</v>
      </c>
      <c r="H27" t="s">
        <v>2183</v>
      </c>
      <c r="I27" t="s">
        <v>2204</v>
      </c>
      <c r="J27" t="s">
        <v>2211</v>
      </c>
      <c r="K27" t="s">
        <v>2218</v>
      </c>
      <c r="L27" t="s">
        <v>2242</v>
      </c>
      <c r="M27" t="s">
        <v>2256</v>
      </c>
      <c r="N27">
        <v>4</v>
      </c>
      <c r="O27">
        <f t="shared" si="0"/>
        <v>77440</v>
      </c>
      <c r="P27">
        <f t="shared" si="1"/>
        <v>309760</v>
      </c>
      <c r="Q27">
        <v>5</v>
      </c>
      <c r="R27">
        <f t="shared" si="2"/>
        <v>294272</v>
      </c>
      <c r="S27" t="s">
        <v>2263</v>
      </c>
      <c r="T27" t="s">
        <v>2264</v>
      </c>
      <c r="U27" s="1" t="str">
        <f t="shared" si="3"/>
        <v>Not Delivered</v>
      </c>
      <c r="V27">
        <f t="shared" si="4"/>
        <v>46464</v>
      </c>
    </row>
    <row r="28" spans="1:22" x14ac:dyDescent="0.3">
      <c r="A28" t="s">
        <v>46</v>
      </c>
      <c r="B28">
        <v>2024</v>
      </c>
      <c r="C28" s="1">
        <v>45341</v>
      </c>
      <c r="D28" t="s">
        <v>820</v>
      </c>
      <c r="E28" t="s">
        <v>856</v>
      </c>
      <c r="F28" t="s">
        <v>1393</v>
      </c>
      <c r="G28" t="s">
        <v>2167</v>
      </c>
      <c r="H28" t="s">
        <v>2184</v>
      </c>
      <c r="I28" t="s">
        <v>2202</v>
      </c>
      <c r="J28" t="s">
        <v>2213</v>
      </c>
      <c r="K28" t="s">
        <v>2214</v>
      </c>
      <c r="L28" t="s">
        <v>2242</v>
      </c>
      <c r="M28" t="s">
        <v>2248</v>
      </c>
      <c r="N28">
        <v>2</v>
      </c>
      <c r="O28">
        <f t="shared" si="0"/>
        <v>77440</v>
      </c>
      <c r="P28">
        <f t="shared" si="1"/>
        <v>154880</v>
      </c>
      <c r="Q28">
        <v>20</v>
      </c>
      <c r="R28">
        <f t="shared" si="2"/>
        <v>123904</v>
      </c>
      <c r="S28" t="s">
        <v>2263</v>
      </c>
      <c r="T28" t="s">
        <v>2264</v>
      </c>
      <c r="U28" s="1" t="str">
        <f t="shared" si="3"/>
        <v>Not Delivered</v>
      </c>
      <c r="V28">
        <f t="shared" si="4"/>
        <v>23232</v>
      </c>
    </row>
    <row r="29" spans="1:22" x14ac:dyDescent="0.3">
      <c r="A29" t="s">
        <v>47</v>
      </c>
      <c r="B29">
        <v>2024</v>
      </c>
      <c r="C29" s="1">
        <v>45335</v>
      </c>
      <c r="D29" t="s">
        <v>829</v>
      </c>
      <c r="E29" t="s">
        <v>857</v>
      </c>
      <c r="F29" t="s">
        <v>1394</v>
      </c>
      <c r="G29" t="s">
        <v>2167</v>
      </c>
      <c r="H29" t="s">
        <v>2175</v>
      </c>
      <c r="I29" t="s">
        <v>2203</v>
      </c>
      <c r="J29" t="s">
        <v>2210</v>
      </c>
      <c r="K29" t="s">
        <v>2232</v>
      </c>
      <c r="L29" t="s">
        <v>2243</v>
      </c>
      <c r="M29" t="s">
        <v>2255</v>
      </c>
      <c r="N29">
        <v>1</v>
      </c>
      <c r="O29">
        <f t="shared" si="0"/>
        <v>77440</v>
      </c>
      <c r="P29">
        <f t="shared" si="1"/>
        <v>77440</v>
      </c>
      <c r="Q29">
        <v>15</v>
      </c>
      <c r="R29">
        <f t="shared" si="2"/>
        <v>65824</v>
      </c>
      <c r="S29" t="s">
        <v>2263</v>
      </c>
      <c r="T29" t="s">
        <v>2265</v>
      </c>
      <c r="U29" s="1" t="str">
        <f t="shared" si="3"/>
        <v>Not Delivered</v>
      </c>
      <c r="V29">
        <f t="shared" si="4"/>
        <v>11616</v>
      </c>
    </row>
    <row r="30" spans="1:22" x14ac:dyDescent="0.3">
      <c r="A30" t="s">
        <v>48</v>
      </c>
      <c r="B30">
        <v>2024</v>
      </c>
      <c r="C30" s="1">
        <v>45364</v>
      </c>
      <c r="D30" t="s">
        <v>825</v>
      </c>
      <c r="E30" t="s">
        <v>858</v>
      </c>
      <c r="F30" t="s">
        <v>1395</v>
      </c>
      <c r="G30" t="s">
        <v>2167</v>
      </c>
      <c r="H30" t="s">
        <v>2178</v>
      </c>
      <c r="I30" t="s">
        <v>2207</v>
      </c>
      <c r="J30" t="s">
        <v>2212</v>
      </c>
      <c r="K30" t="s">
        <v>2223</v>
      </c>
      <c r="L30" t="s">
        <v>2245</v>
      </c>
      <c r="M30" t="s">
        <v>2248</v>
      </c>
      <c r="N30">
        <v>2</v>
      </c>
      <c r="O30">
        <f t="shared" si="0"/>
        <v>77440</v>
      </c>
      <c r="P30">
        <f t="shared" si="1"/>
        <v>154880</v>
      </c>
      <c r="Q30">
        <v>20</v>
      </c>
      <c r="R30">
        <f t="shared" si="2"/>
        <v>123904</v>
      </c>
      <c r="S30" t="s">
        <v>2260</v>
      </c>
      <c r="T30" t="s">
        <v>2264</v>
      </c>
      <c r="U30" s="1" t="str">
        <f t="shared" si="3"/>
        <v>Not Delivered</v>
      </c>
      <c r="V30">
        <f t="shared" si="4"/>
        <v>23232</v>
      </c>
    </row>
    <row r="31" spans="1:22" x14ac:dyDescent="0.3">
      <c r="A31" t="s">
        <v>49</v>
      </c>
      <c r="B31">
        <v>2024</v>
      </c>
      <c r="C31" s="1">
        <v>45340</v>
      </c>
      <c r="D31" t="s">
        <v>825</v>
      </c>
      <c r="E31" t="s">
        <v>859</v>
      </c>
      <c r="F31" t="s">
        <v>1396</v>
      </c>
      <c r="G31" t="s">
        <v>2167</v>
      </c>
      <c r="H31" t="s">
        <v>2175</v>
      </c>
      <c r="I31" t="s">
        <v>2203</v>
      </c>
      <c r="J31" t="s">
        <v>2212</v>
      </c>
      <c r="K31" t="s">
        <v>2222</v>
      </c>
      <c r="L31" t="s">
        <v>2247</v>
      </c>
      <c r="M31" t="s">
        <v>2255</v>
      </c>
      <c r="N31">
        <v>1</v>
      </c>
      <c r="O31">
        <f t="shared" si="0"/>
        <v>77440</v>
      </c>
      <c r="P31">
        <f t="shared" si="1"/>
        <v>77440</v>
      </c>
      <c r="Q31">
        <v>10</v>
      </c>
      <c r="R31">
        <f t="shared" si="2"/>
        <v>69696</v>
      </c>
      <c r="S31" t="s">
        <v>2263</v>
      </c>
      <c r="T31" t="s">
        <v>2265</v>
      </c>
      <c r="U31" s="1" t="str">
        <f t="shared" si="3"/>
        <v>Not Delivered</v>
      </c>
      <c r="V31">
        <f t="shared" si="4"/>
        <v>11616</v>
      </c>
    </row>
    <row r="32" spans="1:22" x14ac:dyDescent="0.3">
      <c r="A32" t="s">
        <v>50</v>
      </c>
      <c r="B32">
        <v>2024</v>
      </c>
      <c r="C32" s="1">
        <v>45598</v>
      </c>
      <c r="D32" t="s">
        <v>829</v>
      </c>
      <c r="E32" t="s">
        <v>860</v>
      </c>
      <c r="F32" t="s">
        <v>1397</v>
      </c>
      <c r="G32" t="s">
        <v>2167</v>
      </c>
      <c r="H32" t="s">
        <v>2178</v>
      </c>
      <c r="I32" t="s">
        <v>2207</v>
      </c>
      <c r="J32" t="s">
        <v>2213</v>
      </c>
      <c r="K32" t="s">
        <v>2225</v>
      </c>
      <c r="L32" t="s">
        <v>2243</v>
      </c>
      <c r="M32" t="s">
        <v>2254</v>
      </c>
      <c r="N32">
        <v>3</v>
      </c>
      <c r="O32">
        <f t="shared" si="0"/>
        <v>77440</v>
      </c>
      <c r="P32">
        <f t="shared" si="1"/>
        <v>232320</v>
      </c>
      <c r="Q32">
        <v>20</v>
      </c>
      <c r="R32">
        <f t="shared" si="2"/>
        <v>185856</v>
      </c>
      <c r="S32" t="s">
        <v>2260</v>
      </c>
      <c r="T32" t="s">
        <v>2266</v>
      </c>
      <c r="U32" s="1">
        <f t="shared" si="3"/>
        <v>45605</v>
      </c>
      <c r="V32">
        <f t="shared" si="4"/>
        <v>34848</v>
      </c>
    </row>
    <row r="33" spans="1:22" x14ac:dyDescent="0.3">
      <c r="A33" t="s">
        <v>51</v>
      </c>
      <c r="B33">
        <v>2024</v>
      </c>
      <c r="C33" s="1">
        <v>45439</v>
      </c>
      <c r="D33" t="s">
        <v>824</v>
      </c>
      <c r="E33" t="s">
        <v>861</v>
      </c>
      <c r="F33" t="s">
        <v>1398</v>
      </c>
      <c r="G33" t="s">
        <v>2167</v>
      </c>
      <c r="H33" t="s">
        <v>2168</v>
      </c>
      <c r="I33" t="s">
        <v>2200</v>
      </c>
      <c r="J33" t="s">
        <v>2211</v>
      </c>
      <c r="K33" t="s">
        <v>2233</v>
      </c>
      <c r="L33" t="s">
        <v>2245</v>
      </c>
      <c r="M33" t="s">
        <v>2250</v>
      </c>
      <c r="N33">
        <v>3</v>
      </c>
      <c r="O33">
        <f t="shared" si="0"/>
        <v>77440</v>
      </c>
      <c r="P33">
        <f t="shared" si="1"/>
        <v>232320</v>
      </c>
      <c r="Q33">
        <v>20</v>
      </c>
      <c r="R33">
        <f t="shared" si="2"/>
        <v>185856</v>
      </c>
      <c r="S33" t="s">
        <v>2263</v>
      </c>
      <c r="T33" t="s">
        <v>2265</v>
      </c>
      <c r="U33" s="1" t="str">
        <f t="shared" si="3"/>
        <v>Not Delivered</v>
      </c>
      <c r="V33">
        <f t="shared" si="4"/>
        <v>34848</v>
      </c>
    </row>
    <row r="34" spans="1:22" x14ac:dyDescent="0.3">
      <c r="A34" t="s">
        <v>52</v>
      </c>
      <c r="B34">
        <v>2025</v>
      </c>
      <c r="C34" s="1">
        <v>45768</v>
      </c>
      <c r="D34" t="s">
        <v>821</v>
      </c>
      <c r="E34" t="s">
        <v>862</v>
      </c>
      <c r="F34" t="s">
        <v>1399</v>
      </c>
      <c r="G34" t="s">
        <v>2167</v>
      </c>
      <c r="H34" t="s">
        <v>2177</v>
      </c>
      <c r="I34" t="s">
        <v>2206</v>
      </c>
      <c r="J34" t="s">
        <v>2211</v>
      </c>
      <c r="K34" t="s">
        <v>2230</v>
      </c>
      <c r="L34" t="s">
        <v>2247</v>
      </c>
      <c r="M34" t="s">
        <v>2253</v>
      </c>
      <c r="N34">
        <v>4</v>
      </c>
      <c r="O34">
        <f t="shared" si="0"/>
        <v>77440</v>
      </c>
      <c r="P34">
        <f t="shared" si="1"/>
        <v>309760</v>
      </c>
      <c r="Q34">
        <v>10</v>
      </c>
      <c r="R34">
        <f t="shared" si="2"/>
        <v>278784</v>
      </c>
      <c r="S34" t="s">
        <v>2261</v>
      </c>
      <c r="T34" t="s">
        <v>2264</v>
      </c>
      <c r="U34" s="1" t="str">
        <f t="shared" si="3"/>
        <v>Not Delivered</v>
      </c>
      <c r="V34">
        <f t="shared" si="4"/>
        <v>46464</v>
      </c>
    </row>
    <row r="35" spans="1:22" x14ac:dyDescent="0.3">
      <c r="A35" t="s">
        <v>53</v>
      </c>
      <c r="B35">
        <v>2024</v>
      </c>
      <c r="C35" s="1">
        <v>45332</v>
      </c>
      <c r="D35" t="s">
        <v>820</v>
      </c>
      <c r="E35" t="s">
        <v>863</v>
      </c>
      <c r="F35" t="s">
        <v>1400</v>
      </c>
      <c r="G35" t="s">
        <v>2167</v>
      </c>
      <c r="H35" t="s">
        <v>2181</v>
      </c>
      <c r="I35" t="s">
        <v>2209</v>
      </c>
      <c r="J35" t="s">
        <v>2211</v>
      </c>
      <c r="K35" t="s">
        <v>2234</v>
      </c>
      <c r="L35" t="s">
        <v>2244</v>
      </c>
      <c r="M35" t="s">
        <v>2252</v>
      </c>
      <c r="N35">
        <v>3</v>
      </c>
      <c r="O35">
        <f t="shared" si="0"/>
        <v>77440</v>
      </c>
      <c r="P35">
        <f t="shared" si="1"/>
        <v>232320</v>
      </c>
      <c r="Q35">
        <v>20</v>
      </c>
      <c r="R35">
        <f t="shared" si="2"/>
        <v>185856</v>
      </c>
      <c r="S35" t="s">
        <v>2261</v>
      </c>
      <c r="T35" t="s">
        <v>2265</v>
      </c>
      <c r="U35" s="1" t="str">
        <f t="shared" si="3"/>
        <v>Not Delivered</v>
      </c>
      <c r="V35">
        <f t="shared" si="4"/>
        <v>34848</v>
      </c>
    </row>
    <row r="36" spans="1:22" x14ac:dyDescent="0.3">
      <c r="A36" t="s">
        <v>54</v>
      </c>
      <c r="B36">
        <v>2025</v>
      </c>
      <c r="C36" s="1">
        <v>45694</v>
      </c>
      <c r="D36" t="s">
        <v>820</v>
      </c>
      <c r="E36" t="s">
        <v>864</v>
      </c>
      <c r="F36" t="s">
        <v>1401</v>
      </c>
      <c r="G36" t="s">
        <v>2167</v>
      </c>
      <c r="H36" t="s">
        <v>2170</v>
      </c>
      <c r="I36" t="s">
        <v>2201</v>
      </c>
      <c r="J36" t="s">
        <v>2211</v>
      </c>
      <c r="K36" t="s">
        <v>2235</v>
      </c>
      <c r="L36" t="s">
        <v>2247</v>
      </c>
      <c r="M36" t="s">
        <v>2251</v>
      </c>
      <c r="N36">
        <v>1</v>
      </c>
      <c r="O36">
        <f t="shared" si="0"/>
        <v>77440</v>
      </c>
      <c r="P36">
        <f t="shared" si="1"/>
        <v>77440</v>
      </c>
      <c r="Q36">
        <v>0</v>
      </c>
      <c r="R36">
        <f t="shared" si="2"/>
        <v>77440</v>
      </c>
      <c r="S36" t="s">
        <v>2260</v>
      </c>
      <c r="T36" t="s">
        <v>2266</v>
      </c>
      <c r="U36" s="1">
        <f t="shared" si="3"/>
        <v>45701</v>
      </c>
      <c r="V36">
        <f t="shared" si="4"/>
        <v>11616</v>
      </c>
    </row>
    <row r="37" spans="1:22" x14ac:dyDescent="0.3">
      <c r="A37" t="s">
        <v>55</v>
      </c>
      <c r="B37">
        <v>2024</v>
      </c>
      <c r="C37" s="1">
        <v>45390</v>
      </c>
      <c r="D37" t="s">
        <v>826</v>
      </c>
      <c r="E37" t="s">
        <v>865</v>
      </c>
      <c r="F37" t="s">
        <v>1402</v>
      </c>
      <c r="G37" t="s">
        <v>2167</v>
      </c>
      <c r="H37" t="s">
        <v>2172</v>
      </c>
      <c r="I37" t="s">
        <v>2203</v>
      </c>
      <c r="J37" t="s">
        <v>2211</v>
      </c>
      <c r="K37" t="s">
        <v>2225</v>
      </c>
      <c r="L37" t="s">
        <v>2243</v>
      </c>
      <c r="M37" t="s">
        <v>2251</v>
      </c>
      <c r="N37">
        <v>5</v>
      </c>
      <c r="O37">
        <f t="shared" si="0"/>
        <v>77440</v>
      </c>
      <c r="P37">
        <f t="shared" si="1"/>
        <v>387200</v>
      </c>
      <c r="Q37">
        <v>10</v>
      </c>
      <c r="R37">
        <f t="shared" si="2"/>
        <v>348480</v>
      </c>
      <c r="S37" t="s">
        <v>2260</v>
      </c>
      <c r="T37" t="s">
        <v>2265</v>
      </c>
      <c r="U37" s="1" t="str">
        <f t="shared" si="3"/>
        <v>Not Delivered</v>
      </c>
      <c r="V37">
        <f t="shared" si="4"/>
        <v>58080</v>
      </c>
    </row>
    <row r="38" spans="1:22" x14ac:dyDescent="0.3">
      <c r="A38" t="s">
        <v>56</v>
      </c>
      <c r="B38">
        <v>2025</v>
      </c>
      <c r="C38" s="1">
        <v>45849</v>
      </c>
      <c r="D38" t="s">
        <v>828</v>
      </c>
      <c r="E38" t="s">
        <v>866</v>
      </c>
      <c r="F38" t="s">
        <v>1403</v>
      </c>
      <c r="G38" t="s">
        <v>2167</v>
      </c>
      <c r="H38" t="s">
        <v>2185</v>
      </c>
      <c r="I38" t="s">
        <v>2204</v>
      </c>
      <c r="J38" t="s">
        <v>2210</v>
      </c>
      <c r="K38" t="s">
        <v>2236</v>
      </c>
      <c r="L38" t="s">
        <v>2242</v>
      </c>
      <c r="M38" t="s">
        <v>2258</v>
      </c>
      <c r="N38">
        <v>1</v>
      </c>
      <c r="O38">
        <f t="shared" si="0"/>
        <v>77440</v>
      </c>
      <c r="P38">
        <f t="shared" si="1"/>
        <v>77440</v>
      </c>
      <c r="Q38">
        <v>5</v>
      </c>
      <c r="R38">
        <f t="shared" si="2"/>
        <v>73568</v>
      </c>
      <c r="S38" t="s">
        <v>2261</v>
      </c>
      <c r="T38" t="s">
        <v>2266</v>
      </c>
      <c r="U38" s="1">
        <f t="shared" si="3"/>
        <v>45856</v>
      </c>
      <c r="V38">
        <f t="shared" si="4"/>
        <v>11616</v>
      </c>
    </row>
    <row r="39" spans="1:22" x14ac:dyDescent="0.3">
      <c r="A39" t="s">
        <v>57</v>
      </c>
      <c r="B39">
        <v>2024</v>
      </c>
      <c r="C39" s="1">
        <v>45510</v>
      </c>
      <c r="D39" t="s">
        <v>820</v>
      </c>
      <c r="E39" t="s">
        <v>867</v>
      </c>
      <c r="F39" t="s">
        <v>1404</v>
      </c>
      <c r="G39" t="s">
        <v>2167</v>
      </c>
      <c r="H39" t="s">
        <v>2186</v>
      </c>
      <c r="I39" t="s">
        <v>2201</v>
      </c>
      <c r="J39" t="s">
        <v>2213</v>
      </c>
      <c r="K39" t="s">
        <v>2222</v>
      </c>
      <c r="L39" t="s">
        <v>2247</v>
      </c>
      <c r="M39" t="s">
        <v>2254</v>
      </c>
      <c r="N39">
        <v>5</v>
      </c>
      <c r="O39">
        <f t="shared" si="0"/>
        <v>77440</v>
      </c>
      <c r="P39">
        <f t="shared" si="1"/>
        <v>387200</v>
      </c>
      <c r="Q39">
        <v>0</v>
      </c>
      <c r="R39">
        <f t="shared" si="2"/>
        <v>387200</v>
      </c>
      <c r="S39" t="s">
        <v>2260</v>
      </c>
      <c r="T39" t="s">
        <v>2265</v>
      </c>
      <c r="U39" s="1" t="str">
        <f t="shared" si="3"/>
        <v>Not Delivered</v>
      </c>
      <c r="V39">
        <f t="shared" si="4"/>
        <v>58080</v>
      </c>
    </row>
    <row r="40" spans="1:22" x14ac:dyDescent="0.3">
      <c r="A40" t="s">
        <v>58</v>
      </c>
      <c r="B40">
        <v>2024</v>
      </c>
      <c r="C40" s="1">
        <v>45495</v>
      </c>
      <c r="D40" t="s">
        <v>824</v>
      </c>
      <c r="E40" t="s">
        <v>868</v>
      </c>
      <c r="F40" t="s">
        <v>1405</v>
      </c>
      <c r="G40" t="s">
        <v>2167</v>
      </c>
      <c r="H40" t="s">
        <v>2184</v>
      </c>
      <c r="I40" t="s">
        <v>2202</v>
      </c>
      <c r="J40" t="s">
        <v>2212</v>
      </c>
      <c r="K40" t="s">
        <v>2237</v>
      </c>
      <c r="L40" t="s">
        <v>2246</v>
      </c>
      <c r="M40" t="s">
        <v>2259</v>
      </c>
      <c r="N40">
        <v>4</v>
      </c>
      <c r="O40">
        <f t="shared" si="0"/>
        <v>77440</v>
      </c>
      <c r="P40">
        <f t="shared" si="1"/>
        <v>309760</v>
      </c>
      <c r="Q40">
        <v>0</v>
      </c>
      <c r="R40">
        <f t="shared" si="2"/>
        <v>309760</v>
      </c>
      <c r="S40" t="s">
        <v>2260</v>
      </c>
      <c r="T40" t="s">
        <v>2266</v>
      </c>
      <c r="U40" s="1">
        <f t="shared" si="3"/>
        <v>45502</v>
      </c>
      <c r="V40">
        <f t="shared" si="4"/>
        <v>46464</v>
      </c>
    </row>
    <row r="41" spans="1:22" x14ac:dyDescent="0.3">
      <c r="A41" t="s">
        <v>59</v>
      </c>
      <c r="B41">
        <v>2024</v>
      </c>
      <c r="C41" s="1">
        <v>45537</v>
      </c>
      <c r="D41" t="s">
        <v>824</v>
      </c>
      <c r="E41" t="s">
        <v>869</v>
      </c>
      <c r="F41" t="s">
        <v>1406</v>
      </c>
      <c r="G41" t="s">
        <v>2167</v>
      </c>
      <c r="H41" t="s">
        <v>2187</v>
      </c>
      <c r="I41" t="s">
        <v>2209</v>
      </c>
      <c r="J41" t="s">
        <v>2213</v>
      </c>
      <c r="K41" t="s">
        <v>2234</v>
      </c>
      <c r="L41" t="s">
        <v>2244</v>
      </c>
      <c r="M41" t="s">
        <v>2252</v>
      </c>
      <c r="N41">
        <v>1</v>
      </c>
      <c r="O41">
        <f t="shared" si="0"/>
        <v>77440</v>
      </c>
      <c r="P41">
        <f t="shared" si="1"/>
        <v>77440</v>
      </c>
      <c r="Q41">
        <v>5</v>
      </c>
      <c r="R41">
        <f t="shared" si="2"/>
        <v>73568</v>
      </c>
      <c r="S41" t="s">
        <v>2262</v>
      </c>
      <c r="T41" t="s">
        <v>2265</v>
      </c>
      <c r="U41" s="1" t="str">
        <f t="shared" si="3"/>
        <v>Not Delivered</v>
      </c>
      <c r="V41">
        <f t="shared" si="4"/>
        <v>11616</v>
      </c>
    </row>
    <row r="42" spans="1:22" x14ac:dyDescent="0.3">
      <c r="A42" t="s">
        <v>60</v>
      </c>
      <c r="B42">
        <v>2024</v>
      </c>
      <c r="C42" s="1">
        <v>45407</v>
      </c>
      <c r="D42" t="s">
        <v>827</v>
      </c>
      <c r="E42" t="s">
        <v>866</v>
      </c>
      <c r="F42" t="s">
        <v>1407</v>
      </c>
      <c r="G42" t="s">
        <v>2167</v>
      </c>
      <c r="H42" t="s">
        <v>2188</v>
      </c>
      <c r="I42" t="s">
        <v>2208</v>
      </c>
      <c r="J42" t="s">
        <v>2210</v>
      </c>
      <c r="K42" t="s">
        <v>2231</v>
      </c>
      <c r="L42" t="s">
        <v>2244</v>
      </c>
      <c r="M42" t="s">
        <v>2253</v>
      </c>
      <c r="N42">
        <v>5</v>
      </c>
      <c r="O42">
        <f t="shared" si="0"/>
        <v>77440</v>
      </c>
      <c r="P42">
        <f t="shared" si="1"/>
        <v>387200</v>
      </c>
      <c r="Q42">
        <v>0</v>
      </c>
      <c r="R42">
        <f t="shared" si="2"/>
        <v>387200</v>
      </c>
      <c r="S42" t="s">
        <v>2263</v>
      </c>
      <c r="T42" t="s">
        <v>2265</v>
      </c>
      <c r="U42" s="1" t="str">
        <f t="shared" si="3"/>
        <v>Not Delivered</v>
      </c>
      <c r="V42">
        <f t="shared" si="4"/>
        <v>58080</v>
      </c>
    </row>
    <row r="43" spans="1:22" x14ac:dyDescent="0.3">
      <c r="A43" t="s">
        <v>61</v>
      </c>
      <c r="B43">
        <v>2024</v>
      </c>
      <c r="C43" s="1">
        <v>45484</v>
      </c>
      <c r="D43" t="s">
        <v>827</v>
      </c>
      <c r="E43" t="s">
        <v>870</v>
      </c>
      <c r="F43" t="s">
        <v>1408</v>
      </c>
      <c r="G43" t="s">
        <v>2167</v>
      </c>
      <c r="H43" t="s">
        <v>2168</v>
      </c>
      <c r="I43" t="s">
        <v>2200</v>
      </c>
      <c r="J43" t="s">
        <v>2212</v>
      </c>
      <c r="K43" t="s">
        <v>2220</v>
      </c>
      <c r="L43" t="s">
        <v>2245</v>
      </c>
      <c r="M43" t="s">
        <v>2251</v>
      </c>
      <c r="N43">
        <v>3</v>
      </c>
      <c r="O43">
        <f t="shared" si="0"/>
        <v>77440</v>
      </c>
      <c r="P43">
        <f t="shared" si="1"/>
        <v>232320</v>
      </c>
      <c r="Q43">
        <v>20</v>
      </c>
      <c r="R43">
        <f t="shared" si="2"/>
        <v>185856</v>
      </c>
      <c r="S43" t="s">
        <v>2263</v>
      </c>
      <c r="T43" t="s">
        <v>2266</v>
      </c>
      <c r="U43" s="1">
        <f t="shared" si="3"/>
        <v>45491</v>
      </c>
      <c r="V43">
        <f t="shared" si="4"/>
        <v>34848</v>
      </c>
    </row>
    <row r="44" spans="1:22" x14ac:dyDescent="0.3">
      <c r="A44" t="s">
        <v>62</v>
      </c>
      <c r="B44">
        <v>2025</v>
      </c>
      <c r="C44" s="1">
        <v>45827</v>
      </c>
      <c r="D44" t="s">
        <v>820</v>
      </c>
      <c r="E44" t="s">
        <v>871</v>
      </c>
      <c r="F44" t="s">
        <v>1409</v>
      </c>
      <c r="G44" t="s">
        <v>2167</v>
      </c>
      <c r="H44" t="s">
        <v>2189</v>
      </c>
      <c r="I44" t="s">
        <v>2202</v>
      </c>
      <c r="J44" t="s">
        <v>2213</v>
      </c>
      <c r="K44" t="s">
        <v>2217</v>
      </c>
      <c r="L44" t="s">
        <v>2244</v>
      </c>
      <c r="M44" t="s">
        <v>2256</v>
      </c>
      <c r="N44">
        <v>2</v>
      </c>
      <c r="O44">
        <f t="shared" si="0"/>
        <v>77440</v>
      </c>
      <c r="P44">
        <f t="shared" si="1"/>
        <v>154880</v>
      </c>
      <c r="Q44">
        <v>5</v>
      </c>
      <c r="R44">
        <f t="shared" si="2"/>
        <v>147136</v>
      </c>
      <c r="S44" t="s">
        <v>2263</v>
      </c>
      <c r="T44" t="s">
        <v>2266</v>
      </c>
      <c r="U44" s="1">
        <f t="shared" si="3"/>
        <v>45834</v>
      </c>
      <c r="V44">
        <f t="shared" si="4"/>
        <v>23232</v>
      </c>
    </row>
    <row r="45" spans="1:22" x14ac:dyDescent="0.3">
      <c r="A45" t="s">
        <v>63</v>
      </c>
      <c r="B45">
        <v>2025</v>
      </c>
      <c r="C45" s="1">
        <v>45811</v>
      </c>
      <c r="D45" t="s">
        <v>827</v>
      </c>
      <c r="E45" t="s">
        <v>841</v>
      </c>
      <c r="F45" t="s">
        <v>1410</v>
      </c>
      <c r="G45" t="s">
        <v>2167</v>
      </c>
      <c r="H45" t="s">
        <v>2190</v>
      </c>
      <c r="I45" t="s">
        <v>2208</v>
      </c>
      <c r="J45" t="s">
        <v>2210</v>
      </c>
      <c r="K45" t="s">
        <v>2238</v>
      </c>
      <c r="L45" t="s">
        <v>2246</v>
      </c>
      <c r="M45" t="s">
        <v>2249</v>
      </c>
      <c r="N45">
        <v>5</v>
      </c>
      <c r="O45">
        <f t="shared" si="0"/>
        <v>77440</v>
      </c>
      <c r="P45">
        <f t="shared" si="1"/>
        <v>387200</v>
      </c>
      <c r="Q45">
        <v>20</v>
      </c>
      <c r="R45">
        <f t="shared" si="2"/>
        <v>309760</v>
      </c>
      <c r="S45" t="s">
        <v>2261</v>
      </c>
      <c r="T45" t="s">
        <v>2265</v>
      </c>
      <c r="U45" s="1" t="str">
        <f t="shared" si="3"/>
        <v>Not Delivered</v>
      </c>
      <c r="V45">
        <f t="shared" si="4"/>
        <v>58080</v>
      </c>
    </row>
    <row r="46" spans="1:22" x14ac:dyDescent="0.3">
      <c r="A46" t="s">
        <v>64</v>
      </c>
      <c r="B46">
        <v>2025</v>
      </c>
      <c r="C46" s="1">
        <v>45856</v>
      </c>
      <c r="D46" t="s">
        <v>820</v>
      </c>
      <c r="E46" t="s">
        <v>872</v>
      </c>
      <c r="F46" t="s">
        <v>1411</v>
      </c>
      <c r="G46" t="s">
        <v>2167</v>
      </c>
      <c r="H46" t="s">
        <v>2191</v>
      </c>
      <c r="I46" t="s">
        <v>2203</v>
      </c>
      <c r="J46" t="s">
        <v>2212</v>
      </c>
      <c r="K46" t="s">
        <v>2216</v>
      </c>
      <c r="L46" t="s">
        <v>2242</v>
      </c>
      <c r="M46" t="s">
        <v>2259</v>
      </c>
      <c r="N46">
        <v>4</v>
      </c>
      <c r="O46">
        <f t="shared" si="0"/>
        <v>77440</v>
      </c>
      <c r="P46">
        <f t="shared" si="1"/>
        <v>309760</v>
      </c>
      <c r="Q46">
        <v>5</v>
      </c>
      <c r="R46">
        <f t="shared" si="2"/>
        <v>294272</v>
      </c>
      <c r="S46" t="s">
        <v>2260</v>
      </c>
      <c r="T46" t="s">
        <v>2264</v>
      </c>
      <c r="U46" s="1" t="str">
        <f t="shared" si="3"/>
        <v>Not Delivered</v>
      </c>
      <c r="V46">
        <f t="shared" si="4"/>
        <v>46464</v>
      </c>
    </row>
    <row r="47" spans="1:22" x14ac:dyDescent="0.3">
      <c r="A47" t="s">
        <v>65</v>
      </c>
      <c r="B47">
        <v>2024</v>
      </c>
      <c r="C47" s="1">
        <v>45516</v>
      </c>
      <c r="D47" t="s">
        <v>827</v>
      </c>
      <c r="E47" t="s">
        <v>873</v>
      </c>
      <c r="F47" t="s">
        <v>1412</v>
      </c>
      <c r="G47" t="s">
        <v>2167</v>
      </c>
      <c r="H47" t="s">
        <v>2175</v>
      </c>
      <c r="I47" t="s">
        <v>2203</v>
      </c>
      <c r="J47" t="s">
        <v>2211</v>
      </c>
      <c r="K47" t="s">
        <v>2222</v>
      </c>
      <c r="L47" t="s">
        <v>2247</v>
      </c>
      <c r="M47" t="s">
        <v>2254</v>
      </c>
      <c r="N47">
        <v>5</v>
      </c>
      <c r="O47">
        <f t="shared" si="0"/>
        <v>77440</v>
      </c>
      <c r="P47">
        <f t="shared" si="1"/>
        <v>387200</v>
      </c>
      <c r="Q47">
        <v>15</v>
      </c>
      <c r="R47">
        <f t="shared" si="2"/>
        <v>329120</v>
      </c>
      <c r="S47" t="s">
        <v>2262</v>
      </c>
      <c r="T47" t="s">
        <v>2266</v>
      </c>
      <c r="U47" s="1">
        <f t="shared" si="3"/>
        <v>45523</v>
      </c>
      <c r="V47">
        <f t="shared" si="4"/>
        <v>58080</v>
      </c>
    </row>
    <row r="48" spans="1:22" x14ac:dyDescent="0.3">
      <c r="A48" t="s">
        <v>66</v>
      </c>
      <c r="B48">
        <v>2024</v>
      </c>
      <c r="C48" s="1">
        <v>45606</v>
      </c>
      <c r="D48" t="s">
        <v>823</v>
      </c>
      <c r="E48" t="s">
        <v>874</v>
      </c>
      <c r="F48" t="s">
        <v>1413</v>
      </c>
      <c r="G48" t="s">
        <v>2167</v>
      </c>
      <c r="H48" t="s">
        <v>2190</v>
      </c>
      <c r="I48" t="s">
        <v>2208</v>
      </c>
      <c r="J48" t="s">
        <v>2210</v>
      </c>
      <c r="K48" t="s">
        <v>2225</v>
      </c>
      <c r="L48" t="s">
        <v>2243</v>
      </c>
      <c r="M48" t="s">
        <v>2249</v>
      </c>
      <c r="N48">
        <v>4</v>
      </c>
      <c r="O48">
        <f t="shared" si="0"/>
        <v>77440</v>
      </c>
      <c r="P48">
        <f t="shared" si="1"/>
        <v>309760</v>
      </c>
      <c r="Q48">
        <v>0</v>
      </c>
      <c r="R48">
        <f t="shared" si="2"/>
        <v>309760</v>
      </c>
      <c r="S48" t="s">
        <v>2263</v>
      </c>
      <c r="T48" t="s">
        <v>2266</v>
      </c>
      <c r="U48" s="1">
        <f t="shared" si="3"/>
        <v>45613</v>
      </c>
      <c r="V48">
        <f t="shared" si="4"/>
        <v>46464</v>
      </c>
    </row>
    <row r="49" spans="1:22" x14ac:dyDescent="0.3">
      <c r="A49" t="s">
        <v>67</v>
      </c>
      <c r="B49">
        <v>2024</v>
      </c>
      <c r="C49" s="1">
        <v>45394</v>
      </c>
      <c r="D49" t="s">
        <v>821</v>
      </c>
      <c r="E49" t="s">
        <v>875</v>
      </c>
      <c r="F49" t="s">
        <v>1414</v>
      </c>
      <c r="G49" t="s">
        <v>2167</v>
      </c>
      <c r="H49" t="s">
        <v>2192</v>
      </c>
      <c r="I49" t="s">
        <v>2207</v>
      </c>
      <c r="J49" t="s">
        <v>2213</v>
      </c>
      <c r="K49" t="s">
        <v>2239</v>
      </c>
      <c r="L49" t="s">
        <v>2245</v>
      </c>
      <c r="M49" t="s">
        <v>2249</v>
      </c>
      <c r="N49">
        <v>5</v>
      </c>
      <c r="O49">
        <f t="shared" si="0"/>
        <v>77440</v>
      </c>
      <c r="P49">
        <f t="shared" si="1"/>
        <v>387200</v>
      </c>
      <c r="Q49">
        <v>15</v>
      </c>
      <c r="R49">
        <f t="shared" si="2"/>
        <v>329120</v>
      </c>
      <c r="S49" t="s">
        <v>2261</v>
      </c>
      <c r="T49" t="s">
        <v>2265</v>
      </c>
      <c r="U49" s="1" t="str">
        <f t="shared" si="3"/>
        <v>Not Delivered</v>
      </c>
      <c r="V49">
        <f t="shared" si="4"/>
        <v>58080</v>
      </c>
    </row>
    <row r="50" spans="1:22" x14ac:dyDescent="0.3">
      <c r="A50" t="s">
        <v>68</v>
      </c>
      <c r="B50">
        <v>2025</v>
      </c>
      <c r="C50" s="1">
        <v>45805</v>
      </c>
      <c r="D50" t="s">
        <v>820</v>
      </c>
      <c r="E50" t="s">
        <v>876</v>
      </c>
      <c r="F50" t="s">
        <v>1415</v>
      </c>
      <c r="G50" t="s">
        <v>2167</v>
      </c>
      <c r="H50" t="s">
        <v>2193</v>
      </c>
      <c r="I50" t="s">
        <v>2206</v>
      </c>
      <c r="J50" t="s">
        <v>2211</v>
      </c>
      <c r="K50" t="s">
        <v>2226</v>
      </c>
      <c r="L50" t="s">
        <v>2244</v>
      </c>
      <c r="M50" t="s">
        <v>2255</v>
      </c>
      <c r="N50">
        <v>1</v>
      </c>
      <c r="O50">
        <f t="shared" si="0"/>
        <v>77440</v>
      </c>
      <c r="P50">
        <f t="shared" si="1"/>
        <v>77440</v>
      </c>
      <c r="Q50">
        <v>0</v>
      </c>
      <c r="R50">
        <f t="shared" si="2"/>
        <v>77440</v>
      </c>
      <c r="S50" t="s">
        <v>2261</v>
      </c>
      <c r="T50" t="s">
        <v>2266</v>
      </c>
      <c r="U50" s="1">
        <f t="shared" si="3"/>
        <v>45812</v>
      </c>
      <c r="V50">
        <f t="shared" si="4"/>
        <v>11616</v>
      </c>
    </row>
    <row r="51" spans="1:22" x14ac:dyDescent="0.3">
      <c r="A51" t="s">
        <v>69</v>
      </c>
      <c r="B51">
        <v>2025</v>
      </c>
      <c r="C51" s="1">
        <v>45849</v>
      </c>
      <c r="D51" t="s">
        <v>827</v>
      </c>
      <c r="E51" t="s">
        <v>877</v>
      </c>
      <c r="F51" t="s">
        <v>1416</v>
      </c>
      <c r="G51" t="s">
        <v>2167</v>
      </c>
      <c r="H51" t="s">
        <v>2185</v>
      </c>
      <c r="I51" t="s">
        <v>2204</v>
      </c>
      <c r="J51" t="s">
        <v>2210</v>
      </c>
      <c r="K51" t="s">
        <v>2236</v>
      </c>
      <c r="L51" t="s">
        <v>2242</v>
      </c>
      <c r="M51" t="s">
        <v>2248</v>
      </c>
      <c r="N51">
        <v>3</v>
      </c>
      <c r="O51">
        <f t="shared" si="0"/>
        <v>77440</v>
      </c>
      <c r="P51">
        <f t="shared" si="1"/>
        <v>232320</v>
      </c>
      <c r="Q51">
        <v>0</v>
      </c>
      <c r="R51">
        <f t="shared" si="2"/>
        <v>232320</v>
      </c>
      <c r="S51" t="s">
        <v>2263</v>
      </c>
      <c r="T51" t="s">
        <v>2264</v>
      </c>
      <c r="U51" s="1" t="str">
        <f t="shared" si="3"/>
        <v>Not Delivered</v>
      </c>
      <c r="V51">
        <f t="shared" si="4"/>
        <v>34848</v>
      </c>
    </row>
    <row r="52" spans="1:22" x14ac:dyDescent="0.3">
      <c r="A52" t="s">
        <v>70</v>
      </c>
      <c r="B52">
        <v>2024</v>
      </c>
      <c r="C52" s="1">
        <v>45378</v>
      </c>
      <c r="D52" t="s">
        <v>826</v>
      </c>
      <c r="E52" t="s">
        <v>878</v>
      </c>
      <c r="F52" t="s">
        <v>1417</v>
      </c>
      <c r="G52" t="s">
        <v>2167</v>
      </c>
      <c r="H52" t="s">
        <v>2179</v>
      </c>
      <c r="I52" t="s">
        <v>2206</v>
      </c>
      <c r="J52" t="s">
        <v>2213</v>
      </c>
      <c r="K52" t="s">
        <v>2228</v>
      </c>
      <c r="L52" t="s">
        <v>2243</v>
      </c>
      <c r="M52" t="s">
        <v>2254</v>
      </c>
      <c r="N52">
        <v>5</v>
      </c>
      <c r="O52">
        <f t="shared" si="0"/>
        <v>77440</v>
      </c>
      <c r="P52">
        <f t="shared" si="1"/>
        <v>387200</v>
      </c>
      <c r="Q52">
        <v>20</v>
      </c>
      <c r="R52">
        <f t="shared" si="2"/>
        <v>309760</v>
      </c>
      <c r="S52" t="s">
        <v>2260</v>
      </c>
      <c r="T52" t="s">
        <v>2264</v>
      </c>
      <c r="U52" s="1" t="str">
        <f t="shared" si="3"/>
        <v>Not Delivered</v>
      </c>
      <c r="V52">
        <f t="shared" si="4"/>
        <v>58080</v>
      </c>
    </row>
    <row r="53" spans="1:22" x14ac:dyDescent="0.3">
      <c r="A53" t="s">
        <v>71</v>
      </c>
      <c r="B53">
        <v>2024</v>
      </c>
      <c r="C53" s="1">
        <v>45443</v>
      </c>
      <c r="D53" t="s">
        <v>825</v>
      </c>
      <c r="E53" t="s">
        <v>879</v>
      </c>
      <c r="F53" t="s">
        <v>1418</v>
      </c>
      <c r="G53" t="s">
        <v>2167</v>
      </c>
      <c r="H53" t="s">
        <v>2185</v>
      </c>
      <c r="I53" t="s">
        <v>2204</v>
      </c>
      <c r="J53" t="s">
        <v>2212</v>
      </c>
      <c r="K53" t="s">
        <v>2218</v>
      </c>
      <c r="L53" t="s">
        <v>2242</v>
      </c>
      <c r="M53" t="s">
        <v>2249</v>
      </c>
      <c r="N53">
        <v>2</v>
      </c>
      <c r="O53">
        <f t="shared" si="0"/>
        <v>77440</v>
      </c>
      <c r="P53">
        <f t="shared" si="1"/>
        <v>154880</v>
      </c>
      <c r="Q53">
        <v>0</v>
      </c>
      <c r="R53">
        <f t="shared" si="2"/>
        <v>154880</v>
      </c>
      <c r="S53" t="s">
        <v>2261</v>
      </c>
      <c r="T53" t="s">
        <v>2264</v>
      </c>
      <c r="U53" s="1" t="str">
        <f t="shared" si="3"/>
        <v>Not Delivered</v>
      </c>
      <c r="V53">
        <f t="shared" si="4"/>
        <v>23232</v>
      </c>
    </row>
    <row r="54" spans="1:22" x14ac:dyDescent="0.3">
      <c r="A54" t="s">
        <v>72</v>
      </c>
      <c r="B54">
        <v>2024</v>
      </c>
      <c r="C54" s="1">
        <v>45330</v>
      </c>
      <c r="D54" t="s">
        <v>825</v>
      </c>
      <c r="E54" t="s">
        <v>880</v>
      </c>
      <c r="F54" t="s">
        <v>1419</v>
      </c>
      <c r="G54" t="s">
        <v>2167</v>
      </c>
      <c r="H54" t="s">
        <v>2168</v>
      </c>
      <c r="I54" t="s">
        <v>2200</v>
      </c>
      <c r="J54" t="s">
        <v>2213</v>
      </c>
      <c r="K54" t="s">
        <v>2239</v>
      </c>
      <c r="L54" t="s">
        <v>2245</v>
      </c>
      <c r="M54" t="s">
        <v>2251</v>
      </c>
      <c r="N54">
        <v>4</v>
      </c>
      <c r="O54">
        <f t="shared" si="0"/>
        <v>77440</v>
      </c>
      <c r="P54">
        <f t="shared" si="1"/>
        <v>309760</v>
      </c>
      <c r="Q54">
        <v>5</v>
      </c>
      <c r="R54">
        <f t="shared" si="2"/>
        <v>294272</v>
      </c>
      <c r="S54" t="s">
        <v>2260</v>
      </c>
      <c r="T54" t="s">
        <v>2264</v>
      </c>
      <c r="U54" s="1" t="str">
        <f t="shared" si="3"/>
        <v>Not Delivered</v>
      </c>
      <c r="V54">
        <f t="shared" si="4"/>
        <v>46464</v>
      </c>
    </row>
    <row r="55" spans="1:22" x14ac:dyDescent="0.3">
      <c r="A55" t="s">
        <v>73</v>
      </c>
      <c r="B55">
        <v>2024</v>
      </c>
      <c r="C55" s="1">
        <v>45462</v>
      </c>
      <c r="D55" t="s">
        <v>825</v>
      </c>
      <c r="E55" t="s">
        <v>881</v>
      </c>
      <c r="F55" t="s">
        <v>1420</v>
      </c>
      <c r="G55" t="s">
        <v>2167</v>
      </c>
      <c r="H55" t="s">
        <v>2194</v>
      </c>
      <c r="I55" t="s">
        <v>2201</v>
      </c>
      <c r="J55" t="s">
        <v>2213</v>
      </c>
      <c r="K55" t="s">
        <v>2226</v>
      </c>
      <c r="L55" t="s">
        <v>2244</v>
      </c>
      <c r="M55" t="s">
        <v>2250</v>
      </c>
      <c r="N55">
        <v>5</v>
      </c>
      <c r="O55">
        <f t="shared" si="0"/>
        <v>77440</v>
      </c>
      <c r="P55">
        <f t="shared" si="1"/>
        <v>387200</v>
      </c>
      <c r="Q55">
        <v>5</v>
      </c>
      <c r="R55">
        <f t="shared" si="2"/>
        <v>367840</v>
      </c>
      <c r="S55" t="s">
        <v>2260</v>
      </c>
      <c r="T55" t="s">
        <v>2264</v>
      </c>
      <c r="U55" s="1" t="str">
        <f t="shared" si="3"/>
        <v>Not Delivered</v>
      </c>
      <c r="V55">
        <f t="shared" si="4"/>
        <v>58080</v>
      </c>
    </row>
    <row r="56" spans="1:22" x14ac:dyDescent="0.3">
      <c r="A56" t="s">
        <v>74</v>
      </c>
      <c r="B56">
        <v>2024</v>
      </c>
      <c r="C56" s="1">
        <v>45310</v>
      </c>
      <c r="D56" t="s">
        <v>822</v>
      </c>
      <c r="E56" t="s">
        <v>882</v>
      </c>
      <c r="F56" t="s">
        <v>1421</v>
      </c>
      <c r="G56" t="s">
        <v>2167</v>
      </c>
      <c r="H56" t="s">
        <v>2172</v>
      </c>
      <c r="I56" t="s">
        <v>2203</v>
      </c>
      <c r="J56" t="s">
        <v>2210</v>
      </c>
      <c r="K56" t="s">
        <v>2221</v>
      </c>
      <c r="L56" t="s">
        <v>2246</v>
      </c>
      <c r="M56" t="s">
        <v>2251</v>
      </c>
      <c r="N56">
        <v>3</v>
      </c>
      <c r="O56">
        <f t="shared" si="0"/>
        <v>77440</v>
      </c>
      <c r="P56">
        <f t="shared" si="1"/>
        <v>232320</v>
      </c>
      <c r="Q56">
        <v>5</v>
      </c>
      <c r="R56">
        <f t="shared" si="2"/>
        <v>220704</v>
      </c>
      <c r="S56" t="s">
        <v>2262</v>
      </c>
      <c r="T56" t="s">
        <v>2265</v>
      </c>
      <c r="U56" s="1" t="str">
        <f t="shared" si="3"/>
        <v>Not Delivered</v>
      </c>
      <c r="V56">
        <f t="shared" si="4"/>
        <v>34848</v>
      </c>
    </row>
    <row r="57" spans="1:22" x14ac:dyDescent="0.3">
      <c r="A57" t="s">
        <v>75</v>
      </c>
      <c r="B57">
        <v>2025</v>
      </c>
      <c r="C57" s="1">
        <v>45661</v>
      </c>
      <c r="D57" t="s">
        <v>829</v>
      </c>
      <c r="E57" t="s">
        <v>883</v>
      </c>
      <c r="F57" t="s">
        <v>1422</v>
      </c>
      <c r="G57" t="s">
        <v>2167</v>
      </c>
      <c r="H57" t="s">
        <v>2188</v>
      </c>
      <c r="I57" t="s">
        <v>2208</v>
      </c>
      <c r="J57" t="s">
        <v>2211</v>
      </c>
      <c r="K57" t="s">
        <v>2218</v>
      </c>
      <c r="L57" t="s">
        <v>2242</v>
      </c>
      <c r="M57" t="s">
        <v>2256</v>
      </c>
      <c r="N57">
        <v>5</v>
      </c>
      <c r="O57">
        <f t="shared" si="0"/>
        <v>77440</v>
      </c>
      <c r="P57">
        <f t="shared" si="1"/>
        <v>387200</v>
      </c>
      <c r="Q57">
        <v>0</v>
      </c>
      <c r="R57">
        <f t="shared" si="2"/>
        <v>387200</v>
      </c>
      <c r="S57" t="s">
        <v>2263</v>
      </c>
      <c r="T57" t="s">
        <v>2265</v>
      </c>
      <c r="U57" s="1" t="str">
        <f t="shared" si="3"/>
        <v>Not Delivered</v>
      </c>
      <c r="V57">
        <f t="shared" si="4"/>
        <v>58080</v>
      </c>
    </row>
    <row r="58" spans="1:22" x14ac:dyDescent="0.3">
      <c r="A58" t="s">
        <v>76</v>
      </c>
      <c r="B58">
        <v>2025</v>
      </c>
      <c r="C58" s="1">
        <v>45842</v>
      </c>
      <c r="D58" t="s">
        <v>824</v>
      </c>
      <c r="E58" t="s">
        <v>884</v>
      </c>
      <c r="F58" t="s">
        <v>1423</v>
      </c>
      <c r="G58" t="s">
        <v>2167</v>
      </c>
      <c r="H58" t="s">
        <v>2173</v>
      </c>
      <c r="I58" t="s">
        <v>2204</v>
      </c>
      <c r="J58" t="s">
        <v>2210</v>
      </c>
      <c r="K58" t="s">
        <v>2240</v>
      </c>
      <c r="L58" t="s">
        <v>2246</v>
      </c>
      <c r="M58" t="s">
        <v>2255</v>
      </c>
      <c r="N58">
        <v>4</v>
      </c>
      <c r="O58">
        <f t="shared" si="0"/>
        <v>77440</v>
      </c>
      <c r="P58">
        <f t="shared" si="1"/>
        <v>309760</v>
      </c>
      <c r="Q58">
        <v>10</v>
      </c>
      <c r="R58">
        <f t="shared" si="2"/>
        <v>278784</v>
      </c>
      <c r="S58" t="s">
        <v>2260</v>
      </c>
      <c r="T58" t="s">
        <v>2264</v>
      </c>
      <c r="U58" s="1" t="str">
        <f t="shared" si="3"/>
        <v>Not Delivered</v>
      </c>
      <c r="V58">
        <f t="shared" si="4"/>
        <v>46464</v>
      </c>
    </row>
    <row r="59" spans="1:22" x14ac:dyDescent="0.3">
      <c r="A59" t="s">
        <v>77</v>
      </c>
      <c r="B59">
        <v>2025</v>
      </c>
      <c r="C59" s="1">
        <v>45659</v>
      </c>
      <c r="D59" t="s">
        <v>823</v>
      </c>
      <c r="E59" t="s">
        <v>885</v>
      </c>
      <c r="F59" t="s">
        <v>1424</v>
      </c>
      <c r="G59" t="s">
        <v>2167</v>
      </c>
      <c r="H59" t="s">
        <v>2195</v>
      </c>
      <c r="I59" t="s">
        <v>2206</v>
      </c>
      <c r="J59" t="s">
        <v>2212</v>
      </c>
      <c r="K59" t="s">
        <v>2219</v>
      </c>
      <c r="L59" t="s">
        <v>2243</v>
      </c>
      <c r="M59" t="s">
        <v>2253</v>
      </c>
      <c r="N59">
        <v>5</v>
      </c>
      <c r="O59">
        <f t="shared" si="0"/>
        <v>77440</v>
      </c>
      <c r="P59">
        <f t="shared" si="1"/>
        <v>387200</v>
      </c>
      <c r="Q59">
        <v>0</v>
      </c>
      <c r="R59">
        <f t="shared" si="2"/>
        <v>387200</v>
      </c>
      <c r="S59" t="s">
        <v>2263</v>
      </c>
      <c r="T59" t="s">
        <v>2266</v>
      </c>
      <c r="U59" s="1">
        <f t="shared" si="3"/>
        <v>45666</v>
      </c>
      <c r="V59">
        <f t="shared" si="4"/>
        <v>58080</v>
      </c>
    </row>
    <row r="60" spans="1:22" x14ac:dyDescent="0.3">
      <c r="A60" t="s">
        <v>78</v>
      </c>
      <c r="B60">
        <v>2024</v>
      </c>
      <c r="C60" s="1">
        <v>45584</v>
      </c>
      <c r="D60" t="s">
        <v>827</v>
      </c>
      <c r="E60" t="s">
        <v>886</v>
      </c>
      <c r="F60" t="s">
        <v>1425</v>
      </c>
      <c r="G60" t="s">
        <v>2167</v>
      </c>
      <c r="H60" t="s">
        <v>2196</v>
      </c>
      <c r="I60" t="s">
        <v>2205</v>
      </c>
      <c r="J60" t="s">
        <v>2210</v>
      </c>
      <c r="K60" t="s">
        <v>2215</v>
      </c>
      <c r="L60" t="s">
        <v>2243</v>
      </c>
      <c r="M60" t="s">
        <v>2249</v>
      </c>
      <c r="N60">
        <v>5</v>
      </c>
      <c r="O60">
        <f t="shared" si="0"/>
        <v>77440</v>
      </c>
      <c r="P60">
        <f t="shared" si="1"/>
        <v>387200</v>
      </c>
      <c r="Q60">
        <v>0</v>
      </c>
      <c r="R60">
        <f t="shared" si="2"/>
        <v>387200</v>
      </c>
      <c r="S60" t="s">
        <v>2262</v>
      </c>
      <c r="T60" t="s">
        <v>2265</v>
      </c>
      <c r="U60" s="1" t="str">
        <f t="shared" si="3"/>
        <v>Not Delivered</v>
      </c>
      <c r="V60">
        <f t="shared" si="4"/>
        <v>58080</v>
      </c>
    </row>
    <row r="61" spans="1:22" x14ac:dyDescent="0.3">
      <c r="A61" t="s">
        <v>79</v>
      </c>
      <c r="B61">
        <v>2024</v>
      </c>
      <c r="C61" s="1">
        <v>45514</v>
      </c>
      <c r="D61" t="s">
        <v>827</v>
      </c>
      <c r="E61" t="s">
        <v>887</v>
      </c>
      <c r="F61" t="s">
        <v>1426</v>
      </c>
      <c r="G61" t="s">
        <v>2167</v>
      </c>
      <c r="H61" t="s">
        <v>2197</v>
      </c>
      <c r="I61" t="s">
        <v>2209</v>
      </c>
      <c r="J61" t="s">
        <v>2212</v>
      </c>
      <c r="K61" t="s">
        <v>2236</v>
      </c>
      <c r="L61" t="s">
        <v>2242</v>
      </c>
      <c r="M61" t="s">
        <v>2249</v>
      </c>
      <c r="N61">
        <v>4</v>
      </c>
      <c r="O61">
        <f t="shared" si="0"/>
        <v>77440</v>
      </c>
      <c r="P61">
        <f t="shared" si="1"/>
        <v>309760</v>
      </c>
      <c r="Q61">
        <v>10</v>
      </c>
      <c r="R61">
        <f t="shared" si="2"/>
        <v>278784</v>
      </c>
      <c r="S61" t="s">
        <v>2262</v>
      </c>
      <c r="T61" t="s">
        <v>2266</v>
      </c>
      <c r="U61" s="1">
        <f t="shared" si="3"/>
        <v>45521</v>
      </c>
      <c r="V61">
        <f t="shared" si="4"/>
        <v>46464</v>
      </c>
    </row>
    <row r="62" spans="1:22" x14ac:dyDescent="0.3">
      <c r="A62" t="s">
        <v>80</v>
      </c>
      <c r="B62">
        <v>2024</v>
      </c>
      <c r="C62" s="1">
        <v>45555</v>
      </c>
      <c r="D62" t="s">
        <v>820</v>
      </c>
      <c r="E62" t="s">
        <v>888</v>
      </c>
      <c r="F62" t="s">
        <v>1427</v>
      </c>
      <c r="G62" t="s">
        <v>2167</v>
      </c>
      <c r="H62" t="s">
        <v>2171</v>
      </c>
      <c r="I62" t="s">
        <v>2202</v>
      </c>
      <c r="J62" t="s">
        <v>2212</v>
      </c>
      <c r="K62" t="s">
        <v>2238</v>
      </c>
      <c r="L62" t="s">
        <v>2246</v>
      </c>
      <c r="M62" t="s">
        <v>2248</v>
      </c>
      <c r="N62">
        <v>2</v>
      </c>
      <c r="O62">
        <f t="shared" si="0"/>
        <v>77440</v>
      </c>
      <c r="P62">
        <f t="shared" si="1"/>
        <v>154880</v>
      </c>
      <c r="Q62">
        <v>15</v>
      </c>
      <c r="R62">
        <f t="shared" si="2"/>
        <v>131648</v>
      </c>
      <c r="S62" t="s">
        <v>2261</v>
      </c>
      <c r="T62" t="s">
        <v>2266</v>
      </c>
      <c r="U62" s="1">
        <f t="shared" si="3"/>
        <v>45562</v>
      </c>
      <c r="V62">
        <f t="shared" si="4"/>
        <v>23232</v>
      </c>
    </row>
    <row r="63" spans="1:22" x14ac:dyDescent="0.3">
      <c r="A63" t="s">
        <v>81</v>
      </c>
      <c r="B63">
        <v>2025</v>
      </c>
      <c r="C63" s="1">
        <v>45752</v>
      </c>
      <c r="D63" t="s">
        <v>825</v>
      </c>
      <c r="E63" t="s">
        <v>889</v>
      </c>
      <c r="F63" t="s">
        <v>1428</v>
      </c>
      <c r="G63" t="s">
        <v>2167</v>
      </c>
      <c r="H63" t="s">
        <v>2182</v>
      </c>
      <c r="I63" t="s">
        <v>2206</v>
      </c>
      <c r="J63" t="s">
        <v>2210</v>
      </c>
      <c r="K63" t="s">
        <v>2236</v>
      </c>
      <c r="L63" t="s">
        <v>2242</v>
      </c>
      <c r="M63" t="s">
        <v>2255</v>
      </c>
      <c r="N63">
        <v>2</v>
      </c>
      <c r="O63">
        <f t="shared" si="0"/>
        <v>77440</v>
      </c>
      <c r="P63">
        <f t="shared" si="1"/>
        <v>154880</v>
      </c>
      <c r="Q63">
        <v>5</v>
      </c>
      <c r="R63">
        <f t="shared" si="2"/>
        <v>147136</v>
      </c>
      <c r="S63" t="s">
        <v>2263</v>
      </c>
      <c r="T63" t="s">
        <v>2265</v>
      </c>
      <c r="U63" s="1" t="str">
        <f t="shared" si="3"/>
        <v>Not Delivered</v>
      </c>
      <c r="V63">
        <f t="shared" si="4"/>
        <v>23232</v>
      </c>
    </row>
    <row r="64" spans="1:22" x14ac:dyDescent="0.3">
      <c r="A64" t="s">
        <v>82</v>
      </c>
      <c r="B64">
        <v>2025</v>
      </c>
      <c r="C64" s="1">
        <v>45722</v>
      </c>
      <c r="D64" t="s">
        <v>821</v>
      </c>
      <c r="E64" t="s">
        <v>840</v>
      </c>
      <c r="F64" t="s">
        <v>1429</v>
      </c>
      <c r="G64" t="s">
        <v>2167</v>
      </c>
      <c r="H64" t="s">
        <v>2193</v>
      </c>
      <c r="I64" t="s">
        <v>2206</v>
      </c>
      <c r="J64" t="s">
        <v>2213</v>
      </c>
      <c r="K64" t="s">
        <v>2217</v>
      </c>
      <c r="L64" t="s">
        <v>2244</v>
      </c>
      <c r="M64" t="s">
        <v>2257</v>
      </c>
      <c r="N64">
        <v>3</v>
      </c>
      <c r="O64">
        <f t="shared" si="0"/>
        <v>77440</v>
      </c>
      <c r="P64">
        <f t="shared" si="1"/>
        <v>232320</v>
      </c>
      <c r="Q64">
        <v>5</v>
      </c>
      <c r="R64">
        <f t="shared" si="2"/>
        <v>220704</v>
      </c>
      <c r="S64" t="s">
        <v>2263</v>
      </c>
      <c r="T64" t="s">
        <v>2265</v>
      </c>
      <c r="U64" s="1" t="str">
        <f t="shared" si="3"/>
        <v>Not Delivered</v>
      </c>
      <c r="V64">
        <f t="shared" si="4"/>
        <v>34848</v>
      </c>
    </row>
    <row r="65" spans="1:22" x14ac:dyDescent="0.3">
      <c r="A65" t="s">
        <v>83</v>
      </c>
      <c r="B65">
        <v>2025</v>
      </c>
      <c r="C65" s="1">
        <v>45866</v>
      </c>
      <c r="D65" t="s">
        <v>820</v>
      </c>
      <c r="E65" t="s">
        <v>890</v>
      </c>
      <c r="F65" t="s">
        <v>1430</v>
      </c>
      <c r="G65" t="s">
        <v>2167</v>
      </c>
      <c r="H65" t="s">
        <v>2180</v>
      </c>
      <c r="I65" t="s">
        <v>2208</v>
      </c>
      <c r="J65" t="s">
        <v>2211</v>
      </c>
      <c r="K65" t="s">
        <v>2231</v>
      </c>
      <c r="L65" t="s">
        <v>2244</v>
      </c>
      <c r="M65" t="s">
        <v>2256</v>
      </c>
      <c r="N65">
        <v>3</v>
      </c>
      <c r="O65">
        <f t="shared" si="0"/>
        <v>77440</v>
      </c>
      <c r="P65">
        <f t="shared" si="1"/>
        <v>232320</v>
      </c>
      <c r="Q65">
        <v>10</v>
      </c>
      <c r="R65">
        <f t="shared" si="2"/>
        <v>209088</v>
      </c>
      <c r="S65" t="s">
        <v>2261</v>
      </c>
      <c r="T65" t="s">
        <v>2264</v>
      </c>
      <c r="U65" s="1" t="str">
        <f t="shared" si="3"/>
        <v>Not Delivered</v>
      </c>
      <c r="V65">
        <f t="shared" si="4"/>
        <v>34848</v>
      </c>
    </row>
    <row r="66" spans="1:22" x14ac:dyDescent="0.3">
      <c r="A66" t="s">
        <v>84</v>
      </c>
      <c r="B66">
        <v>2024</v>
      </c>
      <c r="C66" s="1">
        <v>45323</v>
      </c>
      <c r="D66" t="s">
        <v>826</v>
      </c>
      <c r="E66" t="s">
        <v>891</v>
      </c>
      <c r="F66" t="s">
        <v>1431</v>
      </c>
      <c r="G66" t="s">
        <v>2167</v>
      </c>
      <c r="H66" t="s">
        <v>2175</v>
      </c>
      <c r="I66" t="s">
        <v>2203</v>
      </c>
      <c r="J66" t="s">
        <v>2211</v>
      </c>
      <c r="K66" t="s">
        <v>2224</v>
      </c>
      <c r="L66" t="s">
        <v>2245</v>
      </c>
      <c r="M66" t="s">
        <v>2251</v>
      </c>
      <c r="N66">
        <v>5</v>
      </c>
      <c r="O66">
        <f t="shared" si="0"/>
        <v>77440</v>
      </c>
      <c r="P66">
        <f t="shared" si="1"/>
        <v>387200</v>
      </c>
      <c r="Q66">
        <v>5</v>
      </c>
      <c r="R66">
        <f t="shared" si="2"/>
        <v>367840</v>
      </c>
      <c r="S66" t="s">
        <v>2261</v>
      </c>
      <c r="T66" t="s">
        <v>2266</v>
      </c>
      <c r="U66" s="1">
        <f t="shared" si="3"/>
        <v>45330</v>
      </c>
      <c r="V66">
        <f t="shared" si="4"/>
        <v>58080</v>
      </c>
    </row>
    <row r="67" spans="1:22" x14ac:dyDescent="0.3">
      <c r="A67" t="s">
        <v>85</v>
      </c>
      <c r="B67">
        <v>2024</v>
      </c>
      <c r="C67" s="1">
        <v>45573</v>
      </c>
      <c r="D67" t="s">
        <v>820</v>
      </c>
      <c r="E67" t="s">
        <v>892</v>
      </c>
      <c r="F67" t="s">
        <v>1432</v>
      </c>
      <c r="G67" t="s">
        <v>2167</v>
      </c>
      <c r="H67" t="s">
        <v>2198</v>
      </c>
      <c r="I67" t="s">
        <v>2207</v>
      </c>
      <c r="J67" t="s">
        <v>2212</v>
      </c>
      <c r="K67" t="s">
        <v>2241</v>
      </c>
      <c r="L67" t="s">
        <v>2247</v>
      </c>
      <c r="M67" t="s">
        <v>2256</v>
      </c>
      <c r="N67">
        <v>3</v>
      </c>
      <c r="O67">
        <f t="shared" ref="O67:O130" si="5">ROUNDUP((77431.41),-1)</f>
        <v>77440</v>
      </c>
      <c r="P67">
        <f t="shared" ref="P67:P130" si="6">O67*N67</f>
        <v>232320</v>
      </c>
      <c r="Q67">
        <v>10</v>
      </c>
      <c r="R67">
        <f t="shared" ref="R67:R130" si="7">P67*(1-Q67/100)</f>
        <v>209088</v>
      </c>
      <c r="S67" t="s">
        <v>2262</v>
      </c>
      <c r="T67" t="s">
        <v>2266</v>
      </c>
      <c r="U67" s="1">
        <f t="shared" ref="U67:U130" si="8">IF(T67="Delivered", C67 + 7, "Not Delivered")</f>
        <v>45580</v>
      </c>
      <c r="V67">
        <f t="shared" ref="V67:V130" si="9">P67*15%</f>
        <v>34848</v>
      </c>
    </row>
    <row r="68" spans="1:22" x14ac:dyDescent="0.3">
      <c r="A68" t="s">
        <v>86</v>
      </c>
      <c r="B68">
        <v>2025</v>
      </c>
      <c r="C68" s="1">
        <v>45753</v>
      </c>
      <c r="D68" t="s">
        <v>823</v>
      </c>
      <c r="E68" t="s">
        <v>893</v>
      </c>
      <c r="F68" t="s">
        <v>1433</v>
      </c>
      <c r="G68" t="s">
        <v>2167</v>
      </c>
      <c r="H68" t="s">
        <v>2168</v>
      </c>
      <c r="I68" t="s">
        <v>2200</v>
      </c>
      <c r="J68" t="s">
        <v>2212</v>
      </c>
      <c r="K68" t="s">
        <v>2220</v>
      </c>
      <c r="L68" t="s">
        <v>2245</v>
      </c>
      <c r="M68" t="s">
        <v>2255</v>
      </c>
      <c r="N68">
        <v>3</v>
      </c>
      <c r="O68">
        <f t="shared" si="5"/>
        <v>77440</v>
      </c>
      <c r="P68">
        <f t="shared" si="6"/>
        <v>232320</v>
      </c>
      <c r="Q68">
        <v>20</v>
      </c>
      <c r="R68">
        <f t="shared" si="7"/>
        <v>185856</v>
      </c>
      <c r="S68" t="s">
        <v>2262</v>
      </c>
      <c r="T68" t="s">
        <v>2266</v>
      </c>
      <c r="U68" s="1">
        <f t="shared" si="8"/>
        <v>45760</v>
      </c>
      <c r="V68">
        <f t="shared" si="9"/>
        <v>34848</v>
      </c>
    </row>
    <row r="69" spans="1:22" x14ac:dyDescent="0.3">
      <c r="A69" t="s">
        <v>87</v>
      </c>
      <c r="B69">
        <v>2025</v>
      </c>
      <c r="C69" s="1">
        <v>45781</v>
      </c>
      <c r="D69" t="s">
        <v>823</v>
      </c>
      <c r="E69" t="s">
        <v>894</v>
      </c>
      <c r="F69" t="s">
        <v>1434</v>
      </c>
      <c r="G69" t="s">
        <v>2167</v>
      </c>
      <c r="H69" t="s">
        <v>2190</v>
      </c>
      <c r="I69" t="s">
        <v>2208</v>
      </c>
      <c r="J69" t="s">
        <v>2213</v>
      </c>
      <c r="K69" t="s">
        <v>2218</v>
      </c>
      <c r="L69" t="s">
        <v>2242</v>
      </c>
      <c r="M69" t="s">
        <v>2254</v>
      </c>
      <c r="N69">
        <v>3</v>
      </c>
      <c r="O69">
        <f t="shared" si="5"/>
        <v>77440</v>
      </c>
      <c r="P69">
        <f t="shared" si="6"/>
        <v>232320</v>
      </c>
      <c r="Q69">
        <v>0</v>
      </c>
      <c r="R69">
        <f t="shared" si="7"/>
        <v>232320</v>
      </c>
      <c r="S69" t="s">
        <v>2261</v>
      </c>
      <c r="T69" t="s">
        <v>2264</v>
      </c>
      <c r="U69" s="1" t="str">
        <f t="shared" si="8"/>
        <v>Not Delivered</v>
      </c>
      <c r="V69">
        <f t="shared" si="9"/>
        <v>34848</v>
      </c>
    </row>
    <row r="70" spans="1:22" x14ac:dyDescent="0.3">
      <c r="A70" t="s">
        <v>88</v>
      </c>
      <c r="B70">
        <v>2024</v>
      </c>
      <c r="C70" s="1">
        <v>45440</v>
      </c>
      <c r="D70" t="s">
        <v>827</v>
      </c>
      <c r="E70" t="s">
        <v>895</v>
      </c>
      <c r="F70" t="s">
        <v>1435</v>
      </c>
      <c r="G70" t="s">
        <v>2167</v>
      </c>
      <c r="H70" t="s">
        <v>2184</v>
      </c>
      <c r="I70" t="s">
        <v>2202</v>
      </c>
      <c r="J70" t="s">
        <v>2213</v>
      </c>
      <c r="K70" t="s">
        <v>2223</v>
      </c>
      <c r="L70" t="s">
        <v>2245</v>
      </c>
      <c r="M70" t="s">
        <v>2248</v>
      </c>
      <c r="N70">
        <v>3</v>
      </c>
      <c r="O70">
        <f t="shared" si="5"/>
        <v>77440</v>
      </c>
      <c r="P70">
        <f t="shared" si="6"/>
        <v>232320</v>
      </c>
      <c r="Q70">
        <v>10</v>
      </c>
      <c r="R70">
        <f t="shared" si="7"/>
        <v>209088</v>
      </c>
      <c r="S70" t="s">
        <v>2262</v>
      </c>
      <c r="T70" t="s">
        <v>2266</v>
      </c>
      <c r="U70" s="1">
        <f t="shared" si="8"/>
        <v>45447</v>
      </c>
      <c r="V70">
        <f t="shared" si="9"/>
        <v>34848</v>
      </c>
    </row>
    <row r="71" spans="1:22" x14ac:dyDescent="0.3">
      <c r="A71" t="s">
        <v>89</v>
      </c>
      <c r="B71">
        <v>2025</v>
      </c>
      <c r="C71" s="1">
        <v>45709</v>
      </c>
      <c r="D71" t="s">
        <v>823</v>
      </c>
      <c r="E71" t="s">
        <v>896</v>
      </c>
      <c r="F71" t="s">
        <v>1436</v>
      </c>
      <c r="G71" t="s">
        <v>2167</v>
      </c>
      <c r="H71" t="s">
        <v>2169</v>
      </c>
      <c r="I71" t="s">
        <v>2201</v>
      </c>
      <c r="J71" t="s">
        <v>2211</v>
      </c>
      <c r="K71" t="s">
        <v>2216</v>
      </c>
      <c r="L71" t="s">
        <v>2242</v>
      </c>
      <c r="M71" t="s">
        <v>2258</v>
      </c>
      <c r="N71">
        <v>5</v>
      </c>
      <c r="O71">
        <f t="shared" si="5"/>
        <v>77440</v>
      </c>
      <c r="P71">
        <f t="shared" si="6"/>
        <v>387200</v>
      </c>
      <c r="Q71">
        <v>10</v>
      </c>
      <c r="R71">
        <f t="shared" si="7"/>
        <v>348480</v>
      </c>
      <c r="S71" t="s">
        <v>2260</v>
      </c>
      <c r="T71" t="s">
        <v>2264</v>
      </c>
      <c r="U71" s="1" t="str">
        <f t="shared" si="8"/>
        <v>Not Delivered</v>
      </c>
      <c r="V71">
        <f t="shared" si="9"/>
        <v>58080</v>
      </c>
    </row>
    <row r="72" spans="1:22" x14ac:dyDescent="0.3">
      <c r="A72" t="s">
        <v>90</v>
      </c>
      <c r="B72">
        <v>2024</v>
      </c>
      <c r="C72" s="1">
        <v>45560</v>
      </c>
      <c r="D72" t="s">
        <v>829</v>
      </c>
      <c r="E72" t="s">
        <v>897</v>
      </c>
      <c r="F72" t="s">
        <v>1437</v>
      </c>
      <c r="G72" t="s">
        <v>2167</v>
      </c>
      <c r="H72" t="s">
        <v>2198</v>
      </c>
      <c r="I72" t="s">
        <v>2207</v>
      </c>
      <c r="J72" t="s">
        <v>2212</v>
      </c>
      <c r="K72" t="s">
        <v>2236</v>
      </c>
      <c r="L72" t="s">
        <v>2242</v>
      </c>
      <c r="M72" t="s">
        <v>2254</v>
      </c>
      <c r="N72">
        <v>5</v>
      </c>
      <c r="O72">
        <f t="shared" si="5"/>
        <v>77440</v>
      </c>
      <c r="P72">
        <f t="shared" si="6"/>
        <v>387200</v>
      </c>
      <c r="Q72">
        <v>5</v>
      </c>
      <c r="R72">
        <f t="shared" si="7"/>
        <v>367840</v>
      </c>
      <c r="S72" t="s">
        <v>2262</v>
      </c>
      <c r="T72" t="s">
        <v>2265</v>
      </c>
      <c r="U72" s="1" t="str">
        <f t="shared" si="8"/>
        <v>Not Delivered</v>
      </c>
      <c r="V72">
        <f t="shared" si="9"/>
        <v>58080</v>
      </c>
    </row>
    <row r="73" spans="1:22" x14ac:dyDescent="0.3">
      <c r="A73" t="s">
        <v>91</v>
      </c>
      <c r="B73">
        <v>2025</v>
      </c>
      <c r="C73" s="1">
        <v>45824</v>
      </c>
      <c r="D73" t="s">
        <v>820</v>
      </c>
      <c r="E73" t="s">
        <v>898</v>
      </c>
      <c r="F73" t="s">
        <v>1438</v>
      </c>
      <c r="G73" t="s">
        <v>2167</v>
      </c>
      <c r="H73" t="s">
        <v>2179</v>
      </c>
      <c r="I73" t="s">
        <v>2206</v>
      </c>
      <c r="J73" t="s">
        <v>2213</v>
      </c>
      <c r="K73" t="s">
        <v>2223</v>
      </c>
      <c r="L73" t="s">
        <v>2245</v>
      </c>
      <c r="M73" t="s">
        <v>2248</v>
      </c>
      <c r="N73">
        <v>2</v>
      </c>
      <c r="O73">
        <f t="shared" si="5"/>
        <v>77440</v>
      </c>
      <c r="P73">
        <f t="shared" si="6"/>
        <v>154880</v>
      </c>
      <c r="Q73">
        <v>15</v>
      </c>
      <c r="R73">
        <f t="shared" si="7"/>
        <v>131648</v>
      </c>
      <c r="S73" t="s">
        <v>2262</v>
      </c>
      <c r="T73" t="s">
        <v>2264</v>
      </c>
      <c r="U73" s="1" t="str">
        <f t="shared" si="8"/>
        <v>Not Delivered</v>
      </c>
      <c r="V73">
        <f t="shared" si="9"/>
        <v>23232</v>
      </c>
    </row>
    <row r="74" spans="1:22" x14ac:dyDescent="0.3">
      <c r="A74" t="s">
        <v>92</v>
      </c>
      <c r="B74">
        <v>2024</v>
      </c>
      <c r="C74" s="1">
        <v>45446</v>
      </c>
      <c r="D74" t="s">
        <v>827</v>
      </c>
      <c r="E74" t="s">
        <v>899</v>
      </c>
      <c r="F74" t="s">
        <v>1439</v>
      </c>
      <c r="G74" t="s">
        <v>2167</v>
      </c>
      <c r="H74" t="s">
        <v>2199</v>
      </c>
      <c r="I74" t="s">
        <v>2205</v>
      </c>
      <c r="J74" t="s">
        <v>2213</v>
      </c>
      <c r="K74" t="s">
        <v>2236</v>
      </c>
      <c r="L74" t="s">
        <v>2242</v>
      </c>
      <c r="M74" t="s">
        <v>2251</v>
      </c>
      <c r="N74">
        <v>1</v>
      </c>
      <c r="O74">
        <f t="shared" si="5"/>
        <v>77440</v>
      </c>
      <c r="P74">
        <f t="shared" si="6"/>
        <v>77440</v>
      </c>
      <c r="Q74">
        <v>15</v>
      </c>
      <c r="R74">
        <f t="shared" si="7"/>
        <v>65824</v>
      </c>
      <c r="S74" t="s">
        <v>2260</v>
      </c>
      <c r="T74" t="s">
        <v>2264</v>
      </c>
      <c r="U74" s="1" t="str">
        <f t="shared" si="8"/>
        <v>Not Delivered</v>
      </c>
      <c r="V74">
        <f t="shared" si="9"/>
        <v>11616</v>
      </c>
    </row>
    <row r="75" spans="1:22" x14ac:dyDescent="0.3">
      <c r="A75" t="s">
        <v>93</v>
      </c>
      <c r="B75">
        <v>2024</v>
      </c>
      <c r="C75" s="1">
        <v>45418</v>
      </c>
      <c r="D75" t="s">
        <v>829</v>
      </c>
      <c r="E75" t="s">
        <v>900</v>
      </c>
      <c r="F75" t="s">
        <v>1440</v>
      </c>
      <c r="G75" t="s">
        <v>2167</v>
      </c>
      <c r="H75" t="s">
        <v>2188</v>
      </c>
      <c r="I75" t="s">
        <v>2208</v>
      </c>
      <c r="J75" t="s">
        <v>2211</v>
      </c>
      <c r="K75" t="s">
        <v>2238</v>
      </c>
      <c r="L75" t="s">
        <v>2246</v>
      </c>
      <c r="M75" t="s">
        <v>2252</v>
      </c>
      <c r="N75">
        <v>4</v>
      </c>
      <c r="O75">
        <f t="shared" si="5"/>
        <v>77440</v>
      </c>
      <c r="P75">
        <f t="shared" si="6"/>
        <v>309760</v>
      </c>
      <c r="Q75">
        <v>5</v>
      </c>
      <c r="R75">
        <f t="shared" si="7"/>
        <v>294272</v>
      </c>
      <c r="S75" t="s">
        <v>2263</v>
      </c>
      <c r="T75" t="s">
        <v>2266</v>
      </c>
      <c r="U75" s="1">
        <f t="shared" si="8"/>
        <v>45425</v>
      </c>
      <c r="V75">
        <f t="shared" si="9"/>
        <v>46464</v>
      </c>
    </row>
    <row r="76" spans="1:22" x14ac:dyDescent="0.3">
      <c r="A76" t="s">
        <v>94</v>
      </c>
      <c r="B76">
        <v>2024</v>
      </c>
      <c r="C76" s="1">
        <v>45323</v>
      </c>
      <c r="D76" t="s">
        <v>825</v>
      </c>
      <c r="E76" t="s">
        <v>901</v>
      </c>
      <c r="F76" t="s">
        <v>1441</v>
      </c>
      <c r="G76" t="s">
        <v>2167</v>
      </c>
      <c r="H76" t="s">
        <v>2191</v>
      </c>
      <c r="I76" t="s">
        <v>2203</v>
      </c>
      <c r="J76" t="s">
        <v>2213</v>
      </c>
      <c r="K76" t="s">
        <v>2226</v>
      </c>
      <c r="L76" t="s">
        <v>2244</v>
      </c>
      <c r="M76" t="s">
        <v>2255</v>
      </c>
      <c r="N76">
        <v>2</v>
      </c>
      <c r="O76">
        <f t="shared" si="5"/>
        <v>77440</v>
      </c>
      <c r="P76">
        <f t="shared" si="6"/>
        <v>154880</v>
      </c>
      <c r="Q76">
        <v>5</v>
      </c>
      <c r="R76">
        <f t="shared" si="7"/>
        <v>147136</v>
      </c>
      <c r="S76" t="s">
        <v>2261</v>
      </c>
      <c r="T76" t="s">
        <v>2264</v>
      </c>
      <c r="U76" s="1" t="str">
        <f t="shared" si="8"/>
        <v>Not Delivered</v>
      </c>
      <c r="V76">
        <f t="shared" si="9"/>
        <v>23232</v>
      </c>
    </row>
    <row r="77" spans="1:22" x14ac:dyDescent="0.3">
      <c r="A77" t="s">
        <v>95</v>
      </c>
      <c r="B77">
        <v>2025</v>
      </c>
      <c r="C77" s="1">
        <v>45808</v>
      </c>
      <c r="D77" t="s">
        <v>826</v>
      </c>
      <c r="E77" t="s">
        <v>902</v>
      </c>
      <c r="F77" t="s">
        <v>1442</v>
      </c>
      <c r="G77" t="s">
        <v>2167</v>
      </c>
      <c r="H77" t="s">
        <v>2188</v>
      </c>
      <c r="I77" t="s">
        <v>2208</v>
      </c>
      <c r="J77" t="s">
        <v>2211</v>
      </c>
      <c r="K77" t="s">
        <v>2216</v>
      </c>
      <c r="L77" t="s">
        <v>2242</v>
      </c>
      <c r="M77" t="s">
        <v>2251</v>
      </c>
      <c r="N77">
        <v>5</v>
      </c>
      <c r="O77">
        <f t="shared" si="5"/>
        <v>77440</v>
      </c>
      <c r="P77">
        <f t="shared" si="6"/>
        <v>387200</v>
      </c>
      <c r="Q77">
        <v>0</v>
      </c>
      <c r="R77">
        <f t="shared" si="7"/>
        <v>387200</v>
      </c>
      <c r="S77" t="s">
        <v>2260</v>
      </c>
      <c r="T77" t="s">
        <v>2265</v>
      </c>
      <c r="U77" s="1" t="str">
        <f t="shared" si="8"/>
        <v>Not Delivered</v>
      </c>
      <c r="V77">
        <f t="shared" si="9"/>
        <v>58080</v>
      </c>
    </row>
    <row r="78" spans="1:22" x14ac:dyDescent="0.3">
      <c r="A78" t="s">
        <v>96</v>
      </c>
      <c r="B78">
        <v>2024</v>
      </c>
      <c r="C78" s="1">
        <v>45296</v>
      </c>
      <c r="D78" t="s">
        <v>822</v>
      </c>
      <c r="E78" t="s">
        <v>903</v>
      </c>
      <c r="F78" t="s">
        <v>1443</v>
      </c>
      <c r="G78" t="s">
        <v>2167</v>
      </c>
      <c r="H78" t="s">
        <v>2190</v>
      </c>
      <c r="I78" t="s">
        <v>2208</v>
      </c>
      <c r="J78" t="s">
        <v>2210</v>
      </c>
      <c r="K78" t="s">
        <v>2229</v>
      </c>
      <c r="L78" t="s">
        <v>2246</v>
      </c>
      <c r="M78" t="s">
        <v>2258</v>
      </c>
      <c r="N78">
        <v>3</v>
      </c>
      <c r="O78">
        <f t="shared" si="5"/>
        <v>77440</v>
      </c>
      <c r="P78">
        <f t="shared" si="6"/>
        <v>232320</v>
      </c>
      <c r="Q78">
        <v>0</v>
      </c>
      <c r="R78">
        <f t="shared" si="7"/>
        <v>232320</v>
      </c>
      <c r="S78" t="s">
        <v>2263</v>
      </c>
      <c r="T78" t="s">
        <v>2265</v>
      </c>
      <c r="U78" s="1" t="str">
        <f t="shared" si="8"/>
        <v>Not Delivered</v>
      </c>
      <c r="V78">
        <f t="shared" si="9"/>
        <v>34848</v>
      </c>
    </row>
    <row r="79" spans="1:22" x14ac:dyDescent="0.3">
      <c r="A79" t="s">
        <v>97</v>
      </c>
      <c r="B79">
        <v>2025</v>
      </c>
      <c r="C79" s="1">
        <v>45693</v>
      </c>
      <c r="D79" t="s">
        <v>820</v>
      </c>
      <c r="E79" t="s">
        <v>904</v>
      </c>
      <c r="F79" t="s">
        <v>1444</v>
      </c>
      <c r="G79" t="s">
        <v>2167</v>
      </c>
      <c r="H79" t="s">
        <v>2198</v>
      </c>
      <c r="I79" t="s">
        <v>2207</v>
      </c>
      <c r="J79" t="s">
        <v>2213</v>
      </c>
      <c r="K79" t="s">
        <v>2229</v>
      </c>
      <c r="L79" t="s">
        <v>2246</v>
      </c>
      <c r="M79" t="s">
        <v>2259</v>
      </c>
      <c r="N79">
        <v>2</v>
      </c>
      <c r="O79">
        <f t="shared" si="5"/>
        <v>77440</v>
      </c>
      <c r="P79">
        <f t="shared" si="6"/>
        <v>154880</v>
      </c>
      <c r="Q79">
        <v>5</v>
      </c>
      <c r="R79">
        <f t="shared" si="7"/>
        <v>147136</v>
      </c>
      <c r="S79" t="s">
        <v>2263</v>
      </c>
      <c r="T79" t="s">
        <v>2264</v>
      </c>
      <c r="U79" s="1" t="str">
        <f t="shared" si="8"/>
        <v>Not Delivered</v>
      </c>
      <c r="V79">
        <f t="shared" si="9"/>
        <v>23232</v>
      </c>
    </row>
    <row r="80" spans="1:22" x14ac:dyDescent="0.3">
      <c r="A80" t="s">
        <v>98</v>
      </c>
      <c r="B80">
        <v>2024</v>
      </c>
      <c r="C80" s="1">
        <v>45405</v>
      </c>
      <c r="D80" t="s">
        <v>820</v>
      </c>
      <c r="E80" t="s">
        <v>905</v>
      </c>
      <c r="F80" t="s">
        <v>1445</v>
      </c>
      <c r="G80" t="s">
        <v>2167</v>
      </c>
      <c r="H80" t="s">
        <v>2199</v>
      </c>
      <c r="I80" t="s">
        <v>2205</v>
      </c>
      <c r="J80" t="s">
        <v>2212</v>
      </c>
      <c r="K80" t="s">
        <v>2225</v>
      </c>
      <c r="L80" t="s">
        <v>2243</v>
      </c>
      <c r="M80" t="s">
        <v>2250</v>
      </c>
      <c r="N80">
        <v>1</v>
      </c>
      <c r="O80">
        <f t="shared" si="5"/>
        <v>77440</v>
      </c>
      <c r="P80">
        <f t="shared" si="6"/>
        <v>77440</v>
      </c>
      <c r="Q80">
        <v>15</v>
      </c>
      <c r="R80">
        <f t="shared" si="7"/>
        <v>65824</v>
      </c>
      <c r="S80" t="s">
        <v>2260</v>
      </c>
      <c r="T80" t="s">
        <v>2266</v>
      </c>
      <c r="U80" s="1">
        <f t="shared" si="8"/>
        <v>45412</v>
      </c>
      <c r="V80">
        <f t="shared" si="9"/>
        <v>11616</v>
      </c>
    </row>
    <row r="81" spans="1:22" x14ac:dyDescent="0.3">
      <c r="A81" t="s">
        <v>99</v>
      </c>
      <c r="B81">
        <v>2024</v>
      </c>
      <c r="C81" s="1">
        <v>45460</v>
      </c>
      <c r="D81" t="s">
        <v>825</v>
      </c>
      <c r="E81" t="s">
        <v>906</v>
      </c>
      <c r="F81" t="s">
        <v>1446</v>
      </c>
      <c r="G81" t="s">
        <v>2167</v>
      </c>
      <c r="H81" t="s">
        <v>2176</v>
      </c>
      <c r="I81" t="s">
        <v>2205</v>
      </c>
      <c r="J81" t="s">
        <v>2212</v>
      </c>
      <c r="K81" t="s">
        <v>2220</v>
      </c>
      <c r="L81" t="s">
        <v>2245</v>
      </c>
      <c r="M81" t="s">
        <v>2252</v>
      </c>
      <c r="N81">
        <v>5</v>
      </c>
      <c r="O81">
        <f t="shared" si="5"/>
        <v>77440</v>
      </c>
      <c r="P81">
        <f t="shared" si="6"/>
        <v>387200</v>
      </c>
      <c r="Q81">
        <v>20</v>
      </c>
      <c r="R81">
        <f t="shared" si="7"/>
        <v>309760</v>
      </c>
      <c r="S81" t="s">
        <v>2260</v>
      </c>
      <c r="T81" t="s">
        <v>2265</v>
      </c>
      <c r="U81" s="1" t="str">
        <f t="shared" si="8"/>
        <v>Not Delivered</v>
      </c>
      <c r="V81">
        <f t="shared" si="9"/>
        <v>58080</v>
      </c>
    </row>
    <row r="82" spans="1:22" x14ac:dyDescent="0.3">
      <c r="A82" t="s">
        <v>100</v>
      </c>
      <c r="B82">
        <v>2024</v>
      </c>
      <c r="C82" s="1">
        <v>45453</v>
      </c>
      <c r="D82" t="s">
        <v>828</v>
      </c>
      <c r="E82" t="s">
        <v>907</v>
      </c>
      <c r="F82" t="s">
        <v>1447</v>
      </c>
      <c r="G82" t="s">
        <v>2167</v>
      </c>
      <c r="H82" t="s">
        <v>2181</v>
      </c>
      <c r="I82" t="s">
        <v>2209</v>
      </c>
      <c r="J82" t="s">
        <v>2213</v>
      </c>
      <c r="K82" t="s">
        <v>2228</v>
      </c>
      <c r="L82" t="s">
        <v>2243</v>
      </c>
      <c r="M82" t="s">
        <v>2248</v>
      </c>
      <c r="N82">
        <v>2</v>
      </c>
      <c r="O82">
        <f t="shared" si="5"/>
        <v>77440</v>
      </c>
      <c r="P82">
        <f t="shared" si="6"/>
        <v>154880</v>
      </c>
      <c r="Q82">
        <v>0</v>
      </c>
      <c r="R82">
        <f t="shared" si="7"/>
        <v>154880</v>
      </c>
      <c r="S82" t="s">
        <v>2261</v>
      </c>
      <c r="T82" t="s">
        <v>2265</v>
      </c>
      <c r="U82" s="1" t="str">
        <f t="shared" si="8"/>
        <v>Not Delivered</v>
      </c>
      <c r="V82">
        <f t="shared" si="9"/>
        <v>23232</v>
      </c>
    </row>
    <row r="83" spans="1:22" x14ac:dyDescent="0.3">
      <c r="A83" t="s">
        <v>101</v>
      </c>
      <c r="B83">
        <v>2024</v>
      </c>
      <c r="C83" s="1">
        <v>45414</v>
      </c>
      <c r="D83" t="s">
        <v>822</v>
      </c>
      <c r="E83" t="s">
        <v>908</v>
      </c>
      <c r="F83" t="s">
        <v>1448</v>
      </c>
      <c r="G83" t="s">
        <v>2167</v>
      </c>
      <c r="H83" t="s">
        <v>2176</v>
      </c>
      <c r="I83" t="s">
        <v>2205</v>
      </c>
      <c r="J83" t="s">
        <v>2213</v>
      </c>
      <c r="K83" t="s">
        <v>2219</v>
      </c>
      <c r="L83" t="s">
        <v>2243</v>
      </c>
      <c r="M83" t="s">
        <v>2256</v>
      </c>
      <c r="N83">
        <v>3</v>
      </c>
      <c r="O83">
        <f t="shared" si="5"/>
        <v>77440</v>
      </c>
      <c r="P83">
        <f t="shared" si="6"/>
        <v>232320</v>
      </c>
      <c r="Q83">
        <v>15</v>
      </c>
      <c r="R83">
        <f t="shared" si="7"/>
        <v>197472</v>
      </c>
      <c r="S83" t="s">
        <v>2263</v>
      </c>
      <c r="T83" t="s">
        <v>2266</v>
      </c>
      <c r="U83" s="1">
        <f t="shared" si="8"/>
        <v>45421</v>
      </c>
      <c r="V83">
        <f t="shared" si="9"/>
        <v>34848</v>
      </c>
    </row>
    <row r="84" spans="1:22" x14ac:dyDescent="0.3">
      <c r="A84" t="s">
        <v>102</v>
      </c>
      <c r="B84">
        <v>2024</v>
      </c>
      <c r="C84" s="1">
        <v>45329</v>
      </c>
      <c r="D84" t="s">
        <v>829</v>
      </c>
      <c r="E84" t="s">
        <v>909</v>
      </c>
      <c r="F84" t="s">
        <v>1449</v>
      </c>
      <c r="G84" t="s">
        <v>2167</v>
      </c>
      <c r="H84" t="s">
        <v>2168</v>
      </c>
      <c r="I84" t="s">
        <v>2200</v>
      </c>
      <c r="J84" t="s">
        <v>2211</v>
      </c>
      <c r="K84" t="s">
        <v>2218</v>
      </c>
      <c r="L84" t="s">
        <v>2242</v>
      </c>
      <c r="M84" t="s">
        <v>2255</v>
      </c>
      <c r="N84">
        <v>5</v>
      </c>
      <c r="O84">
        <f t="shared" si="5"/>
        <v>77440</v>
      </c>
      <c r="P84">
        <f t="shared" si="6"/>
        <v>387200</v>
      </c>
      <c r="Q84">
        <v>0</v>
      </c>
      <c r="R84">
        <f t="shared" si="7"/>
        <v>387200</v>
      </c>
      <c r="S84" t="s">
        <v>2261</v>
      </c>
      <c r="T84" t="s">
        <v>2265</v>
      </c>
      <c r="U84" s="1" t="str">
        <f t="shared" si="8"/>
        <v>Not Delivered</v>
      </c>
      <c r="V84">
        <f t="shared" si="9"/>
        <v>58080</v>
      </c>
    </row>
    <row r="85" spans="1:22" x14ac:dyDescent="0.3">
      <c r="A85" t="s">
        <v>103</v>
      </c>
      <c r="B85">
        <v>2024</v>
      </c>
      <c r="C85" s="1">
        <v>45601</v>
      </c>
      <c r="D85" t="s">
        <v>829</v>
      </c>
      <c r="E85" t="s">
        <v>910</v>
      </c>
      <c r="F85" t="s">
        <v>1450</v>
      </c>
      <c r="G85" t="s">
        <v>2167</v>
      </c>
      <c r="H85" t="s">
        <v>2178</v>
      </c>
      <c r="I85" t="s">
        <v>2207</v>
      </c>
      <c r="J85" t="s">
        <v>2213</v>
      </c>
      <c r="K85" t="s">
        <v>2214</v>
      </c>
      <c r="L85" t="s">
        <v>2242</v>
      </c>
      <c r="M85" t="s">
        <v>2249</v>
      </c>
      <c r="N85">
        <v>3</v>
      </c>
      <c r="O85">
        <f t="shared" si="5"/>
        <v>77440</v>
      </c>
      <c r="P85">
        <f t="shared" si="6"/>
        <v>232320</v>
      </c>
      <c r="Q85">
        <v>20</v>
      </c>
      <c r="R85">
        <f t="shared" si="7"/>
        <v>185856</v>
      </c>
      <c r="S85" t="s">
        <v>2263</v>
      </c>
      <c r="T85" t="s">
        <v>2266</v>
      </c>
      <c r="U85" s="1">
        <f t="shared" si="8"/>
        <v>45608</v>
      </c>
      <c r="V85">
        <f t="shared" si="9"/>
        <v>34848</v>
      </c>
    </row>
    <row r="86" spans="1:22" x14ac:dyDescent="0.3">
      <c r="A86" t="s">
        <v>104</v>
      </c>
      <c r="B86">
        <v>2025</v>
      </c>
      <c r="C86" s="1">
        <v>45680</v>
      </c>
      <c r="D86" t="s">
        <v>827</v>
      </c>
      <c r="E86" t="s">
        <v>911</v>
      </c>
      <c r="F86" t="s">
        <v>1451</v>
      </c>
      <c r="G86" t="s">
        <v>2167</v>
      </c>
      <c r="H86" t="s">
        <v>2198</v>
      </c>
      <c r="I86" t="s">
        <v>2207</v>
      </c>
      <c r="J86" t="s">
        <v>2212</v>
      </c>
      <c r="K86" t="s">
        <v>2226</v>
      </c>
      <c r="L86" t="s">
        <v>2244</v>
      </c>
      <c r="M86" t="s">
        <v>2248</v>
      </c>
      <c r="N86">
        <v>1</v>
      </c>
      <c r="O86">
        <f t="shared" si="5"/>
        <v>77440</v>
      </c>
      <c r="P86">
        <f t="shared" si="6"/>
        <v>77440</v>
      </c>
      <c r="Q86">
        <v>20</v>
      </c>
      <c r="R86">
        <f t="shared" si="7"/>
        <v>61952</v>
      </c>
      <c r="S86" t="s">
        <v>2260</v>
      </c>
      <c r="T86" t="s">
        <v>2264</v>
      </c>
      <c r="U86" s="1" t="str">
        <f t="shared" si="8"/>
        <v>Not Delivered</v>
      </c>
      <c r="V86">
        <f t="shared" si="9"/>
        <v>11616</v>
      </c>
    </row>
    <row r="87" spans="1:22" x14ac:dyDescent="0.3">
      <c r="A87" t="s">
        <v>105</v>
      </c>
      <c r="B87">
        <v>2025</v>
      </c>
      <c r="C87" s="1">
        <v>45850</v>
      </c>
      <c r="D87" t="s">
        <v>822</v>
      </c>
      <c r="E87" t="s">
        <v>912</v>
      </c>
      <c r="F87" t="s">
        <v>1452</v>
      </c>
      <c r="G87" t="s">
        <v>2167</v>
      </c>
      <c r="H87" t="s">
        <v>2184</v>
      </c>
      <c r="I87" t="s">
        <v>2202</v>
      </c>
      <c r="J87" t="s">
        <v>2211</v>
      </c>
      <c r="K87" t="s">
        <v>2240</v>
      </c>
      <c r="L87" t="s">
        <v>2246</v>
      </c>
      <c r="M87" t="s">
        <v>2258</v>
      </c>
      <c r="N87">
        <v>2</v>
      </c>
      <c r="O87">
        <f t="shared" si="5"/>
        <v>77440</v>
      </c>
      <c r="P87">
        <f t="shared" si="6"/>
        <v>154880</v>
      </c>
      <c r="Q87">
        <v>10</v>
      </c>
      <c r="R87">
        <f t="shared" si="7"/>
        <v>139392</v>
      </c>
      <c r="S87" t="s">
        <v>2261</v>
      </c>
      <c r="T87" t="s">
        <v>2266</v>
      </c>
      <c r="U87" s="1">
        <f t="shared" si="8"/>
        <v>45857</v>
      </c>
      <c r="V87">
        <f t="shared" si="9"/>
        <v>23232</v>
      </c>
    </row>
    <row r="88" spans="1:22" x14ac:dyDescent="0.3">
      <c r="A88" t="s">
        <v>106</v>
      </c>
      <c r="B88">
        <v>2025</v>
      </c>
      <c r="C88" s="1">
        <v>45671</v>
      </c>
      <c r="D88" t="s">
        <v>823</v>
      </c>
      <c r="E88" t="s">
        <v>913</v>
      </c>
      <c r="F88" t="s">
        <v>1453</v>
      </c>
      <c r="G88" t="s">
        <v>2167</v>
      </c>
      <c r="H88" t="s">
        <v>2179</v>
      </c>
      <c r="I88" t="s">
        <v>2206</v>
      </c>
      <c r="J88" t="s">
        <v>2210</v>
      </c>
      <c r="K88" t="s">
        <v>2240</v>
      </c>
      <c r="L88" t="s">
        <v>2246</v>
      </c>
      <c r="M88" t="s">
        <v>2257</v>
      </c>
      <c r="N88">
        <v>1</v>
      </c>
      <c r="O88">
        <f t="shared" si="5"/>
        <v>77440</v>
      </c>
      <c r="P88">
        <f t="shared" si="6"/>
        <v>77440</v>
      </c>
      <c r="Q88">
        <v>10</v>
      </c>
      <c r="R88">
        <f t="shared" si="7"/>
        <v>69696</v>
      </c>
      <c r="S88" t="s">
        <v>2261</v>
      </c>
      <c r="T88" t="s">
        <v>2264</v>
      </c>
      <c r="U88" s="1" t="str">
        <f t="shared" si="8"/>
        <v>Not Delivered</v>
      </c>
      <c r="V88">
        <f t="shared" si="9"/>
        <v>11616</v>
      </c>
    </row>
    <row r="89" spans="1:22" x14ac:dyDescent="0.3">
      <c r="A89" t="s">
        <v>107</v>
      </c>
      <c r="B89">
        <v>2024</v>
      </c>
      <c r="C89" s="1">
        <v>45606</v>
      </c>
      <c r="D89" t="s">
        <v>826</v>
      </c>
      <c r="E89" t="s">
        <v>914</v>
      </c>
      <c r="F89" t="s">
        <v>1454</v>
      </c>
      <c r="G89" t="s">
        <v>2167</v>
      </c>
      <c r="H89" t="s">
        <v>2177</v>
      </c>
      <c r="I89" t="s">
        <v>2206</v>
      </c>
      <c r="J89" t="s">
        <v>2212</v>
      </c>
      <c r="K89" t="s">
        <v>2218</v>
      </c>
      <c r="L89" t="s">
        <v>2242</v>
      </c>
      <c r="M89" t="s">
        <v>2254</v>
      </c>
      <c r="N89">
        <v>5</v>
      </c>
      <c r="O89">
        <f t="shared" si="5"/>
        <v>77440</v>
      </c>
      <c r="P89">
        <f t="shared" si="6"/>
        <v>387200</v>
      </c>
      <c r="Q89">
        <v>15</v>
      </c>
      <c r="R89">
        <f t="shared" si="7"/>
        <v>329120</v>
      </c>
      <c r="S89" t="s">
        <v>2260</v>
      </c>
      <c r="T89" t="s">
        <v>2265</v>
      </c>
      <c r="U89" s="1" t="str">
        <f t="shared" si="8"/>
        <v>Not Delivered</v>
      </c>
      <c r="V89">
        <f t="shared" si="9"/>
        <v>58080</v>
      </c>
    </row>
    <row r="90" spans="1:22" x14ac:dyDescent="0.3">
      <c r="A90" t="s">
        <v>108</v>
      </c>
      <c r="B90">
        <v>2025</v>
      </c>
      <c r="C90" s="1">
        <v>45830</v>
      </c>
      <c r="D90" t="s">
        <v>822</v>
      </c>
      <c r="E90" t="s">
        <v>915</v>
      </c>
      <c r="F90" t="s">
        <v>1455</v>
      </c>
      <c r="G90" t="s">
        <v>2167</v>
      </c>
      <c r="H90" t="s">
        <v>2176</v>
      </c>
      <c r="I90" t="s">
        <v>2205</v>
      </c>
      <c r="J90" t="s">
        <v>2213</v>
      </c>
      <c r="K90" t="s">
        <v>2226</v>
      </c>
      <c r="L90" t="s">
        <v>2244</v>
      </c>
      <c r="M90" t="s">
        <v>2249</v>
      </c>
      <c r="N90">
        <v>4</v>
      </c>
      <c r="O90">
        <f t="shared" si="5"/>
        <v>77440</v>
      </c>
      <c r="P90">
        <f t="shared" si="6"/>
        <v>309760</v>
      </c>
      <c r="Q90">
        <v>10</v>
      </c>
      <c r="R90">
        <f t="shared" si="7"/>
        <v>278784</v>
      </c>
      <c r="S90" t="s">
        <v>2263</v>
      </c>
      <c r="T90" t="s">
        <v>2265</v>
      </c>
      <c r="U90" s="1" t="str">
        <f t="shared" si="8"/>
        <v>Not Delivered</v>
      </c>
      <c r="V90">
        <f t="shared" si="9"/>
        <v>46464</v>
      </c>
    </row>
    <row r="91" spans="1:22" x14ac:dyDescent="0.3">
      <c r="A91" t="s">
        <v>109</v>
      </c>
      <c r="B91">
        <v>2025</v>
      </c>
      <c r="C91" s="1">
        <v>45718</v>
      </c>
      <c r="D91" t="s">
        <v>821</v>
      </c>
      <c r="E91" t="s">
        <v>916</v>
      </c>
      <c r="F91" t="s">
        <v>1456</v>
      </c>
      <c r="G91" t="s">
        <v>2167</v>
      </c>
      <c r="H91" t="s">
        <v>2197</v>
      </c>
      <c r="I91" t="s">
        <v>2209</v>
      </c>
      <c r="J91" t="s">
        <v>2211</v>
      </c>
      <c r="K91" t="s">
        <v>2236</v>
      </c>
      <c r="L91" t="s">
        <v>2242</v>
      </c>
      <c r="M91" t="s">
        <v>2253</v>
      </c>
      <c r="N91">
        <v>2</v>
      </c>
      <c r="O91">
        <f t="shared" si="5"/>
        <v>77440</v>
      </c>
      <c r="P91">
        <f t="shared" si="6"/>
        <v>154880</v>
      </c>
      <c r="Q91">
        <v>5</v>
      </c>
      <c r="R91">
        <f t="shared" si="7"/>
        <v>147136</v>
      </c>
      <c r="S91" t="s">
        <v>2260</v>
      </c>
      <c r="T91" t="s">
        <v>2266</v>
      </c>
      <c r="U91" s="1">
        <f t="shared" si="8"/>
        <v>45725</v>
      </c>
      <c r="V91">
        <f t="shared" si="9"/>
        <v>23232</v>
      </c>
    </row>
    <row r="92" spans="1:22" x14ac:dyDescent="0.3">
      <c r="A92" t="s">
        <v>110</v>
      </c>
      <c r="B92">
        <v>2024</v>
      </c>
      <c r="C92" s="1">
        <v>45537</v>
      </c>
      <c r="D92" t="s">
        <v>829</v>
      </c>
      <c r="E92" t="s">
        <v>917</v>
      </c>
      <c r="F92" t="s">
        <v>1457</v>
      </c>
      <c r="G92" t="s">
        <v>2167</v>
      </c>
      <c r="H92" t="s">
        <v>2186</v>
      </c>
      <c r="I92" t="s">
        <v>2201</v>
      </c>
      <c r="J92" t="s">
        <v>2213</v>
      </c>
      <c r="K92" t="s">
        <v>2234</v>
      </c>
      <c r="L92" t="s">
        <v>2244</v>
      </c>
      <c r="M92" t="s">
        <v>2248</v>
      </c>
      <c r="N92">
        <v>5</v>
      </c>
      <c r="O92">
        <f t="shared" si="5"/>
        <v>77440</v>
      </c>
      <c r="P92">
        <f t="shared" si="6"/>
        <v>387200</v>
      </c>
      <c r="Q92">
        <v>10</v>
      </c>
      <c r="R92">
        <f t="shared" si="7"/>
        <v>348480</v>
      </c>
      <c r="S92" t="s">
        <v>2261</v>
      </c>
      <c r="T92" t="s">
        <v>2265</v>
      </c>
      <c r="U92" s="1" t="str">
        <f t="shared" si="8"/>
        <v>Not Delivered</v>
      </c>
      <c r="V92">
        <f t="shared" si="9"/>
        <v>58080</v>
      </c>
    </row>
    <row r="93" spans="1:22" x14ac:dyDescent="0.3">
      <c r="A93" t="s">
        <v>111</v>
      </c>
      <c r="B93">
        <v>2025</v>
      </c>
      <c r="C93" s="1">
        <v>45752</v>
      </c>
      <c r="D93" t="s">
        <v>822</v>
      </c>
      <c r="E93" t="s">
        <v>918</v>
      </c>
      <c r="F93" t="s">
        <v>1458</v>
      </c>
      <c r="G93" t="s">
        <v>2167</v>
      </c>
      <c r="H93" t="s">
        <v>2192</v>
      </c>
      <c r="I93" t="s">
        <v>2207</v>
      </c>
      <c r="J93" t="s">
        <v>2210</v>
      </c>
      <c r="K93" t="s">
        <v>2214</v>
      </c>
      <c r="L93" t="s">
        <v>2242</v>
      </c>
      <c r="M93" t="s">
        <v>2255</v>
      </c>
      <c r="N93">
        <v>4</v>
      </c>
      <c r="O93">
        <f t="shared" si="5"/>
        <v>77440</v>
      </c>
      <c r="P93">
        <f t="shared" si="6"/>
        <v>309760</v>
      </c>
      <c r="Q93">
        <v>0</v>
      </c>
      <c r="R93">
        <f t="shared" si="7"/>
        <v>309760</v>
      </c>
      <c r="S93" t="s">
        <v>2261</v>
      </c>
      <c r="T93" t="s">
        <v>2264</v>
      </c>
      <c r="U93" s="1" t="str">
        <f t="shared" si="8"/>
        <v>Not Delivered</v>
      </c>
      <c r="V93">
        <f t="shared" si="9"/>
        <v>46464</v>
      </c>
    </row>
    <row r="94" spans="1:22" x14ac:dyDescent="0.3">
      <c r="A94" t="s">
        <v>112</v>
      </c>
      <c r="B94">
        <v>2024</v>
      </c>
      <c r="C94" s="1">
        <v>45388</v>
      </c>
      <c r="D94" t="s">
        <v>827</v>
      </c>
      <c r="E94" t="s">
        <v>919</v>
      </c>
      <c r="F94" t="s">
        <v>1459</v>
      </c>
      <c r="G94" t="s">
        <v>2167</v>
      </c>
      <c r="H94" t="s">
        <v>2185</v>
      </c>
      <c r="I94" t="s">
        <v>2204</v>
      </c>
      <c r="J94" t="s">
        <v>2212</v>
      </c>
      <c r="K94" t="s">
        <v>2217</v>
      </c>
      <c r="L94" t="s">
        <v>2244</v>
      </c>
      <c r="M94" t="s">
        <v>2249</v>
      </c>
      <c r="N94">
        <v>3</v>
      </c>
      <c r="O94">
        <f t="shared" si="5"/>
        <v>77440</v>
      </c>
      <c r="P94">
        <f t="shared" si="6"/>
        <v>232320</v>
      </c>
      <c r="Q94">
        <v>15</v>
      </c>
      <c r="R94">
        <f t="shared" si="7"/>
        <v>197472</v>
      </c>
      <c r="S94" t="s">
        <v>2260</v>
      </c>
      <c r="T94" t="s">
        <v>2266</v>
      </c>
      <c r="U94" s="1">
        <f t="shared" si="8"/>
        <v>45395</v>
      </c>
      <c r="V94">
        <f t="shared" si="9"/>
        <v>34848</v>
      </c>
    </row>
    <row r="95" spans="1:22" x14ac:dyDescent="0.3">
      <c r="A95" t="s">
        <v>113</v>
      </c>
      <c r="B95">
        <v>2025</v>
      </c>
      <c r="C95" s="1">
        <v>45706</v>
      </c>
      <c r="D95" t="s">
        <v>826</v>
      </c>
      <c r="E95" t="s">
        <v>920</v>
      </c>
      <c r="F95" t="s">
        <v>1460</v>
      </c>
      <c r="G95" t="s">
        <v>2167</v>
      </c>
      <c r="H95" t="s">
        <v>2189</v>
      </c>
      <c r="I95" t="s">
        <v>2202</v>
      </c>
      <c r="J95" t="s">
        <v>2213</v>
      </c>
      <c r="K95" t="s">
        <v>2237</v>
      </c>
      <c r="L95" t="s">
        <v>2246</v>
      </c>
      <c r="M95" t="s">
        <v>2250</v>
      </c>
      <c r="N95">
        <v>4</v>
      </c>
      <c r="O95">
        <f t="shared" si="5"/>
        <v>77440</v>
      </c>
      <c r="P95">
        <f t="shared" si="6"/>
        <v>309760</v>
      </c>
      <c r="Q95">
        <v>10</v>
      </c>
      <c r="R95">
        <f t="shared" si="7"/>
        <v>278784</v>
      </c>
      <c r="S95" t="s">
        <v>2262</v>
      </c>
      <c r="T95" t="s">
        <v>2265</v>
      </c>
      <c r="U95" s="1" t="str">
        <f t="shared" si="8"/>
        <v>Not Delivered</v>
      </c>
      <c r="V95">
        <f t="shared" si="9"/>
        <v>46464</v>
      </c>
    </row>
    <row r="96" spans="1:22" x14ac:dyDescent="0.3">
      <c r="A96" t="s">
        <v>114</v>
      </c>
      <c r="B96">
        <v>2024</v>
      </c>
      <c r="C96" s="1">
        <v>45533</v>
      </c>
      <c r="D96" t="s">
        <v>820</v>
      </c>
      <c r="E96" t="s">
        <v>921</v>
      </c>
      <c r="F96" t="s">
        <v>1461</v>
      </c>
      <c r="G96" t="s">
        <v>2167</v>
      </c>
      <c r="H96" t="s">
        <v>2179</v>
      </c>
      <c r="I96" t="s">
        <v>2206</v>
      </c>
      <c r="J96" t="s">
        <v>2210</v>
      </c>
      <c r="K96" t="s">
        <v>2232</v>
      </c>
      <c r="L96" t="s">
        <v>2243</v>
      </c>
      <c r="M96" t="s">
        <v>2250</v>
      </c>
      <c r="N96">
        <v>3</v>
      </c>
      <c r="O96">
        <f t="shared" si="5"/>
        <v>77440</v>
      </c>
      <c r="P96">
        <f t="shared" si="6"/>
        <v>232320</v>
      </c>
      <c r="Q96">
        <v>5</v>
      </c>
      <c r="R96">
        <f t="shared" si="7"/>
        <v>220704</v>
      </c>
      <c r="S96" t="s">
        <v>2263</v>
      </c>
      <c r="T96" t="s">
        <v>2265</v>
      </c>
      <c r="U96" s="1" t="str">
        <f t="shared" si="8"/>
        <v>Not Delivered</v>
      </c>
      <c r="V96">
        <f t="shared" si="9"/>
        <v>34848</v>
      </c>
    </row>
    <row r="97" spans="1:22" x14ac:dyDescent="0.3">
      <c r="A97" t="s">
        <v>115</v>
      </c>
      <c r="B97">
        <v>2024</v>
      </c>
      <c r="C97" s="1">
        <v>45563</v>
      </c>
      <c r="D97" t="s">
        <v>820</v>
      </c>
      <c r="E97" t="s">
        <v>843</v>
      </c>
      <c r="F97" t="s">
        <v>1462</v>
      </c>
      <c r="G97" t="s">
        <v>2167</v>
      </c>
      <c r="H97" t="s">
        <v>2192</v>
      </c>
      <c r="I97" t="s">
        <v>2207</v>
      </c>
      <c r="J97" t="s">
        <v>2212</v>
      </c>
      <c r="K97" t="s">
        <v>2221</v>
      </c>
      <c r="L97" t="s">
        <v>2246</v>
      </c>
      <c r="M97" t="s">
        <v>2258</v>
      </c>
      <c r="N97">
        <v>1</v>
      </c>
      <c r="O97">
        <f t="shared" si="5"/>
        <v>77440</v>
      </c>
      <c r="P97">
        <f t="shared" si="6"/>
        <v>77440</v>
      </c>
      <c r="Q97">
        <v>15</v>
      </c>
      <c r="R97">
        <f t="shared" si="7"/>
        <v>65824</v>
      </c>
      <c r="S97" t="s">
        <v>2262</v>
      </c>
      <c r="T97" t="s">
        <v>2264</v>
      </c>
      <c r="U97" s="1" t="str">
        <f t="shared" si="8"/>
        <v>Not Delivered</v>
      </c>
      <c r="V97">
        <f t="shared" si="9"/>
        <v>11616</v>
      </c>
    </row>
    <row r="98" spans="1:22" x14ac:dyDescent="0.3">
      <c r="A98" t="s">
        <v>116</v>
      </c>
      <c r="B98">
        <v>2025</v>
      </c>
      <c r="C98" s="1">
        <v>45698</v>
      </c>
      <c r="D98" t="s">
        <v>827</v>
      </c>
      <c r="E98" t="s">
        <v>922</v>
      </c>
      <c r="F98" t="s">
        <v>1463</v>
      </c>
      <c r="G98" t="s">
        <v>2167</v>
      </c>
      <c r="H98" t="s">
        <v>2181</v>
      </c>
      <c r="I98" t="s">
        <v>2209</v>
      </c>
      <c r="J98" t="s">
        <v>2212</v>
      </c>
      <c r="K98" t="s">
        <v>2226</v>
      </c>
      <c r="L98" t="s">
        <v>2244</v>
      </c>
      <c r="M98" t="s">
        <v>2250</v>
      </c>
      <c r="N98">
        <v>3</v>
      </c>
      <c r="O98">
        <f t="shared" si="5"/>
        <v>77440</v>
      </c>
      <c r="P98">
        <f t="shared" si="6"/>
        <v>232320</v>
      </c>
      <c r="Q98">
        <v>20</v>
      </c>
      <c r="R98">
        <f t="shared" si="7"/>
        <v>185856</v>
      </c>
      <c r="S98" t="s">
        <v>2263</v>
      </c>
      <c r="T98" t="s">
        <v>2264</v>
      </c>
      <c r="U98" s="1" t="str">
        <f t="shared" si="8"/>
        <v>Not Delivered</v>
      </c>
      <c r="V98">
        <f t="shared" si="9"/>
        <v>34848</v>
      </c>
    </row>
    <row r="99" spans="1:22" x14ac:dyDescent="0.3">
      <c r="A99" t="s">
        <v>117</v>
      </c>
      <c r="B99">
        <v>2025</v>
      </c>
      <c r="C99" s="1">
        <v>45828</v>
      </c>
      <c r="D99" t="s">
        <v>829</v>
      </c>
      <c r="E99" t="s">
        <v>923</v>
      </c>
      <c r="F99" t="s">
        <v>1464</v>
      </c>
      <c r="G99" t="s">
        <v>2167</v>
      </c>
      <c r="H99" t="s">
        <v>2171</v>
      </c>
      <c r="I99" t="s">
        <v>2202</v>
      </c>
      <c r="J99" t="s">
        <v>2212</v>
      </c>
      <c r="K99" t="s">
        <v>2227</v>
      </c>
      <c r="L99" t="s">
        <v>2247</v>
      </c>
      <c r="M99" t="s">
        <v>2250</v>
      </c>
      <c r="N99">
        <v>1</v>
      </c>
      <c r="O99">
        <f t="shared" si="5"/>
        <v>77440</v>
      </c>
      <c r="P99">
        <f t="shared" si="6"/>
        <v>77440</v>
      </c>
      <c r="Q99">
        <v>0</v>
      </c>
      <c r="R99">
        <f t="shared" si="7"/>
        <v>77440</v>
      </c>
      <c r="S99" t="s">
        <v>2260</v>
      </c>
      <c r="T99" t="s">
        <v>2264</v>
      </c>
      <c r="U99" s="1" t="str">
        <f t="shared" si="8"/>
        <v>Not Delivered</v>
      </c>
      <c r="V99">
        <f t="shared" si="9"/>
        <v>11616</v>
      </c>
    </row>
    <row r="100" spans="1:22" x14ac:dyDescent="0.3">
      <c r="A100" t="s">
        <v>118</v>
      </c>
      <c r="B100">
        <v>2024</v>
      </c>
      <c r="C100" s="1">
        <v>45460</v>
      </c>
      <c r="D100" t="s">
        <v>821</v>
      </c>
      <c r="E100" t="s">
        <v>924</v>
      </c>
      <c r="F100" t="s">
        <v>1465</v>
      </c>
      <c r="G100" t="s">
        <v>2167</v>
      </c>
      <c r="H100" t="s">
        <v>2184</v>
      </c>
      <c r="I100" t="s">
        <v>2202</v>
      </c>
      <c r="J100" t="s">
        <v>2212</v>
      </c>
      <c r="K100" t="s">
        <v>2214</v>
      </c>
      <c r="L100" t="s">
        <v>2242</v>
      </c>
      <c r="M100" t="s">
        <v>2250</v>
      </c>
      <c r="N100">
        <v>1</v>
      </c>
      <c r="O100">
        <f t="shared" si="5"/>
        <v>77440</v>
      </c>
      <c r="P100">
        <f t="shared" si="6"/>
        <v>77440</v>
      </c>
      <c r="Q100">
        <v>0</v>
      </c>
      <c r="R100">
        <f t="shared" si="7"/>
        <v>77440</v>
      </c>
      <c r="S100" t="s">
        <v>2260</v>
      </c>
      <c r="T100" t="s">
        <v>2264</v>
      </c>
      <c r="U100" s="1" t="str">
        <f t="shared" si="8"/>
        <v>Not Delivered</v>
      </c>
      <c r="V100">
        <f t="shared" si="9"/>
        <v>11616</v>
      </c>
    </row>
    <row r="101" spans="1:22" x14ac:dyDescent="0.3">
      <c r="A101" t="s">
        <v>119</v>
      </c>
      <c r="B101">
        <v>2024</v>
      </c>
      <c r="C101" s="1">
        <v>45318</v>
      </c>
      <c r="D101" t="s">
        <v>822</v>
      </c>
      <c r="E101" t="s">
        <v>925</v>
      </c>
      <c r="F101" t="s">
        <v>1466</v>
      </c>
      <c r="G101" t="s">
        <v>2167</v>
      </c>
      <c r="H101" t="s">
        <v>2198</v>
      </c>
      <c r="I101" t="s">
        <v>2207</v>
      </c>
      <c r="J101" t="s">
        <v>2213</v>
      </c>
      <c r="K101" t="s">
        <v>2239</v>
      </c>
      <c r="L101" t="s">
        <v>2245</v>
      </c>
      <c r="M101" t="s">
        <v>2255</v>
      </c>
      <c r="N101">
        <v>5</v>
      </c>
      <c r="O101">
        <f t="shared" si="5"/>
        <v>77440</v>
      </c>
      <c r="P101">
        <f t="shared" si="6"/>
        <v>387200</v>
      </c>
      <c r="Q101">
        <v>15</v>
      </c>
      <c r="R101">
        <f t="shared" si="7"/>
        <v>329120</v>
      </c>
      <c r="S101" t="s">
        <v>2260</v>
      </c>
      <c r="T101" t="s">
        <v>2265</v>
      </c>
      <c r="U101" s="1" t="str">
        <f t="shared" si="8"/>
        <v>Not Delivered</v>
      </c>
      <c r="V101">
        <f t="shared" si="9"/>
        <v>58080</v>
      </c>
    </row>
    <row r="102" spans="1:22" x14ac:dyDescent="0.3">
      <c r="A102" t="s">
        <v>120</v>
      </c>
      <c r="B102">
        <v>2024</v>
      </c>
      <c r="C102" s="1">
        <v>45632</v>
      </c>
      <c r="D102" t="s">
        <v>822</v>
      </c>
      <c r="E102" t="s">
        <v>926</v>
      </c>
      <c r="F102" t="s">
        <v>1467</v>
      </c>
      <c r="G102" t="s">
        <v>2167</v>
      </c>
      <c r="H102" t="s">
        <v>2175</v>
      </c>
      <c r="I102" t="s">
        <v>2203</v>
      </c>
      <c r="J102" t="s">
        <v>2212</v>
      </c>
      <c r="K102" t="s">
        <v>2218</v>
      </c>
      <c r="L102" t="s">
        <v>2242</v>
      </c>
      <c r="M102" t="s">
        <v>2259</v>
      </c>
      <c r="N102">
        <v>1</v>
      </c>
      <c r="O102">
        <f t="shared" si="5"/>
        <v>77440</v>
      </c>
      <c r="P102">
        <f t="shared" si="6"/>
        <v>77440</v>
      </c>
      <c r="Q102">
        <v>5</v>
      </c>
      <c r="R102">
        <f t="shared" si="7"/>
        <v>73568</v>
      </c>
      <c r="S102" t="s">
        <v>2260</v>
      </c>
      <c r="T102" t="s">
        <v>2266</v>
      </c>
      <c r="U102" s="1">
        <f t="shared" si="8"/>
        <v>45639</v>
      </c>
      <c r="V102">
        <f t="shared" si="9"/>
        <v>11616</v>
      </c>
    </row>
    <row r="103" spans="1:22" x14ac:dyDescent="0.3">
      <c r="A103" t="s">
        <v>121</v>
      </c>
      <c r="B103">
        <v>2024</v>
      </c>
      <c r="C103" s="1">
        <v>45610</v>
      </c>
      <c r="D103" t="s">
        <v>824</v>
      </c>
      <c r="E103" t="s">
        <v>927</v>
      </c>
      <c r="F103" t="s">
        <v>1468</v>
      </c>
      <c r="G103" t="s">
        <v>2167</v>
      </c>
      <c r="H103" t="s">
        <v>2196</v>
      </c>
      <c r="I103" t="s">
        <v>2205</v>
      </c>
      <c r="J103" t="s">
        <v>2213</v>
      </c>
      <c r="K103" t="s">
        <v>2230</v>
      </c>
      <c r="L103" t="s">
        <v>2247</v>
      </c>
      <c r="M103" t="s">
        <v>2249</v>
      </c>
      <c r="N103">
        <v>3</v>
      </c>
      <c r="O103">
        <f t="shared" si="5"/>
        <v>77440</v>
      </c>
      <c r="P103">
        <f t="shared" si="6"/>
        <v>232320</v>
      </c>
      <c r="Q103">
        <v>10</v>
      </c>
      <c r="R103">
        <f t="shared" si="7"/>
        <v>209088</v>
      </c>
      <c r="S103" t="s">
        <v>2261</v>
      </c>
      <c r="T103" t="s">
        <v>2265</v>
      </c>
      <c r="U103" s="1" t="str">
        <f t="shared" si="8"/>
        <v>Not Delivered</v>
      </c>
      <c r="V103">
        <f t="shared" si="9"/>
        <v>34848</v>
      </c>
    </row>
    <row r="104" spans="1:22" x14ac:dyDescent="0.3">
      <c r="A104" t="s">
        <v>122</v>
      </c>
      <c r="B104">
        <v>2025</v>
      </c>
      <c r="C104" s="1">
        <v>45772</v>
      </c>
      <c r="D104" t="s">
        <v>828</v>
      </c>
      <c r="E104" t="s">
        <v>928</v>
      </c>
      <c r="F104" t="s">
        <v>1469</v>
      </c>
      <c r="G104" t="s">
        <v>2167</v>
      </c>
      <c r="H104" t="s">
        <v>2191</v>
      </c>
      <c r="I104" t="s">
        <v>2203</v>
      </c>
      <c r="J104" t="s">
        <v>2212</v>
      </c>
      <c r="K104" t="s">
        <v>2241</v>
      </c>
      <c r="L104" t="s">
        <v>2247</v>
      </c>
      <c r="M104" t="s">
        <v>2256</v>
      </c>
      <c r="N104">
        <v>2</v>
      </c>
      <c r="O104">
        <f t="shared" si="5"/>
        <v>77440</v>
      </c>
      <c r="P104">
        <f t="shared" si="6"/>
        <v>154880</v>
      </c>
      <c r="Q104">
        <v>0</v>
      </c>
      <c r="R104">
        <f t="shared" si="7"/>
        <v>154880</v>
      </c>
      <c r="S104" t="s">
        <v>2263</v>
      </c>
      <c r="T104" t="s">
        <v>2264</v>
      </c>
      <c r="U104" s="1" t="str">
        <f t="shared" si="8"/>
        <v>Not Delivered</v>
      </c>
      <c r="V104">
        <f t="shared" si="9"/>
        <v>23232</v>
      </c>
    </row>
    <row r="105" spans="1:22" x14ac:dyDescent="0.3">
      <c r="A105" t="s">
        <v>123</v>
      </c>
      <c r="B105">
        <v>2025</v>
      </c>
      <c r="C105" s="1">
        <v>45721</v>
      </c>
      <c r="D105" t="s">
        <v>820</v>
      </c>
      <c r="E105" t="s">
        <v>929</v>
      </c>
      <c r="F105" t="s">
        <v>1470</v>
      </c>
      <c r="G105" t="s">
        <v>2167</v>
      </c>
      <c r="H105" t="s">
        <v>2185</v>
      </c>
      <c r="I105" t="s">
        <v>2204</v>
      </c>
      <c r="J105" t="s">
        <v>2210</v>
      </c>
      <c r="K105" t="s">
        <v>2215</v>
      </c>
      <c r="L105" t="s">
        <v>2243</v>
      </c>
      <c r="M105" t="s">
        <v>2250</v>
      </c>
      <c r="N105">
        <v>5</v>
      </c>
      <c r="O105">
        <f t="shared" si="5"/>
        <v>77440</v>
      </c>
      <c r="P105">
        <f t="shared" si="6"/>
        <v>387200</v>
      </c>
      <c r="Q105">
        <v>10</v>
      </c>
      <c r="R105">
        <f t="shared" si="7"/>
        <v>348480</v>
      </c>
      <c r="S105" t="s">
        <v>2262</v>
      </c>
      <c r="T105" t="s">
        <v>2264</v>
      </c>
      <c r="U105" s="1" t="str">
        <f t="shared" si="8"/>
        <v>Not Delivered</v>
      </c>
      <c r="V105">
        <f t="shared" si="9"/>
        <v>58080</v>
      </c>
    </row>
    <row r="106" spans="1:22" x14ac:dyDescent="0.3">
      <c r="A106" t="s">
        <v>124</v>
      </c>
      <c r="B106">
        <v>2025</v>
      </c>
      <c r="C106" s="1">
        <v>45854</v>
      </c>
      <c r="D106" t="s">
        <v>820</v>
      </c>
      <c r="E106" t="s">
        <v>884</v>
      </c>
      <c r="F106" t="s">
        <v>1471</v>
      </c>
      <c r="G106" t="s">
        <v>2167</v>
      </c>
      <c r="H106" t="s">
        <v>2199</v>
      </c>
      <c r="I106" t="s">
        <v>2205</v>
      </c>
      <c r="J106" t="s">
        <v>2210</v>
      </c>
      <c r="K106" t="s">
        <v>2217</v>
      </c>
      <c r="L106" t="s">
        <v>2244</v>
      </c>
      <c r="M106" t="s">
        <v>2255</v>
      </c>
      <c r="N106">
        <v>3</v>
      </c>
      <c r="O106">
        <f t="shared" si="5"/>
        <v>77440</v>
      </c>
      <c r="P106">
        <f t="shared" si="6"/>
        <v>232320</v>
      </c>
      <c r="Q106">
        <v>15</v>
      </c>
      <c r="R106">
        <f t="shared" si="7"/>
        <v>197472</v>
      </c>
      <c r="S106" t="s">
        <v>2262</v>
      </c>
      <c r="T106" t="s">
        <v>2265</v>
      </c>
      <c r="U106" s="1" t="str">
        <f t="shared" si="8"/>
        <v>Not Delivered</v>
      </c>
      <c r="V106">
        <f t="shared" si="9"/>
        <v>34848</v>
      </c>
    </row>
    <row r="107" spans="1:22" x14ac:dyDescent="0.3">
      <c r="A107" t="s">
        <v>125</v>
      </c>
      <c r="B107">
        <v>2024</v>
      </c>
      <c r="C107" s="1">
        <v>45609</v>
      </c>
      <c r="D107" t="s">
        <v>824</v>
      </c>
      <c r="E107" t="s">
        <v>930</v>
      </c>
      <c r="F107" t="s">
        <v>1472</v>
      </c>
      <c r="G107" t="s">
        <v>2167</v>
      </c>
      <c r="H107" t="s">
        <v>2193</v>
      </c>
      <c r="I107" t="s">
        <v>2206</v>
      </c>
      <c r="J107" t="s">
        <v>2212</v>
      </c>
      <c r="K107" t="s">
        <v>2220</v>
      </c>
      <c r="L107" t="s">
        <v>2245</v>
      </c>
      <c r="M107" t="s">
        <v>2254</v>
      </c>
      <c r="N107">
        <v>1</v>
      </c>
      <c r="O107">
        <f t="shared" si="5"/>
        <v>77440</v>
      </c>
      <c r="P107">
        <f t="shared" si="6"/>
        <v>77440</v>
      </c>
      <c r="Q107">
        <v>20</v>
      </c>
      <c r="R107">
        <f t="shared" si="7"/>
        <v>61952</v>
      </c>
      <c r="S107" t="s">
        <v>2261</v>
      </c>
      <c r="T107" t="s">
        <v>2265</v>
      </c>
      <c r="U107" s="1" t="str">
        <f t="shared" si="8"/>
        <v>Not Delivered</v>
      </c>
      <c r="V107">
        <f t="shared" si="9"/>
        <v>11616</v>
      </c>
    </row>
    <row r="108" spans="1:22" x14ac:dyDescent="0.3">
      <c r="A108" t="s">
        <v>126</v>
      </c>
      <c r="B108">
        <v>2024</v>
      </c>
      <c r="C108" s="1">
        <v>45641</v>
      </c>
      <c r="D108" t="s">
        <v>821</v>
      </c>
      <c r="E108" t="s">
        <v>931</v>
      </c>
      <c r="F108" t="s">
        <v>1473</v>
      </c>
      <c r="G108" t="s">
        <v>2167</v>
      </c>
      <c r="H108" t="s">
        <v>2168</v>
      </c>
      <c r="I108" t="s">
        <v>2200</v>
      </c>
      <c r="J108" t="s">
        <v>2210</v>
      </c>
      <c r="K108" t="s">
        <v>2237</v>
      </c>
      <c r="L108" t="s">
        <v>2246</v>
      </c>
      <c r="M108" t="s">
        <v>2251</v>
      </c>
      <c r="N108">
        <v>2</v>
      </c>
      <c r="O108">
        <f t="shared" si="5"/>
        <v>77440</v>
      </c>
      <c r="P108">
        <f t="shared" si="6"/>
        <v>154880</v>
      </c>
      <c r="Q108">
        <v>10</v>
      </c>
      <c r="R108">
        <f t="shared" si="7"/>
        <v>139392</v>
      </c>
      <c r="S108" t="s">
        <v>2261</v>
      </c>
      <c r="T108" t="s">
        <v>2264</v>
      </c>
      <c r="U108" s="1" t="str">
        <f t="shared" si="8"/>
        <v>Not Delivered</v>
      </c>
      <c r="V108">
        <f t="shared" si="9"/>
        <v>23232</v>
      </c>
    </row>
    <row r="109" spans="1:22" x14ac:dyDescent="0.3">
      <c r="A109" t="s">
        <v>127</v>
      </c>
      <c r="B109">
        <v>2025</v>
      </c>
      <c r="C109" s="1">
        <v>45841</v>
      </c>
      <c r="D109" t="s">
        <v>820</v>
      </c>
      <c r="E109" t="s">
        <v>932</v>
      </c>
      <c r="F109" t="s">
        <v>1474</v>
      </c>
      <c r="G109" t="s">
        <v>2167</v>
      </c>
      <c r="H109" t="s">
        <v>2181</v>
      </c>
      <c r="I109" t="s">
        <v>2209</v>
      </c>
      <c r="J109" t="s">
        <v>2210</v>
      </c>
      <c r="K109" t="s">
        <v>2229</v>
      </c>
      <c r="L109" t="s">
        <v>2246</v>
      </c>
      <c r="M109" t="s">
        <v>2255</v>
      </c>
      <c r="N109">
        <v>3</v>
      </c>
      <c r="O109">
        <f t="shared" si="5"/>
        <v>77440</v>
      </c>
      <c r="P109">
        <f t="shared" si="6"/>
        <v>232320</v>
      </c>
      <c r="Q109">
        <v>20</v>
      </c>
      <c r="R109">
        <f t="shared" si="7"/>
        <v>185856</v>
      </c>
      <c r="S109" t="s">
        <v>2263</v>
      </c>
      <c r="T109" t="s">
        <v>2265</v>
      </c>
      <c r="U109" s="1" t="str">
        <f t="shared" si="8"/>
        <v>Not Delivered</v>
      </c>
      <c r="V109">
        <f t="shared" si="9"/>
        <v>34848</v>
      </c>
    </row>
    <row r="110" spans="1:22" x14ac:dyDescent="0.3">
      <c r="A110" t="s">
        <v>128</v>
      </c>
      <c r="B110">
        <v>2024</v>
      </c>
      <c r="C110" s="1">
        <v>45464</v>
      </c>
      <c r="D110" t="s">
        <v>824</v>
      </c>
      <c r="E110" t="s">
        <v>933</v>
      </c>
      <c r="F110" t="s">
        <v>1475</v>
      </c>
      <c r="G110" t="s">
        <v>2167</v>
      </c>
      <c r="H110" t="s">
        <v>2176</v>
      </c>
      <c r="I110" t="s">
        <v>2205</v>
      </c>
      <c r="J110" t="s">
        <v>2213</v>
      </c>
      <c r="K110" t="s">
        <v>2225</v>
      </c>
      <c r="L110" t="s">
        <v>2243</v>
      </c>
      <c r="M110" t="s">
        <v>2251</v>
      </c>
      <c r="N110">
        <v>5</v>
      </c>
      <c r="O110">
        <f t="shared" si="5"/>
        <v>77440</v>
      </c>
      <c r="P110">
        <f t="shared" si="6"/>
        <v>387200</v>
      </c>
      <c r="Q110">
        <v>0</v>
      </c>
      <c r="R110">
        <f t="shared" si="7"/>
        <v>387200</v>
      </c>
      <c r="S110" t="s">
        <v>2262</v>
      </c>
      <c r="T110" t="s">
        <v>2265</v>
      </c>
      <c r="U110" s="1" t="str">
        <f t="shared" si="8"/>
        <v>Not Delivered</v>
      </c>
      <c r="V110">
        <f t="shared" si="9"/>
        <v>58080</v>
      </c>
    </row>
    <row r="111" spans="1:22" x14ac:dyDescent="0.3">
      <c r="A111" t="s">
        <v>129</v>
      </c>
      <c r="B111">
        <v>2024</v>
      </c>
      <c r="C111" s="1">
        <v>45635</v>
      </c>
      <c r="D111" t="s">
        <v>827</v>
      </c>
      <c r="E111" t="s">
        <v>934</v>
      </c>
      <c r="F111" t="s">
        <v>1476</v>
      </c>
      <c r="G111" t="s">
        <v>2167</v>
      </c>
      <c r="H111" t="s">
        <v>2191</v>
      </c>
      <c r="I111" t="s">
        <v>2203</v>
      </c>
      <c r="J111" t="s">
        <v>2211</v>
      </c>
      <c r="K111" t="s">
        <v>2217</v>
      </c>
      <c r="L111" t="s">
        <v>2244</v>
      </c>
      <c r="M111" t="s">
        <v>2258</v>
      </c>
      <c r="N111">
        <v>4</v>
      </c>
      <c r="O111">
        <f t="shared" si="5"/>
        <v>77440</v>
      </c>
      <c r="P111">
        <f t="shared" si="6"/>
        <v>309760</v>
      </c>
      <c r="Q111">
        <v>20</v>
      </c>
      <c r="R111">
        <f t="shared" si="7"/>
        <v>247808</v>
      </c>
      <c r="S111" t="s">
        <v>2262</v>
      </c>
      <c r="T111" t="s">
        <v>2265</v>
      </c>
      <c r="U111" s="1" t="str">
        <f t="shared" si="8"/>
        <v>Not Delivered</v>
      </c>
      <c r="V111">
        <f t="shared" si="9"/>
        <v>46464</v>
      </c>
    </row>
    <row r="112" spans="1:22" x14ac:dyDescent="0.3">
      <c r="A112" t="s">
        <v>130</v>
      </c>
      <c r="B112">
        <v>2024</v>
      </c>
      <c r="C112" s="1">
        <v>45577</v>
      </c>
      <c r="D112" t="s">
        <v>820</v>
      </c>
      <c r="E112" t="s">
        <v>935</v>
      </c>
      <c r="F112" t="s">
        <v>1477</v>
      </c>
      <c r="G112" t="s">
        <v>2167</v>
      </c>
      <c r="H112" t="s">
        <v>2168</v>
      </c>
      <c r="I112" t="s">
        <v>2200</v>
      </c>
      <c r="J112" t="s">
        <v>2211</v>
      </c>
      <c r="K112" t="s">
        <v>2228</v>
      </c>
      <c r="L112" t="s">
        <v>2243</v>
      </c>
      <c r="M112" t="s">
        <v>2251</v>
      </c>
      <c r="N112">
        <v>1</v>
      </c>
      <c r="O112">
        <f t="shared" si="5"/>
        <v>77440</v>
      </c>
      <c r="P112">
        <f t="shared" si="6"/>
        <v>77440</v>
      </c>
      <c r="Q112">
        <v>0</v>
      </c>
      <c r="R112">
        <f t="shared" si="7"/>
        <v>77440</v>
      </c>
      <c r="S112" t="s">
        <v>2263</v>
      </c>
      <c r="T112" t="s">
        <v>2264</v>
      </c>
      <c r="U112" s="1" t="str">
        <f t="shared" si="8"/>
        <v>Not Delivered</v>
      </c>
      <c r="V112">
        <f t="shared" si="9"/>
        <v>11616</v>
      </c>
    </row>
    <row r="113" spans="1:22" x14ac:dyDescent="0.3">
      <c r="A113" t="s">
        <v>131</v>
      </c>
      <c r="B113">
        <v>2024</v>
      </c>
      <c r="C113" s="1">
        <v>45407</v>
      </c>
      <c r="D113" t="s">
        <v>823</v>
      </c>
      <c r="E113" t="s">
        <v>936</v>
      </c>
      <c r="F113" t="s">
        <v>1478</v>
      </c>
      <c r="G113" t="s">
        <v>2167</v>
      </c>
      <c r="H113" t="s">
        <v>2175</v>
      </c>
      <c r="I113" t="s">
        <v>2203</v>
      </c>
      <c r="J113" t="s">
        <v>2211</v>
      </c>
      <c r="K113" t="s">
        <v>2227</v>
      </c>
      <c r="L113" t="s">
        <v>2247</v>
      </c>
      <c r="M113" t="s">
        <v>2251</v>
      </c>
      <c r="N113">
        <v>3</v>
      </c>
      <c r="O113">
        <f t="shared" si="5"/>
        <v>77440</v>
      </c>
      <c r="P113">
        <f t="shared" si="6"/>
        <v>232320</v>
      </c>
      <c r="Q113">
        <v>10</v>
      </c>
      <c r="R113">
        <f t="shared" si="7"/>
        <v>209088</v>
      </c>
      <c r="S113" t="s">
        <v>2263</v>
      </c>
      <c r="T113" t="s">
        <v>2264</v>
      </c>
      <c r="U113" s="1" t="str">
        <f t="shared" si="8"/>
        <v>Not Delivered</v>
      </c>
      <c r="V113">
        <f t="shared" si="9"/>
        <v>34848</v>
      </c>
    </row>
    <row r="114" spans="1:22" x14ac:dyDescent="0.3">
      <c r="A114" t="s">
        <v>132</v>
      </c>
      <c r="B114">
        <v>2024</v>
      </c>
      <c r="C114" s="1">
        <v>45381</v>
      </c>
      <c r="D114" t="s">
        <v>822</v>
      </c>
      <c r="E114" t="s">
        <v>937</v>
      </c>
      <c r="F114" t="s">
        <v>1479</v>
      </c>
      <c r="G114" t="s">
        <v>2167</v>
      </c>
      <c r="H114" t="s">
        <v>2169</v>
      </c>
      <c r="I114" t="s">
        <v>2201</v>
      </c>
      <c r="J114" t="s">
        <v>2210</v>
      </c>
      <c r="K114" t="s">
        <v>2215</v>
      </c>
      <c r="L114" t="s">
        <v>2243</v>
      </c>
      <c r="M114" t="s">
        <v>2254</v>
      </c>
      <c r="N114">
        <v>3</v>
      </c>
      <c r="O114">
        <f t="shared" si="5"/>
        <v>77440</v>
      </c>
      <c r="P114">
        <f t="shared" si="6"/>
        <v>232320</v>
      </c>
      <c r="Q114">
        <v>5</v>
      </c>
      <c r="R114">
        <f t="shared" si="7"/>
        <v>220704</v>
      </c>
      <c r="S114" t="s">
        <v>2263</v>
      </c>
      <c r="T114" t="s">
        <v>2264</v>
      </c>
      <c r="U114" s="1" t="str">
        <f t="shared" si="8"/>
        <v>Not Delivered</v>
      </c>
      <c r="V114">
        <f t="shared" si="9"/>
        <v>34848</v>
      </c>
    </row>
    <row r="115" spans="1:22" x14ac:dyDescent="0.3">
      <c r="A115" t="s">
        <v>133</v>
      </c>
      <c r="B115">
        <v>2024</v>
      </c>
      <c r="C115" s="1">
        <v>45364</v>
      </c>
      <c r="D115" t="s">
        <v>826</v>
      </c>
      <c r="E115" t="s">
        <v>938</v>
      </c>
      <c r="F115" t="s">
        <v>1480</v>
      </c>
      <c r="G115" t="s">
        <v>2167</v>
      </c>
      <c r="H115" t="s">
        <v>2175</v>
      </c>
      <c r="I115" t="s">
        <v>2203</v>
      </c>
      <c r="J115" t="s">
        <v>2212</v>
      </c>
      <c r="K115" t="s">
        <v>2221</v>
      </c>
      <c r="L115" t="s">
        <v>2246</v>
      </c>
      <c r="M115" t="s">
        <v>2250</v>
      </c>
      <c r="N115">
        <v>5</v>
      </c>
      <c r="O115">
        <f t="shared" si="5"/>
        <v>77440</v>
      </c>
      <c r="P115">
        <f t="shared" si="6"/>
        <v>387200</v>
      </c>
      <c r="Q115">
        <v>20</v>
      </c>
      <c r="R115">
        <f t="shared" si="7"/>
        <v>309760</v>
      </c>
      <c r="S115" t="s">
        <v>2262</v>
      </c>
      <c r="T115" t="s">
        <v>2264</v>
      </c>
      <c r="U115" s="1" t="str">
        <f t="shared" si="8"/>
        <v>Not Delivered</v>
      </c>
      <c r="V115">
        <f t="shared" si="9"/>
        <v>58080</v>
      </c>
    </row>
    <row r="116" spans="1:22" x14ac:dyDescent="0.3">
      <c r="A116" t="s">
        <v>134</v>
      </c>
      <c r="B116">
        <v>2025</v>
      </c>
      <c r="C116" s="1">
        <v>45680</v>
      </c>
      <c r="D116" t="s">
        <v>828</v>
      </c>
      <c r="E116" t="s">
        <v>939</v>
      </c>
      <c r="F116" t="s">
        <v>1481</v>
      </c>
      <c r="G116" t="s">
        <v>2167</v>
      </c>
      <c r="H116" t="s">
        <v>2168</v>
      </c>
      <c r="I116" t="s">
        <v>2200</v>
      </c>
      <c r="J116" t="s">
        <v>2213</v>
      </c>
      <c r="K116" t="s">
        <v>2229</v>
      </c>
      <c r="L116" t="s">
        <v>2246</v>
      </c>
      <c r="M116" t="s">
        <v>2257</v>
      </c>
      <c r="N116">
        <v>3</v>
      </c>
      <c r="O116">
        <f t="shared" si="5"/>
        <v>77440</v>
      </c>
      <c r="P116">
        <f t="shared" si="6"/>
        <v>232320</v>
      </c>
      <c r="Q116">
        <v>5</v>
      </c>
      <c r="R116">
        <f t="shared" si="7"/>
        <v>220704</v>
      </c>
      <c r="S116" t="s">
        <v>2261</v>
      </c>
      <c r="T116" t="s">
        <v>2264</v>
      </c>
      <c r="U116" s="1" t="str">
        <f t="shared" si="8"/>
        <v>Not Delivered</v>
      </c>
      <c r="V116">
        <f t="shared" si="9"/>
        <v>34848</v>
      </c>
    </row>
    <row r="117" spans="1:22" x14ac:dyDescent="0.3">
      <c r="A117" t="s">
        <v>135</v>
      </c>
      <c r="B117">
        <v>2024</v>
      </c>
      <c r="C117" s="1">
        <v>45431</v>
      </c>
      <c r="D117" t="s">
        <v>825</v>
      </c>
      <c r="E117" t="s">
        <v>940</v>
      </c>
      <c r="F117" t="s">
        <v>1482</v>
      </c>
      <c r="G117" t="s">
        <v>2167</v>
      </c>
      <c r="H117" t="s">
        <v>2169</v>
      </c>
      <c r="I117" t="s">
        <v>2201</v>
      </c>
      <c r="J117" t="s">
        <v>2213</v>
      </c>
      <c r="K117" t="s">
        <v>2220</v>
      </c>
      <c r="L117" t="s">
        <v>2245</v>
      </c>
      <c r="M117" t="s">
        <v>2259</v>
      </c>
      <c r="N117">
        <v>4</v>
      </c>
      <c r="O117">
        <f t="shared" si="5"/>
        <v>77440</v>
      </c>
      <c r="P117">
        <f t="shared" si="6"/>
        <v>309760</v>
      </c>
      <c r="Q117">
        <v>20</v>
      </c>
      <c r="R117">
        <f t="shared" si="7"/>
        <v>247808</v>
      </c>
      <c r="S117" t="s">
        <v>2260</v>
      </c>
      <c r="T117" t="s">
        <v>2264</v>
      </c>
      <c r="U117" s="1" t="str">
        <f t="shared" si="8"/>
        <v>Not Delivered</v>
      </c>
      <c r="V117">
        <f t="shared" si="9"/>
        <v>46464</v>
      </c>
    </row>
    <row r="118" spans="1:22" x14ac:dyDescent="0.3">
      <c r="A118" t="s">
        <v>136</v>
      </c>
      <c r="B118">
        <v>2024</v>
      </c>
      <c r="C118" s="1">
        <v>45603</v>
      </c>
      <c r="D118" t="s">
        <v>823</v>
      </c>
      <c r="E118" t="s">
        <v>941</v>
      </c>
      <c r="F118" t="s">
        <v>1483</v>
      </c>
      <c r="G118" t="s">
        <v>2167</v>
      </c>
      <c r="H118" t="s">
        <v>2171</v>
      </c>
      <c r="I118" t="s">
        <v>2202</v>
      </c>
      <c r="J118" t="s">
        <v>2213</v>
      </c>
      <c r="K118" t="s">
        <v>2217</v>
      </c>
      <c r="L118" t="s">
        <v>2244</v>
      </c>
      <c r="M118" t="s">
        <v>2250</v>
      </c>
      <c r="N118">
        <v>4</v>
      </c>
      <c r="O118">
        <f t="shared" si="5"/>
        <v>77440</v>
      </c>
      <c r="P118">
        <f t="shared" si="6"/>
        <v>309760</v>
      </c>
      <c r="Q118">
        <v>20</v>
      </c>
      <c r="R118">
        <f t="shared" si="7"/>
        <v>247808</v>
      </c>
      <c r="S118" t="s">
        <v>2262</v>
      </c>
      <c r="T118" t="s">
        <v>2264</v>
      </c>
      <c r="U118" s="1" t="str">
        <f t="shared" si="8"/>
        <v>Not Delivered</v>
      </c>
      <c r="V118">
        <f t="shared" si="9"/>
        <v>46464</v>
      </c>
    </row>
    <row r="119" spans="1:22" x14ac:dyDescent="0.3">
      <c r="A119" t="s">
        <v>137</v>
      </c>
      <c r="B119">
        <v>2025</v>
      </c>
      <c r="C119" s="1">
        <v>45772</v>
      </c>
      <c r="D119" t="s">
        <v>821</v>
      </c>
      <c r="E119" t="s">
        <v>927</v>
      </c>
      <c r="F119" t="s">
        <v>1484</v>
      </c>
      <c r="G119" t="s">
        <v>2167</v>
      </c>
      <c r="H119" t="s">
        <v>2170</v>
      </c>
      <c r="I119" t="s">
        <v>2201</v>
      </c>
      <c r="J119" t="s">
        <v>2211</v>
      </c>
      <c r="K119" t="s">
        <v>2217</v>
      </c>
      <c r="L119" t="s">
        <v>2244</v>
      </c>
      <c r="M119" t="s">
        <v>2253</v>
      </c>
      <c r="N119">
        <v>4</v>
      </c>
      <c r="O119">
        <f t="shared" si="5"/>
        <v>77440</v>
      </c>
      <c r="P119">
        <f t="shared" si="6"/>
        <v>309760</v>
      </c>
      <c r="Q119">
        <v>15</v>
      </c>
      <c r="R119">
        <f t="shared" si="7"/>
        <v>263296</v>
      </c>
      <c r="S119" t="s">
        <v>2262</v>
      </c>
      <c r="T119" t="s">
        <v>2264</v>
      </c>
      <c r="U119" s="1" t="str">
        <f t="shared" si="8"/>
        <v>Not Delivered</v>
      </c>
      <c r="V119">
        <f t="shared" si="9"/>
        <v>46464</v>
      </c>
    </row>
    <row r="120" spans="1:22" x14ac:dyDescent="0.3">
      <c r="A120" t="s">
        <v>138</v>
      </c>
      <c r="B120">
        <v>2024</v>
      </c>
      <c r="C120" s="1">
        <v>45548</v>
      </c>
      <c r="D120" t="s">
        <v>829</v>
      </c>
      <c r="E120" t="s">
        <v>915</v>
      </c>
      <c r="F120" t="s">
        <v>1485</v>
      </c>
      <c r="G120" t="s">
        <v>2167</v>
      </c>
      <c r="H120" t="s">
        <v>2183</v>
      </c>
      <c r="I120" t="s">
        <v>2204</v>
      </c>
      <c r="J120" t="s">
        <v>2210</v>
      </c>
      <c r="K120" t="s">
        <v>2241</v>
      </c>
      <c r="L120" t="s">
        <v>2247</v>
      </c>
      <c r="M120" t="s">
        <v>2257</v>
      </c>
      <c r="N120">
        <v>2</v>
      </c>
      <c r="O120">
        <f t="shared" si="5"/>
        <v>77440</v>
      </c>
      <c r="P120">
        <f t="shared" si="6"/>
        <v>154880</v>
      </c>
      <c r="Q120">
        <v>0</v>
      </c>
      <c r="R120">
        <f t="shared" si="7"/>
        <v>154880</v>
      </c>
      <c r="S120" t="s">
        <v>2261</v>
      </c>
      <c r="T120" t="s">
        <v>2265</v>
      </c>
      <c r="U120" s="1" t="str">
        <f t="shared" si="8"/>
        <v>Not Delivered</v>
      </c>
      <c r="V120">
        <f t="shared" si="9"/>
        <v>23232</v>
      </c>
    </row>
    <row r="121" spans="1:22" x14ac:dyDescent="0.3">
      <c r="A121" t="s">
        <v>139</v>
      </c>
      <c r="B121">
        <v>2024</v>
      </c>
      <c r="C121" s="1">
        <v>45333</v>
      </c>
      <c r="D121" t="s">
        <v>825</v>
      </c>
      <c r="E121" t="s">
        <v>942</v>
      </c>
      <c r="F121" t="s">
        <v>1486</v>
      </c>
      <c r="G121" t="s">
        <v>2167</v>
      </c>
      <c r="H121" t="s">
        <v>2168</v>
      </c>
      <c r="I121" t="s">
        <v>2200</v>
      </c>
      <c r="J121" t="s">
        <v>2212</v>
      </c>
      <c r="K121" t="s">
        <v>2219</v>
      </c>
      <c r="L121" t="s">
        <v>2243</v>
      </c>
      <c r="M121" t="s">
        <v>2259</v>
      </c>
      <c r="N121">
        <v>5</v>
      </c>
      <c r="O121">
        <f t="shared" si="5"/>
        <v>77440</v>
      </c>
      <c r="P121">
        <f t="shared" si="6"/>
        <v>387200</v>
      </c>
      <c r="Q121">
        <v>20</v>
      </c>
      <c r="R121">
        <f t="shared" si="7"/>
        <v>309760</v>
      </c>
      <c r="S121" t="s">
        <v>2261</v>
      </c>
      <c r="T121" t="s">
        <v>2266</v>
      </c>
      <c r="U121" s="1">
        <f t="shared" si="8"/>
        <v>45340</v>
      </c>
      <c r="V121">
        <f t="shared" si="9"/>
        <v>58080</v>
      </c>
    </row>
    <row r="122" spans="1:22" x14ac:dyDescent="0.3">
      <c r="A122" t="s">
        <v>140</v>
      </c>
      <c r="B122">
        <v>2024</v>
      </c>
      <c r="C122" s="1">
        <v>45485</v>
      </c>
      <c r="D122" t="s">
        <v>825</v>
      </c>
      <c r="E122" t="s">
        <v>943</v>
      </c>
      <c r="F122" t="s">
        <v>1487</v>
      </c>
      <c r="G122" t="s">
        <v>2167</v>
      </c>
      <c r="H122" t="s">
        <v>2198</v>
      </c>
      <c r="I122" t="s">
        <v>2207</v>
      </c>
      <c r="J122" t="s">
        <v>2213</v>
      </c>
      <c r="K122" t="s">
        <v>2220</v>
      </c>
      <c r="L122" t="s">
        <v>2245</v>
      </c>
      <c r="M122" t="s">
        <v>2251</v>
      </c>
      <c r="N122">
        <v>4</v>
      </c>
      <c r="O122">
        <f t="shared" si="5"/>
        <v>77440</v>
      </c>
      <c r="P122">
        <f t="shared" si="6"/>
        <v>309760</v>
      </c>
      <c r="Q122">
        <v>20</v>
      </c>
      <c r="R122">
        <f t="shared" si="7"/>
        <v>247808</v>
      </c>
      <c r="S122" t="s">
        <v>2262</v>
      </c>
      <c r="T122" t="s">
        <v>2265</v>
      </c>
      <c r="U122" s="1" t="str">
        <f t="shared" si="8"/>
        <v>Not Delivered</v>
      </c>
      <c r="V122">
        <f t="shared" si="9"/>
        <v>46464</v>
      </c>
    </row>
    <row r="123" spans="1:22" x14ac:dyDescent="0.3">
      <c r="A123" t="s">
        <v>141</v>
      </c>
      <c r="B123">
        <v>2024</v>
      </c>
      <c r="C123" s="1">
        <v>45575</v>
      </c>
      <c r="D123" t="s">
        <v>824</v>
      </c>
      <c r="E123" t="s">
        <v>944</v>
      </c>
      <c r="F123" t="s">
        <v>1488</v>
      </c>
      <c r="G123" t="s">
        <v>2167</v>
      </c>
      <c r="H123" t="s">
        <v>2187</v>
      </c>
      <c r="I123" t="s">
        <v>2209</v>
      </c>
      <c r="J123" t="s">
        <v>2211</v>
      </c>
      <c r="K123" t="s">
        <v>2240</v>
      </c>
      <c r="L123" t="s">
        <v>2246</v>
      </c>
      <c r="M123" t="s">
        <v>2249</v>
      </c>
      <c r="N123">
        <v>2</v>
      </c>
      <c r="O123">
        <f t="shared" si="5"/>
        <v>77440</v>
      </c>
      <c r="P123">
        <f t="shared" si="6"/>
        <v>154880</v>
      </c>
      <c r="Q123">
        <v>15</v>
      </c>
      <c r="R123">
        <f t="shared" si="7"/>
        <v>131648</v>
      </c>
      <c r="S123" t="s">
        <v>2261</v>
      </c>
      <c r="T123" t="s">
        <v>2264</v>
      </c>
      <c r="U123" s="1" t="str">
        <f t="shared" si="8"/>
        <v>Not Delivered</v>
      </c>
      <c r="V123">
        <f t="shared" si="9"/>
        <v>23232</v>
      </c>
    </row>
    <row r="124" spans="1:22" x14ac:dyDescent="0.3">
      <c r="A124" t="s">
        <v>142</v>
      </c>
      <c r="B124">
        <v>2024</v>
      </c>
      <c r="C124" s="1">
        <v>45456</v>
      </c>
      <c r="D124" t="s">
        <v>824</v>
      </c>
      <c r="E124" t="s">
        <v>945</v>
      </c>
      <c r="F124" t="s">
        <v>1489</v>
      </c>
      <c r="G124" t="s">
        <v>2167</v>
      </c>
      <c r="H124" t="s">
        <v>2192</v>
      </c>
      <c r="I124" t="s">
        <v>2207</v>
      </c>
      <c r="J124" t="s">
        <v>2212</v>
      </c>
      <c r="K124" t="s">
        <v>2238</v>
      </c>
      <c r="L124" t="s">
        <v>2246</v>
      </c>
      <c r="M124" t="s">
        <v>2256</v>
      </c>
      <c r="N124">
        <v>3</v>
      </c>
      <c r="O124">
        <f t="shared" si="5"/>
        <v>77440</v>
      </c>
      <c r="P124">
        <f t="shared" si="6"/>
        <v>232320</v>
      </c>
      <c r="Q124">
        <v>0</v>
      </c>
      <c r="R124">
        <f t="shared" si="7"/>
        <v>232320</v>
      </c>
      <c r="S124" t="s">
        <v>2260</v>
      </c>
      <c r="T124" t="s">
        <v>2265</v>
      </c>
      <c r="U124" s="1" t="str">
        <f t="shared" si="8"/>
        <v>Not Delivered</v>
      </c>
      <c r="V124">
        <f t="shared" si="9"/>
        <v>34848</v>
      </c>
    </row>
    <row r="125" spans="1:22" x14ac:dyDescent="0.3">
      <c r="A125" t="s">
        <v>143</v>
      </c>
      <c r="B125">
        <v>2024</v>
      </c>
      <c r="C125" s="1">
        <v>45537</v>
      </c>
      <c r="D125" t="s">
        <v>823</v>
      </c>
      <c r="E125" t="s">
        <v>946</v>
      </c>
      <c r="F125" t="s">
        <v>1490</v>
      </c>
      <c r="G125" t="s">
        <v>2167</v>
      </c>
      <c r="H125" t="s">
        <v>2168</v>
      </c>
      <c r="I125" t="s">
        <v>2200</v>
      </c>
      <c r="J125" t="s">
        <v>2213</v>
      </c>
      <c r="K125" t="s">
        <v>2226</v>
      </c>
      <c r="L125" t="s">
        <v>2244</v>
      </c>
      <c r="M125" t="s">
        <v>2259</v>
      </c>
      <c r="N125">
        <v>3</v>
      </c>
      <c r="O125">
        <f t="shared" si="5"/>
        <v>77440</v>
      </c>
      <c r="P125">
        <f t="shared" si="6"/>
        <v>232320</v>
      </c>
      <c r="Q125">
        <v>15</v>
      </c>
      <c r="R125">
        <f t="shared" si="7"/>
        <v>197472</v>
      </c>
      <c r="S125" t="s">
        <v>2262</v>
      </c>
      <c r="T125" t="s">
        <v>2266</v>
      </c>
      <c r="U125" s="1">
        <f t="shared" si="8"/>
        <v>45544</v>
      </c>
      <c r="V125">
        <f t="shared" si="9"/>
        <v>34848</v>
      </c>
    </row>
    <row r="126" spans="1:22" x14ac:dyDescent="0.3">
      <c r="A126" t="s">
        <v>144</v>
      </c>
      <c r="B126">
        <v>2025</v>
      </c>
      <c r="C126" s="1">
        <v>45669</v>
      </c>
      <c r="D126" t="s">
        <v>824</v>
      </c>
      <c r="E126" t="s">
        <v>947</v>
      </c>
      <c r="F126" t="s">
        <v>1491</v>
      </c>
      <c r="G126" t="s">
        <v>2167</v>
      </c>
      <c r="H126" t="s">
        <v>2181</v>
      </c>
      <c r="I126" t="s">
        <v>2209</v>
      </c>
      <c r="J126" t="s">
        <v>2212</v>
      </c>
      <c r="K126" t="s">
        <v>2214</v>
      </c>
      <c r="L126" t="s">
        <v>2242</v>
      </c>
      <c r="M126" t="s">
        <v>2248</v>
      </c>
      <c r="N126">
        <v>2</v>
      </c>
      <c r="O126">
        <f t="shared" si="5"/>
        <v>77440</v>
      </c>
      <c r="P126">
        <f t="shared" si="6"/>
        <v>154880</v>
      </c>
      <c r="Q126">
        <v>0</v>
      </c>
      <c r="R126">
        <f t="shared" si="7"/>
        <v>154880</v>
      </c>
      <c r="S126" t="s">
        <v>2263</v>
      </c>
      <c r="T126" t="s">
        <v>2265</v>
      </c>
      <c r="U126" s="1" t="str">
        <f t="shared" si="8"/>
        <v>Not Delivered</v>
      </c>
      <c r="V126">
        <f t="shared" si="9"/>
        <v>23232</v>
      </c>
    </row>
    <row r="127" spans="1:22" x14ac:dyDescent="0.3">
      <c r="A127" t="s">
        <v>145</v>
      </c>
      <c r="B127">
        <v>2025</v>
      </c>
      <c r="C127" s="1">
        <v>45862</v>
      </c>
      <c r="D127" t="s">
        <v>825</v>
      </c>
      <c r="E127" t="s">
        <v>948</v>
      </c>
      <c r="F127" t="s">
        <v>1492</v>
      </c>
      <c r="G127" t="s">
        <v>2167</v>
      </c>
      <c r="H127" t="s">
        <v>2177</v>
      </c>
      <c r="I127" t="s">
        <v>2206</v>
      </c>
      <c r="J127" t="s">
        <v>2212</v>
      </c>
      <c r="K127" t="s">
        <v>2216</v>
      </c>
      <c r="L127" t="s">
        <v>2242</v>
      </c>
      <c r="M127" t="s">
        <v>2255</v>
      </c>
      <c r="N127">
        <v>1</v>
      </c>
      <c r="O127">
        <f t="shared" si="5"/>
        <v>77440</v>
      </c>
      <c r="P127">
        <f t="shared" si="6"/>
        <v>77440</v>
      </c>
      <c r="Q127">
        <v>5</v>
      </c>
      <c r="R127">
        <f t="shared" si="7"/>
        <v>73568</v>
      </c>
      <c r="S127" t="s">
        <v>2261</v>
      </c>
      <c r="T127" t="s">
        <v>2265</v>
      </c>
      <c r="U127" s="1" t="str">
        <f t="shared" si="8"/>
        <v>Not Delivered</v>
      </c>
      <c r="V127">
        <f t="shared" si="9"/>
        <v>11616</v>
      </c>
    </row>
    <row r="128" spans="1:22" x14ac:dyDescent="0.3">
      <c r="A128" t="s">
        <v>146</v>
      </c>
      <c r="B128">
        <v>2024</v>
      </c>
      <c r="C128" s="1">
        <v>45493</v>
      </c>
      <c r="D128" t="s">
        <v>828</v>
      </c>
      <c r="E128" t="s">
        <v>949</v>
      </c>
      <c r="F128" t="s">
        <v>1493</v>
      </c>
      <c r="G128" t="s">
        <v>2167</v>
      </c>
      <c r="H128" t="s">
        <v>2196</v>
      </c>
      <c r="I128" t="s">
        <v>2205</v>
      </c>
      <c r="J128" t="s">
        <v>2212</v>
      </c>
      <c r="K128" t="s">
        <v>2239</v>
      </c>
      <c r="L128" t="s">
        <v>2245</v>
      </c>
      <c r="M128" t="s">
        <v>2250</v>
      </c>
      <c r="N128">
        <v>2</v>
      </c>
      <c r="O128">
        <f t="shared" si="5"/>
        <v>77440</v>
      </c>
      <c r="P128">
        <f t="shared" si="6"/>
        <v>154880</v>
      </c>
      <c r="Q128">
        <v>0</v>
      </c>
      <c r="R128">
        <f t="shared" si="7"/>
        <v>154880</v>
      </c>
      <c r="S128" t="s">
        <v>2261</v>
      </c>
      <c r="T128" t="s">
        <v>2266</v>
      </c>
      <c r="U128" s="1">
        <f t="shared" si="8"/>
        <v>45500</v>
      </c>
      <c r="V128">
        <f t="shared" si="9"/>
        <v>23232</v>
      </c>
    </row>
    <row r="129" spans="1:22" x14ac:dyDescent="0.3">
      <c r="A129" t="s">
        <v>147</v>
      </c>
      <c r="B129">
        <v>2024</v>
      </c>
      <c r="C129" s="1">
        <v>45352</v>
      </c>
      <c r="D129" t="s">
        <v>827</v>
      </c>
      <c r="E129" t="s">
        <v>950</v>
      </c>
      <c r="F129" t="s">
        <v>1494</v>
      </c>
      <c r="G129" t="s">
        <v>2167</v>
      </c>
      <c r="H129" t="s">
        <v>2179</v>
      </c>
      <c r="I129" t="s">
        <v>2206</v>
      </c>
      <c r="J129" t="s">
        <v>2212</v>
      </c>
      <c r="K129" t="s">
        <v>2234</v>
      </c>
      <c r="L129" t="s">
        <v>2244</v>
      </c>
      <c r="M129" t="s">
        <v>2250</v>
      </c>
      <c r="N129">
        <v>3</v>
      </c>
      <c r="O129">
        <f t="shared" si="5"/>
        <v>77440</v>
      </c>
      <c r="P129">
        <f t="shared" si="6"/>
        <v>232320</v>
      </c>
      <c r="Q129">
        <v>20</v>
      </c>
      <c r="R129">
        <f t="shared" si="7"/>
        <v>185856</v>
      </c>
      <c r="S129" t="s">
        <v>2263</v>
      </c>
      <c r="T129" t="s">
        <v>2266</v>
      </c>
      <c r="U129" s="1">
        <f t="shared" si="8"/>
        <v>45359</v>
      </c>
      <c r="V129">
        <f t="shared" si="9"/>
        <v>34848</v>
      </c>
    </row>
    <row r="130" spans="1:22" x14ac:dyDescent="0.3">
      <c r="A130" t="s">
        <v>148</v>
      </c>
      <c r="B130">
        <v>2024</v>
      </c>
      <c r="C130" s="1">
        <v>45340</v>
      </c>
      <c r="D130" t="s">
        <v>820</v>
      </c>
      <c r="E130" t="s">
        <v>876</v>
      </c>
      <c r="F130" t="s">
        <v>1495</v>
      </c>
      <c r="G130" t="s">
        <v>2167</v>
      </c>
      <c r="H130" t="s">
        <v>2189</v>
      </c>
      <c r="I130" t="s">
        <v>2202</v>
      </c>
      <c r="J130" t="s">
        <v>2212</v>
      </c>
      <c r="K130" t="s">
        <v>2239</v>
      </c>
      <c r="L130" t="s">
        <v>2245</v>
      </c>
      <c r="M130" t="s">
        <v>2256</v>
      </c>
      <c r="N130">
        <v>2</v>
      </c>
      <c r="O130">
        <f t="shared" si="5"/>
        <v>77440</v>
      </c>
      <c r="P130">
        <f t="shared" si="6"/>
        <v>154880</v>
      </c>
      <c r="Q130">
        <v>5</v>
      </c>
      <c r="R130">
        <f t="shared" si="7"/>
        <v>147136</v>
      </c>
      <c r="S130" t="s">
        <v>2263</v>
      </c>
      <c r="T130" t="s">
        <v>2264</v>
      </c>
      <c r="U130" s="1" t="str">
        <f t="shared" si="8"/>
        <v>Not Delivered</v>
      </c>
      <c r="V130">
        <f t="shared" si="9"/>
        <v>23232</v>
      </c>
    </row>
    <row r="131" spans="1:22" x14ac:dyDescent="0.3">
      <c r="A131" t="s">
        <v>149</v>
      </c>
      <c r="B131">
        <v>2025</v>
      </c>
      <c r="C131" s="1">
        <v>45862</v>
      </c>
      <c r="D131" t="s">
        <v>826</v>
      </c>
      <c r="E131" t="s">
        <v>951</v>
      </c>
      <c r="F131" t="s">
        <v>1496</v>
      </c>
      <c r="G131" t="s">
        <v>2167</v>
      </c>
      <c r="H131" t="s">
        <v>2187</v>
      </c>
      <c r="I131" t="s">
        <v>2209</v>
      </c>
      <c r="J131" t="s">
        <v>2210</v>
      </c>
      <c r="K131" t="s">
        <v>2238</v>
      </c>
      <c r="L131" t="s">
        <v>2246</v>
      </c>
      <c r="M131" t="s">
        <v>2259</v>
      </c>
      <c r="N131">
        <v>3</v>
      </c>
      <c r="O131">
        <f t="shared" ref="O131:O194" si="10">ROUNDUP((77431.41),-1)</f>
        <v>77440</v>
      </c>
      <c r="P131">
        <f t="shared" ref="P131:P194" si="11">O131*N131</f>
        <v>232320</v>
      </c>
      <c r="Q131">
        <v>20</v>
      </c>
      <c r="R131">
        <f t="shared" ref="R131:R194" si="12">P131*(1-Q131/100)</f>
        <v>185856</v>
      </c>
      <c r="S131" t="s">
        <v>2261</v>
      </c>
      <c r="T131" t="s">
        <v>2266</v>
      </c>
      <c r="U131" s="1">
        <f t="shared" ref="U131:U194" si="13">IF(T131="Delivered", C131 + 7, "Not Delivered")</f>
        <v>45869</v>
      </c>
      <c r="V131">
        <f t="shared" ref="V131:V194" si="14">P131*15%</f>
        <v>34848</v>
      </c>
    </row>
    <row r="132" spans="1:22" x14ac:dyDescent="0.3">
      <c r="A132" t="s">
        <v>150</v>
      </c>
      <c r="B132">
        <v>2024</v>
      </c>
      <c r="C132" s="1">
        <v>45458</v>
      </c>
      <c r="D132" t="s">
        <v>820</v>
      </c>
      <c r="E132" t="s">
        <v>952</v>
      </c>
      <c r="F132" t="s">
        <v>1497</v>
      </c>
      <c r="G132" t="s">
        <v>2167</v>
      </c>
      <c r="H132" t="s">
        <v>2188</v>
      </c>
      <c r="I132" t="s">
        <v>2208</v>
      </c>
      <c r="J132" t="s">
        <v>2210</v>
      </c>
      <c r="K132" t="s">
        <v>2240</v>
      </c>
      <c r="L132" t="s">
        <v>2246</v>
      </c>
      <c r="M132" t="s">
        <v>2255</v>
      </c>
      <c r="N132">
        <v>3</v>
      </c>
      <c r="O132">
        <f t="shared" si="10"/>
        <v>77440</v>
      </c>
      <c r="P132">
        <f t="shared" si="11"/>
        <v>232320</v>
      </c>
      <c r="Q132">
        <v>20</v>
      </c>
      <c r="R132">
        <f t="shared" si="12"/>
        <v>185856</v>
      </c>
      <c r="S132" t="s">
        <v>2262</v>
      </c>
      <c r="T132" t="s">
        <v>2265</v>
      </c>
      <c r="U132" s="1" t="str">
        <f t="shared" si="13"/>
        <v>Not Delivered</v>
      </c>
      <c r="V132">
        <f t="shared" si="14"/>
        <v>34848</v>
      </c>
    </row>
    <row r="133" spans="1:22" x14ac:dyDescent="0.3">
      <c r="A133" t="s">
        <v>151</v>
      </c>
      <c r="B133">
        <v>2024</v>
      </c>
      <c r="C133" s="1">
        <v>45578</v>
      </c>
      <c r="D133" t="s">
        <v>826</v>
      </c>
      <c r="E133" t="s">
        <v>847</v>
      </c>
      <c r="F133" t="s">
        <v>1498</v>
      </c>
      <c r="G133" t="s">
        <v>2167</v>
      </c>
      <c r="H133" t="s">
        <v>2170</v>
      </c>
      <c r="I133" t="s">
        <v>2201</v>
      </c>
      <c r="J133" t="s">
        <v>2212</v>
      </c>
      <c r="K133" t="s">
        <v>2227</v>
      </c>
      <c r="L133" t="s">
        <v>2247</v>
      </c>
      <c r="M133" t="s">
        <v>2252</v>
      </c>
      <c r="N133">
        <v>1</v>
      </c>
      <c r="O133">
        <f t="shared" si="10"/>
        <v>77440</v>
      </c>
      <c r="P133">
        <f t="shared" si="11"/>
        <v>77440</v>
      </c>
      <c r="Q133">
        <v>5</v>
      </c>
      <c r="R133">
        <f t="shared" si="12"/>
        <v>73568</v>
      </c>
      <c r="S133" t="s">
        <v>2263</v>
      </c>
      <c r="T133" t="s">
        <v>2266</v>
      </c>
      <c r="U133" s="1">
        <f t="shared" si="13"/>
        <v>45585</v>
      </c>
      <c r="V133">
        <f t="shared" si="14"/>
        <v>11616</v>
      </c>
    </row>
    <row r="134" spans="1:22" x14ac:dyDescent="0.3">
      <c r="A134" t="s">
        <v>152</v>
      </c>
      <c r="B134">
        <v>2025</v>
      </c>
      <c r="C134" s="1">
        <v>45802</v>
      </c>
      <c r="D134" t="s">
        <v>829</v>
      </c>
      <c r="E134" t="s">
        <v>953</v>
      </c>
      <c r="F134" t="s">
        <v>1499</v>
      </c>
      <c r="G134" t="s">
        <v>2167</v>
      </c>
      <c r="H134" t="s">
        <v>2172</v>
      </c>
      <c r="I134" t="s">
        <v>2203</v>
      </c>
      <c r="J134" t="s">
        <v>2210</v>
      </c>
      <c r="K134" t="s">
        <v>2214</v>
      </c>
      <c r="L134" t="s">
        <v>2242</v>
      </c>
      <c r="M134" t="s">
        <v>2254</v>
      </c>
      <c r="N134">
        <v>3</v>
      </c>
      <c r="O134">
        <f t="shared" si="10"/>
        <v>77440</v>
      </c>
      <c r="P134">
        <f t="shared" si="11"/>
        <v>232320</v>
      </c>
      <c r="Q134">
        <v>0</v>
      </c>
      <c r="R134">
        <f t="shared" si="12"/>
        <v>232320</v>
      </c>
      <c r="S134" t="s">
        <v>2263</v>
      </c>
      <c r="T134" t="s">
        <v>2265</v>
      </c>
      <c r="U134" s="1" t="str">
        <f t="shared" si="13"/>
        <v>Not Delivered</v>
      </c>
      <c r="V134">
        <f t="shared" si="14"/>
        <v>34848</v>
      </c>
    </row>
    <row r="135" spans="1:22" x14ac:dyDescent="0.3">
      <c r="A135" t="s">
        <v>153</v>
      </c>
      <c r="B135">
        <v>2024</v>
      </c>
      <c r="C135" s="1">
        <v>45350</v>
      </c>
      <c r="D135" t="s">
        <v>823</v>
      </c>
      <c r="E135" t="s">
        <v>954</v>
      </c>
      <c r="F135" t="s">
        <v>1500</v>
      </c>
      <c r="G135" t="s">
        <v>2167</v>
      </c>
      <c r="H135" t="s">
        <v>2194</v>
      </c>
      <c r="I135" t="s">
        <v>2201</v>
      </c>
      <c r="J135" t="s">
        <v>2213</v>
      </c>
      <c r="K135" t="s">
        <v>2236</v>
      </c>
      <c r="L135" t="s">
        <v>2242</v>
      </c>
      <c r="M135" t="s">
        <v>2257</v>
      </c>
      <c r="N135">
        <v>3</v>
      </c>
      <c r="O135">
        <f t="shared" si="10"/>
        <v>77440</v>
      </c>
      <c r="P135">
        <f t="shared" si="11"/>
        <v>232320</v>
      </c>
      <c r="Q135">
        <v>20</v>
      </c>
      <c r="R135">
        <f t="shared" si="12"/>
        <v>185856</v>
      </c>
      <c r="S135" t="s">
        <v>2260</v>
      </c>
      <c r="T135" t="s">
        <v>2264</v>
      </c>
      <c r="U135" s="1" t="str">
        <f t="shared" si="13"/>
        <v>Not Delivered</v>
      </c>
      <c r="V135">
        <f t="shared" si="14"/>
        <v>34848</v>
      </c>
    </row>
    <row r="136" spans="1:22" x14ac:dyDescent="0.3">
      <c r="A136" t="s">
        <v>154</v>
      </c>
      <c r="B136">
        <v>2024</v>
      </c>
      <c r="C136" s="1">
        <v>45516</v>
      </c>
      <c r="D136" t="s">
        <v>820</v>
      </c>
      <c r="E136" t="s">
        <v>839</v>
      </c>
      <c r="F136" t="s">
        <v>1501</v>
      </c>
      <c r="G136" t="s">
        <v>2167</v>
      </c>
      <c r="H136" t="s">
        <v>2191</v>
      </c>
      <c r="I136" t="s">
        <v>2203</v>
      </c>
      <c r="J136" t="s">
        <v>2211</v>
      </c>
      <c r="K136" t="s">
        <v>2229</v>
      </c>
      <c r="L136" t="s">
        <v>2246</v>
      </c>
      <c r="M136" t="s">
        <v>2252</v>
      </c>
      <c r="N136">
        <v>4</v>
      </c>
      <c r="O136">
        <f t="shared" si="10"/>
        <v>77440</v>
      </c>
      <c r="P136">
        <f t="shared" si="11"/>
        <v>309760</v>
      </c>
      <c r="Q136">
        <v>15</v>
      </c>
      <c r="R136">
        <f t="shared" si="12"/>
        <v>263296</v>
      </c>
      <c r="S136" t="s">
        <v>2261</v>
      </c>
      <c r="T136" t="s">
        <v>2265</v>
      </c>
      <c r="U136" s="1" t="str">
        <f t="shared" si="13"/>
        <v>Not Delivered</v>
      </c>
      <c r="V136">
        <f t="shared" si="14"/>
        <v>46464</v>
      </c>
    </row>
    <row r="137" spans="1:22" x14ac:dyDescent="0.3">
      <c r="A137" t="s">
        <v>155</v>
      </c>
      <c r="B137">
        <v>2024</v>
      </c>
      <c r="C137" s="1">
        <v>45549</v>
      </c>
      <c r="D137" t="s">
        <v>828</v>
      </c>
      <c r="E137" t="s">
        <v>955</v>
      </c>
      <c r="F137" t="s">
        <v>1502</v>
      </c>
      <c r="G137" t="s">
        <v>2167</v>
      </c>
      <c r="H137" t="s">
        <v>2181</v>
      </c>
      <c r="I137" t="s">
        <v>2209</v>
      </c>
      <c r="J137" t="s">
        <v>2213</v>
      </c>
      <c r="K137" t="s">
        <v>2236</v>
      </c>
      <c r="L137" t="s">
        <v>2242</v>
      </c>
      <c r="M137" t="s">
        <v>2251</v>
      </c>
      <c r="N137">
        <v>5</v>
      </c>
      <c r="O137">
        <f t="shared" si="10"/>
        <v>77440</v>
      </c>
      <c r="P137">
        <f t="shared" si="11"/>
        <v>387200</v>
      </c>
      <c r="Q137">
        <v>15</v>
      </c>
      <c r="R137">
        <f t="shared" si="12"/>
        <v>329120</v>
      </c>
      <c r="S137" t="s">
        <v>2262</v>
      </c>
      <c r="T137" t="s">
        <v>2264</v>
      </c>
      <c r="U137" s="1" t="str">
        <f t="shared" si="13"/>
        <v>Not Delivered</v>
      </c>
      <c r="V137">
        <f t="shared" si="14"/>
        <v>58080</v>
      </c>
    </row>
    <row r="138" spans="1:22" x14ac:dyDescent="0.3">
      <c r="A138" t="s">
        <v>156</v>
      </c>
      <c r="B138">
        <v>2024</v>
      </c>
      <c r="C138" s="1">
        <v>45601</v>
      </c>
      <c r="D138" t="s">
        <v>820</v>
      </c>
      <c r="E138" t="s">
        <v>956</v>
      </c>
      <c r="F138" t="s">
        <v>1503</v>
      </c>
      <c r="G138" t="s">
        <v>2167</v>
      </c>
      <c r="H138" t="s">
        <v>2188</v>
      </c>
      <c r="I138" t="s">
        <v>2208</v>
      </c>
      <c r="J138" t="s">
        <v>2213</v>
      </c>
      <c r="K138" t="s">
        <v>2230</v>
      </c>
      <c r="L138" t="s">
        <v>2247</v>
      </c>
      <c r="M138" t="s">
        <v>2252</v>
      </c>
      <c r="N138">
        <v>4</v>
      </c>
      <c r="O138">
        <f t="shared" si="10"/>
        <v>77440</v>
      </c>
      <c r="P138">
        <f t="shared" si="11"/>
        <v>309760</v>
      </c>
      <c r="Q138">
        <v>0</v>
      </c>
      <c r="R138">
        <f t="shared" si="12"/>
        <v>309760</v>
      </c>
      <c r="S138" t="s">
        <v>2263</v>
      </c>
      <c r="T138" t="s">
        <v>2265</v>
      </c>
      <c r="U138" s="1" t="str">
        <f t="shared" si="13"/>
        <v>Not Delivered</v>
      </c>
      <c r="V138">
        <f t="shared" si="14"/>
        <v>46464</v>
      </c>
    </row>
    <row r="139" spans="1:22" x14ac:dyDescent="0.3">
      <c r="A139" t="s">
        <v>157</v>
      </c>
      <c r="B139">
        <v>2024</v>
      </c>
      <c r="C139" s="1">
        <v>45544</v>
      </c>
      <c r="D139" t="s">
        <v>826</v>
      </c>
      <c r="E139" t="s">
        <v>856</v>
      </c>
      <c r="F139" t="s">
        <v>1504</v>
      </c>
      <c r="G139" t="s">
        <v>2167</v>
      </c>
      <c r="H139" t="s">
        <v>2173</v>
      </c>
      <c r="I139" t="s">
        <v>2204</v>
      </c>
      <c r="J139" t="s">
        <v>2211</v>
      </c>
      <c r="K139" t="s">
        <v>2237</v>
      </c>
      <c r="L139" t="s">
        <v>2246</v>
      </c>
      <c r="M139" t="s">
        <v>2257</v>
      </c>
      <c r="N139">
        <v>4</v>
      </c>
      <c r="O139">
        <f t="shared" si="10"/>
        <v>77440</v>
      </c>
      <c r="P139">
        <f t="shared" si="11"/>
        <v>309760</v>
      </c>
      <c r="Q139">
        <v>15</v>
      </c>
      <c r="R139">
        <f t="shared" si="12"/>
        <v>263296</v>
      </c>
      <c r="S139" t="s">
        <v>2262</v>
      </c>
      <c r="T139" t="s">
        <v>2265</v>
      </c>
      <c r="U139" s="1" t="str">
        <f t="shared" si="13"/>
        <v>Not Delivered</v>
      </c>
      <c r="V139">
        <f t="shared" si="14"/>
        <v>46464</v>
      </c>
    </row>
    <row r="140" spans="1:22" x14ac:dyDescent="0.3">
      <c r="A140" t="s">
        <v>158</v>
      </c>
      <c r="B140">
        <v>2025</v>
      </c>
      <c r="C140" s="1">
        <v>45771</v>
      </c>
      <c r="D140" t="s">
        <v>823</v>
      </c>
      <c r="E140" t="s">
        <v>955</v>
      </c>
      <c r="F140" t="s">
        <v>1505</v>
      </c>
      <c r="G140" t="s">
        <v>2167</v>
      </c>
      <c r="H140" t="s">
        <v>2168</v>
      </c>
      <c r="I140" t="s">
        <v>2200</v>
      </c>
      <c r="J140" t="s">
        <v>2213</v>
      </c>
      <c r="K140" t="s">
        <v>2219</v>
      </c>
      <c r="L140" t="s">
        <v>2243</v>
      </c>
      <c r="M140" t="s">
        <v>2252</v>
      </c>
      <c r="N140">
        <v>3</v>
      </c>
      <c r="O140">
        <f t="shared" si="10"/>
        <v>77440</v>
      </c>
      <c r="P140">
        <f t="shared" si="11"/>
        <v>232320</v>
      </c>
      <c r="Q140">
        <v>5</v>
      </c>
      <c r="R140">
        <f t="shared" si="12"/>
        <v>220704</v>
      </c>
      <c r="S140" t="s">
        <v>2263</v>
      </c>
      <c r="T140" t="s">
        <v>2266</v>
      </c>
      <c r="U140" s="1">
        <f t="shared" si="13"/>
        <v>45778</v>
      </c>
      <c r="V140">
        <f t="shared" si="14"/>
        <v>34848</v>
      </c>
    </row>
    <row r="141" spans="1:22" x14ac:dyDescent="0.3">
      <c r="A141" t="s">
        <v>159</v>
      </c>
      <c r="B141">
        <v>2024</v>
      </c>
      <c r="C141" s="1">
        <v>45303</v>
      </c>
      <c r="D141" t="s">
        <v>824</v>
      </c>
      <c r="E141" t="s">
        <v>957</v>
      </c>
      <c r="F141" t="s">
        <v>1506</v>
      </c>
      <c r="G141" t="s">
        <v>2167</v>
      </c>
      <c r="H141" t="s">
        <v>2184</v>
      </c>
      <c r="I141" t="s">
        <v>2202</v>
      </c>
      <c r="J141" t="s">
        <v>2211</v>
      </c>
      <c r="K141" t="s">
        <v>2227</v>
      </c>
      <c r="L141" t="s">
        <v>2247</v>
      </c>
      <c r="M141" t="s">
        <v>2256</v>
      </c>
      <c r="N141">
        <v>4</v>
      </c>
      <c r="O141">
        <f t="shared" si="10"/>
        <v>77440</v>
      </c>
      <c r="P141">
        <f t="shared" si="11"/>
        <v>309760</v>
      </c>
      <c r="Q141">
        <v>5</v>
      </c>
      <c r="R141">
        <f t="shared" si="12"/>
        <v>294272</v>
      </c>
      <c r="S141" t="s">
        <v>2263</v>
      </c>
      <c r="T141" t="s">
        <v>2266</v>
      </c>
      <c r="U141" s="1">
        <f t="shared" si="13"/>
        <v>45310</v>
      </c>
      <c r="V141">
        <f t="shared" si="14"/>
        <v>46464</v>
      </c>
    </row>
    <row r="142" spans="1:22" x14ac:dyDescent="0.3">
      <c r="A142" t="s">
        <v>160</v>
      </c>
      <c r="B142">
        <v>2024</v>
      </c>
      <c r="C142" s="1">
        <v>45606</v>
      </c>
      <c r="D142" t="s">
        <v>828</v>
      </c>
      <c r="E142" t="s">
        <v>958</v>
      </c>
      <c r="F142" t="s">
        <v>1507</v>
      </c>
      <c r="G142" t="s">
        <v>2167</v>
      </c>
      <c r="H142" t="s">
        <v>2189</v>
      </c>
      <c r="I142" t="s">
        <v>2202</v>
      </c>
      <c r="J142" t="s">
        <v>2210</v>
      </c>
      <c r="K142" t="s">
        <v>2240</v>
      </c>
      <c r="L142" t="s">
        <v>2246</v>
      </c>
      <c r="M142" t="s">
        <v>2252</v>
      </c>
      <c r="N142">
        <v>2</v>
      </c>
      <c r="O142">
        <f t="shared" si="10"/>
        <v>77440</v>
      </c>
      <c r="P142">
        <f t="shared" si="11"/>
        <v>154880</v>
      </c>
      <c r="Q142">
        <v>15</v>
      </c>
      <c r="R142">
        <f t="shared" si="12"/>
        <v>131648</v>
      </c>
      <c r="S142" t="s">
        <v>2263</v>
      </c>
      <c r="T142" t="s">
        <v>2264</v>
      </c>
      <c r="U142" s="1" t="str">
        <f t="shared" si="13"/>
        <v>Not Delivered</v>
      </c>
      <c r="V142">
        <f t="shared" si="14"/>
        <v>23232</v>
      </c>
    </row>
    <row r="143" spans="1:22" x14ac:dyDescent="0.3">
      <c r="A143" t="s">
        <v>161</v>
      </c>
      <c r="B143">
        <v>2024</v>
      </c>
      <c r="C143" s="1">
        <v>45485</v>
      </c>
      <c r="D143" t="s">
        <v>829</v>
      </c>
      <c r="E143" t="s">
        <v>959</v>
      </c>
      <c r="F143" t="s">
        <v>1508</v>
      </c>
      <c r="G143" t="s">
        <v>2167</v>
      </c>
      <c r="H143" t="s">
        <v>2187</v>
      </c>
      <c r="I143" t="s">
        <v>2209</v>
      </c>
      <c r="J143" t="s">
        <v>2213</v>
      </c>
      <c r="K143" t="s">
        <v>2231</v>
      </c>
      <c r="L143" t="s">
        <v>2244</v>
      </c>
      <c r="M143" t="s">
        <v>2259</v>
      </c>
      <c r="N143">
        <v>2</v>
      </c>
      <c r="O143">
        <f t="shared" si="10"/>
        <v>77440</v>
      </c>
      <c r="P143">
        <f t="shared" si="11"/>
        <v>154880</v>
      </c>
      <c r="Q143">
        <v>10</v>
      </c>
      <c r="R143">
        <f t="shared" si="12"/>
        <v>139392</v>
      </c>
      <c r="S143" t="s">
        <v>2260</v>
      </c>
      <c r="T143" t="s">
        <v>2264</v>
      </c>
      <c r="U143" s="1" t="str">
        <f t="shared" si="13"/>
        <v>Not Delivered</v>
      </c>
      <c r="V143">
        <f t="shared" si="14"/>
        <v>23232</v>
      </c>
    </row>
    <row r="144" spans="1:22" x14ac:dyDescent="0.3">
      <c r="A144" t="s">
        <v>162</v>
      </c>
      <c r="B144">
        <v>2025</v>
      </c>
      <c r="C144" s="1">
        <v>45859</v>
      </c>
      <c r="D144" t="s">
        <v>822</v>
      </c>
      <c r="E144" t="s">
        <v>960</v>
      </c>
      <c r="F144" t="s">
        <v>1509</v>
      </c>
      <c r="G144" t="s">
        <v>2167</v>
      </c>
      <c r="H144" t="s">
        <v>2169</v>
      </c>
      <c r="I144" t="s">
        <v>2201</v>
      </c>
      <c r="J144" t="s">
        <v>2210</v>
      </c>
      <c r="K144" t="s">
        <v>2240</v>
      </c>
      <c r="L144" t="s">
        <v>2246</v>
      </c>
      <c r="M144" t="s">
        <v>2256</v>
      </c>
      <c r="N144">
        <v>5</v>
      </c>
      <c r="O144">
        <f t="shared" si="10"/>
        <v>77440</v>
      </c>
      <c r="P144">
        <f t="shared" si="11"/>
        <v>387200</v>
      </c>
      <c r="Q144">
        <v>0</v>
      </c>
      <c r="R144">
        <f t="shared" si="12"/>
        <v>387200</v>
      </c>
      <c r="S144" t="s">
        <v>2262</v>
      </c>
      <c r="T144" t="s">
        <v>2266</v>
      </c>
      <c r="U144" s="1">
        <f t="shared" si="13"/>
        <v>45866</v>
      </c>
      <c r="V144">
        <f t="shared" si="14"/>
        <v>58080</v>
      </c>
    </row>
    <row r="145" spans="1:22" x14ac:dyDescent="0.3">
      <c r="A145" t="s">
        <v>163</v>
      </c>
      <c r="B145">
        <v>2024</v>
      </c>
      <c r="C145" s="1">
        <v>45467</v>
      </c>
      <c r="D145" t="s">
        <v>825</v>
      </c>
      <c r="E145" t="s">
        <v>961</v>
      </c>
      <c r="F145" t="s">
        <v>1510</v>
      </c>
      <c r="G145" t="s">
        <v>2167</v>
      </c>
      <c r="H145" t="s">
        <v>2196</v>
      </c>
      <c r="I145" t="s">
        <v>2205</v>
      </c>
      <c r="J145" t="s">
        <v>2212</v>
      </c>
      <c r="K145" t="s">
        <v>2237</v>
      </c>
      <c r="L145" t="s">
        <v>2246</v>
      </c>
      <c r="M145" t="s">
        <v>2254</v>
      </c>
      <c r="N145">
        <v>3</v>
      </c>
      <c r="O145">
        <f t="shared" si="10"/>
        <v>77440</v>
      </c>
      <c r="P145">
        <f t="shared" si="11"/>
        <v>232320</v>
      </c>
      <c r="Q145">
        <v>0</v>
      </c>
      <c r="R145">
        <f t="shared" si="12"/>
        <v>232320</v>
      </c>
      <c r="S145" t="s">
        <v>2260</v>
      </c>
      <c r="T145" t="s">
        <v>2265</v>
      </c>
      <c r="U145" s="1" t="str">
        <f t="shared" si="13"/>
        <v>Not Delivered</v>
      </c>
      <c r="V145">
        <f t="shared" si="14"/>
        <v>34848</v>
      </c>
    </row>
    <row r="146" spans="1:22" x14ac:dyDescent="0.3">
      <c r="A146" t="s">
        <v>164</v>
      </c>
      <c r="B146">
        <v>2025</v>
      </c>
      <c r="C146" s="1">
        <v>45800</v>
      </c>
      <c r="D146" t="s">
        <v>826</v>
      </c>
      <c r="E146" t="s">
        <v>962</v>
      </c>
      <c r="F146" t="s">
        <v>1511</v>
      </c>
      <c r="G146" t="s">
        <v>2167</v>
      </c>
      <c r="H146" t="s">
        <v>2197</v>
      </c>
      <c r="I146" t="s">
        <v>2209</v>
      </c>
      <c r="J146" t="s">
        <v>2211</v>
      </c>
      <c r="K146" t="s">
        <v>2214</v>
      </c>
      <c r="L146" t="s">
        <v>2242</v>
      </c>
      <c r="M146" t="s">
        <v>2250</v>
      </c>
      <c r="N146">
        <v>1</v>
      </c>
      <c r="O146">
        <f t="shared" si="10"/>
        <v>77440</v>
      </c>
      <c r="P146">
        <f t="shared" si="11"/>
        <v>77440</v>
      </c>
      <c r="Q146">
        <v>5</v>
      </c>
      <c r="R146">
        <f t="shared" si="12"/>
        <v>73568</v>
      </c>
      <c r="S146" t="s">
        <v>2261</v>
      </c>
      <c r="T146" t="s">
        <v>2265</v>
      </c>
      <c r="U146" s="1" t="str">
        <f t="shared" si="13"/>
        <v>Not Delivered</v>
      </c>
      <c r="V146">
        <f t="shared" si="14"/>
        <v>11616</v>
      </c>
    </row>
    <row r="147" spans="1:22" x14ac:dyDescent="0.3">
      <c r="A147" t="s">
        <v>165</v>
      </c>
      <c r="B147">
        <v>2024</v>
      </c>
      <c r="C147" s="1">
        <v>45608</v>
      </c>
      <c r="D147" t="s">
        <v>827</v>
      </c>
      <c r="E147" t="s">
        <v>963</v>
      </c>
      <c r="F147" t="s">
        <v>1512</v>
      </c>
      <c r="G147" t="s">
        <v>2167</v>
      </c>
      <c r="H147" t="s">
        <v>2198</v>
      </c>
      <c r="I147" t="s">
        <v>2207</v>
      </c>
      <c r="J147" t="s">
        <v>2212</v>
      </c>
      <c r="K147" t="s">
        <v>2216</v>
      </c>
      <c r="L147" t="s">
        <v>2242</v>
      </c>
      <c r="M147" t="s">
        <v>2249</v>
      </c>
      <c r="N147">
        <v>1</v>
      </c>
      <c r="O147">
        <f t="shared" si="10"/>
        <v>77440</v>
      </c>
      <c r="P147">
        <f t="shared" si="11"/>
        <v>77440</v>
      </c>
      <c r="Q147">
        <v>5</v>
      </c>
      <c r="R147">
        <f t="shared" si="12"/>
        <v>73568</v>
      </c>
      <c r="S147" t="s">
        <v>2260</v>
      </c>
      <c r="T147" t="s">
        <v>2264</v>
      </c>
      <c r="U147" s="1" t="str">
        <f t="shared" si="13"/>
        <v>Not Delivered</v>
      </c>
      <c r="V147">
        <f t="shared" si="14"/>
        <v>11616</v>
      </c>
    </row>
    <row r="148" spans="1:22" x14ac:dyDescent="0.3">
      <c r="A148" t="s">
        <v>166</v>
      </c>
      <c r="B148">
        <v>2024</v>
      </c>
      <c r="C148" s="1">
        <v>45299</v>
      </c>
      <c r="D148" t="s">
        <v>826</v>
      </c>
      <c r="E148" t="s">
        <v>964</v>
      </c>
      <c r="F148" t="s">
        <v>1513</v>
      </c>
      <c r="G148" t="s">
        <v>2167</v>
      </c>
      <c r="H148" t="s">
        <v>2191</v>
      </c>
      <c r="I148" t="s">
        <v>2203</v>
      </c>
      <c r="J148" t="s">
        <v>2210</v>
      </c>
      <c r="K148" t="s">
        <v>2217</v>
      </c>
      <c r="L148" t="s">
        <v>2244</v>
      </c>
      <c r="M148" t="s">
        <v>2256</v>
      </c>
      <c r="N148">
        <v>3</v>
      </c>
      <c r="O148">
        <f t="shared" si="10"/>
        <v>77440</v>
      </c>
      <c r="P148">
        <f t="shared" si="11"/>
        <v>232320</v>
      </c>
      <c r="Q148">
        <v>15</v>
      </c>
      <c r="R148">
        <f t="shared" si="12"/>
        <v>197472</v>
      </c>
      <c r="S148" t="s">
        <v>2263</v>
      </c>
      <c r="T148" t="s">
        <v>2264</v>
      </c>
      <c r="U148" s="1" t="str">
        <f t="shared" si="13"/>
        <v>Not Delivered</v>
      </c>
      <c r="V148">
        <f t="shared" si="14"/>
        <v>34848</v>
      </c>
    </row>
    <row r="149" spans="1:22" x14ac:dyDescent="0.3">
      <c r="A149" t="s">
        <v>167</v>
      </c>
      <c r="B149">
        <v>2025</v>
      </c>
      <c r="C149" s="1">
        <v>45726</v>
      </c>
      <c r="D149" t="s">
        <v>823</v>
      </c>
      <c r="E149" t="s">
        <v>965</v>
      </c>
      <c r="F149" t="s">
        <v>1514</v>
      </c>
      <c r="G149" t="s">
        <v>2167</v>
      </c>
      <c r="H149" t="s">
        <v>2169</v>
      </c>
      <c r="I149" t="s">
        <v>2201</v>
      </c>
      <c r="J149" t="s">
        <v>2212</v>
      </c>
      <c r="K149" t="s">
        <v>2227</v>
      </c>
      <c r="L149" t="s">
        <v>2247</v>
      </c>
      <c r="M149" t="s">
        <v>2251</v>
      </c>
      <c r="N149">
        <v>5</v>
      </c>
      <c r="O149">
        <f t="shared" si="10"/>
        <v>77440</v>
      </c>
      <c r="P149">
        <f t="shared" si="11"/>
        <v>387200</v>
      </c>
      <c r="Q149">
        <v>10</v>
      </c>
      <c r="R149">
        <f t="shared" si="12"/>
        <v>348480</v>
      </c>
      <c r="S149" t="s">
        <v>2262</v>
      </c>
      <c r="T149" t="s">
        <v>2264</v>
      </c>
      <c r="U149" s="1" t="str">
        <f t="shared" si="13"/>
        <v>Not Delivered</v>
      </c>
      <c r="V149">
        <f t="shared" si="14"/>
        <v>58080</v>
      </c>
    </row>
    <row r="150" spans="1:22" x14ac:dyDescent="0.3">
      <c r="A150" t="s">
        <v>168</v>
      </c>
      <c r="B150">
        <v>2025</v>
      </c>
      <c r="C150" s="1">
        <v>45686</v>
      </c>
      <c r="D150" t="s">
        <v>825</v>
      </c>
      <c r="E150" t="s">
        <v>966</v>
      </c>
      <c r="F150" t="s">
        <v>1515</v>
      </c>
      <c r="G150" t="s">
        <v>2167</v>
      </c>
      <c r="H150" t="s">
        <v>2196</v>
      </c>
      <c r="I150" t="s">
        <v>2205</v>
      </c>
      <c r="J150" t="s">
        <v>2213</v>
      </c>
      <c r="K150" t="s">
        <v>2236</v>
      </c>
      <c r="L150" t="s">
        <v>2242</v>
      </c>
      <c r="M150" t="s">
        <v>2253</v>
      </c>
      <c r="N150">
        <v>4</v>
      </c>
      <c r="O150">
        <f t="shared" si="10"/>
        <v>77440</v>
      </c>
      <c r="P150">
        <f t="shared" si="11"/>
        <v>309760</v>
      </c>
      <c r="Q150">
        <v>0</v>
      </c>
      <c r="R150">
        <f t="shared" si="12"/>
        <v>309760</v>
      </c>
      <c r="S150" t="s">
        <v>2260</v>
      </c>
      <c r="T150" t="s">
        <v>2266</v>
      </c>
      <c r="U150" s="1">
        <f t="shared" si="13"/>
        <v>45693</v>
      </c>
      <c r="V150">
        <f t="shared" si="14"/>
        <v>46464</v>
      </c>
    </row>
    <row r="151" spans="1:22" x14ac:dyDescent="0.3">
      <c r="A151" t="s">
        <v>169</v>
      </c>
      <c r="B151">
        <v>2024</v>
      </c>
      <c r="C151" s="1">
        <v>45332</v>
      </c>
      <c r="D151" t="s">
        <v>822</v>
      </c>
      <c r="E151" t="s">
        <v>897</v>
      </c>
      <c r="F151" t="s">
        <v>1516</v>
      </c>
      <c r="G151" t="s">
        <v>2167</v>
      </c>
      <c r="H151" t="s">
        <v>2193</v>
      </c>
      <c r="I151" t="s">
        <v>2206</v>
      </c>
      <c r="J151" t="s">
        <v>2212</v>
      </c>
      <c r="K151" t="s">
        <v>2224</v>
      </c>
      <c r="L151" t="s">
        <v>2245</v>
      </c>
      <c r="M151" t="s">
        <v>2253</v>
      </c>
      <c r="N151">
        <v>1</v>
      </c>
      <c r="O151">
        <f t="shared" si="10"/>
        <v>77440</v>
      </c>
      <c r="P151">
        <f t="shared" si="11"/>
        <v>77440</v>
      </c>
      <c r="Q151">
        <v>0</v>
      </c>
      <c r="R151">
        <f t="shared" si="12"/>
        <v>77440</v>
      </c>
      <c r="S151" t="s">
        <v>2262</v>
      </c>
      <c r="T151" t="s">
        <v>2264</v>
      </c>
      <c r="U151" s="1" t="str">
        <f t="shared" si="13"/>
        <v>Not Delivered</v>
      </c>
      <c r="V151">
        <f t="shared" si="14"/>
        <v>11616</v>
      </c>
    </row>
    <row r="152" spans="1:22" x14ac:dyDescent="0.3">
      <c r="A152" t="s">
        <v>170</v>
      </c>
      <c r="B152">
        <v>2024</v>
      </c>
      <c r="C152" s="1">
        <v>45656</v>
      </c>
      <c r="D152" t="s">
        <v>820</v>
      </c>
      <c r="E152" t="s">
        <v>955</v>
      </c>
      <c r="F152" t="s">
        <v>1517</v>
      </c>
      <c r="G152" t="s">
        <v>2167</v>
      </c>
      <c r="H152" t="s">
        <v>2197</v>
      </c>
      <c r="I152" t="s">
        <v>2209</v>
      </c>
      <c r="J152" t="s">
        <v>2211</v>
      </c>
      <c r="K152" t="s">
        <v>2229</v>
      </c>
      <c r="L152" t="s">
        <v>2246</v>
      </c>
      <c r="M152" t="s">
        <v>2250</v>
      </c>
      <c r="N152">
        <v>3</v>
      </c>
      <c r="O152">
        <f t="shared" si="10"/>
        <v>77440</v>
      </c>
      <c r="P152">
        <f t="shared" si="11"/>
        <v>232320</v>
      </c>
      <c r="Q152">
        <v>0</v>
      </c>
      <c r="R152">
        <f t="shared" si="12"/>
        <v>232320</v>
      </c>
      <c r="S152" t="s">
        <v>2263</v>
      </c>
      <c r="T152" t="s">
        <v>2265</v>
      </c>
      <c r="U152" s="1" t="str">
        <f t="shared" si="13"/>
        <v>Not Delivered</v>
      </c>
      <c r="V152">
        <f t="shared" si="14"/>
        <v>34848</v>
      </c>
    </row>
    <row r="153" spans="1:22" x14ac:dyDescent="0.3">
      <c r="A153" t="s">
        <v>171</v>
      </c>
      <c r="B153">
        <v>2024</v>
      </c>
      <c r="C153" s="1">
        <v>45649</v>
      </c>
      <c r="D153" t="s">
        <v>822</v>
      </c>
      <c r="E153" t="s">
        <v>967</v>
      </c>
      <c r="F153" t="s">
        <v>1518</v>
      </c>
      <c r="G153" t="s">
        <v>2167</v>
      </c>
      <c r="H153" t="s">
        <v>2191</v>
      </c>
      <c r="I153" t="s">
        <v>2203</v>
      </c>
      <c r="J153" t="s">
        <v>2211</v>
      </c>
      <c r="K153" t="s">
        <v>2229</v>
      </c>
      <c r="L153" t="s">
        <v>2246</v>
      </c>
      <c r="M153" t="s">
        <v>2254</v>
      </c>
      <c r="N153">
        <v>2</v>
      </c>
      <c r="O153">
        <f t="shared" si="10"/>
        <v>77440</v>
      </c>
      <c r="P153">
        <f t="shared" si="11"/>
        <v>154880</v>
      </c>
      <c r="Q153">
        <v>10</v>
      </c>
      <c r="R153">
        <f t="shared" si="12"/>
        <v>139392</v>
      </c>
      <c r="S153" t="s">
        <v>2263</v>
      </c>
      <c r="T153" t="s">
        <v>2266</v>
      </c>
      <c r="U153" s="1">
        <f t="shared" si="13"/>
        <v>45656</v>
      </c>
      <c r="V153">
        <f t="shared" si="14"/>
        <v>23232</v>
      </c>
    </row>
    <row r="154" spans="1:22" x14ac:dyDescent="0.3">
      <c r="A154" t="s">
        <v>172</v>
      </c>
      <c r="B154">
        <v>2024</v>
      </c>
      <c r="C154" s="1">
        <v>45655</v>
      </c>
      <c r="D154" t="s">
        <v>824</v>
      </c>
      <c r="E154" t="s">
        <v>968</v>
      </c>
      <c r="F154" t="s">
        <v>1519</v>
      </c>
      <c r="G154" t="s">
        <v>2167</v>
      </c>
      <c r="H154" t="s">
        <v>2188</v>
      </c>
      <c r="I154" t="s">
        <v>2208</v>
      </c>
      <c r="J154" t="s">
        <v>2211</v>
      </c>
      <c r="K154" t="s">
        <v>2234</v>
      </c>
      <c r="L154" t="s">
        <v>2244</v>
      </c>
      <c r="M154" t="s">
        <v>2248</v>
      </c>
      <c r="N154">
        <v>1</v>
      </c>
      <c r="O154">
        <f t="shared" si="10"/>
        <v>77440</v>
      </c>
      <c r="P154">
        <f t="shared" si="11"/>
        <v>77440</v>
      </c>
      <c r="Q154">
        <v>0</v>
      </c>
      <c r="R154">
        <f t="shared" si="12"/>
        <v>77440</v>
      </c>
      <c r="S154" t="s">
        <v>2260</v>
      </c>
      <c r="T154" t="s">
        <v>2266</v>
      </c>
      <c r="U154" s="1">
        <f t="shared" si="13"/>
        <v>45662</v>
      </c>
      <c r="V154">
        <f t="shared" si="14"/>
        <v>11616</v>
      </c>
    </row>
    <row r="155" spans="1:22" x14ac:dyDescent="0.3">
      <c r="A155" t="s">
        <v>173</v>
      </c>
      <c r="B155">
        <v>2025</v>
      </c>
      <c r="C155" s="1">
        <v>45708</v>
      </c>
      <c r="D155" t="s">
        <v>829</v>
      </c>
      <c r="E155" t="s">
        <v>969</v>
      </c>
      <c r="F155" t="s">
        <v>1520</v>
      </c>
      <c r="G155" t="s">
        <v>2167</v>
      </c>
      <c r="H155" t="s">
        <v>2197</v>
      </c>
      <c r="I155" t="s">
        <v>2209</v>
      </c>
      <c r="J155" t="s">
        <v>2210</v>
      </c>
      <c r="K155" t="s">
        <v>2226</v>
      </c>
      <c r="L155" t="s">
        <v>2244</v>
      </c>
      <c r="M155" t="s">
        <v>2250</v>
      </c>
      <c r="N155">
        <v>4</v>
      </c>
      <c r="O155">
        <f t="shared" si="10"/>
        <v>77440</v>
      </c>
      <c r="P155">
        <f t="shared" si="11"/>
        <v>309760</v>
      </c>
      <c r="Q155">
        <v>0</v>
      </c>
      <c r="R155">
        <f t="shared" si="12"/>
        <v>309760</v>
      </c>
      <c r="S155" t="s">
        <v>2261</v>
      </c>
      <c r="T155" t="s">
        <v>2266</v>
      </c>
      <c r="U155" s="1">
        <f t="shared" si="13"/>
        <v>45715</v>
      </c>
      <c r="V155">
        <f t="shared" si="14"/>
        <v>46464</v>
      </c>
    </row>
    <row r="156" spans="1:22" x14ac:dyDescent="0.3">
      <c r="A156" t="s">
        <v>174</v>
      </c>
      <c r="B156">
        <v>2024</v>
      </c>
      <c r="C156" s="1">
        <v>45460</v>
      </c>
      <c r="D156" t="s">
        <v>829</v>
      </c>
      <c r="E156" t="s">
        <v>970</v>
      </c>
      <c r="F156" t="s">
        <v>1521</v>
      </c>
      <c r="G156" t="s">
        <v>2167</v>
      </c>
      <c r="H156" t="s">
        <v>2175</v>
      </c>
      <c r="I156" t="s">
        <v>2203</v>
      </c>
      <c r="J156" t="s">
        <v>2213</v>
      </c>
      <c r="K156" t="s">
        <v>2216</v>
      </c>
      <c r="L156" t="s">
        <v>2242</v>
      </c>
      <c r="M156" t="s">
        <v>2250</v>
      </c>
      <c r="N156">
        <v>2</v>
      </c>
      <c r="O156">
        <f t="shared" si="10"/>
        <v>77440</v>
      </c>
      <c r="P156">
        <f t="shared" si="11"/>
        <v>154880</v>
      </c>
      <c r="Q156">
        <v>15</v>
      </c>
      <c r="R156">
        <f t="shared" si="12"/>
        <v>131648</v>
      </c>
      <c r="S156" t="s">
        <v>2261</v>
      </c>
      <c r="T156" t="s">
        <v>2265</v>
      </c>
      <c r="U156" s="1" t="str">
        <f t="shared" si="13"/>
        <v>Not Delivered</v>
      </c>
      <c r="V156">
        <f t="shared" si="14"/>
        <v>23232</v>
      </c>
    </row>
    <row r="157" spans="1:22" x14ac:dyDescent="0.3">
      <c r="A157" t="s">
        <v>175</v>
      </c>
      <c r="B157">
        <v>2024</v>
      </c>
      <c r="C157" s="1">
        <v>45598</v>
      </c>
      <c r="D157" t="s">
        <v>820</v>
      </c>
      <c r="E157" t="s">
        <v>971</v>
      </c>
      <c r="F157" t="s">
        <v>1522</v>
      </c>
      <c r="G157" t="s">
        <v>2167</v>
      </c>
      <c r="H157" t="s">
        <v>2178</v>
      </c>
      <c r="I157" t="s">
        <v>2207</v>
      </c>
      <c r="J157" t="s">
        <v>2212</v>
      </c>
      <c r="K157" t="s">
        <v>2232</v>
      </c>
      <c r="L157" t="s">
        <v>2243</v>
      </c>
      <c r="M157" t="s">
        <v>2249</v>
      </c>
      <c r="N157">
        <v>3</v>
      </c>
      <c r="O157">
        <f t="shared" si="10"/>
        <v>77440</v>
      </c>
      <c r="P157">
        <f t="shared" si="11"/>
        <v>232320</v>
      </c>
      <c r="Q157">
        <v>10</v>
      </c>
      <c r="R157">
        <f t="shared" si="12"/>
        <v>209088</v>
      </c>
      <c r="S157" t="s">
        <v>2262</v>
      </c>
      <c r="T157" t="s">
        <v>2265</v>
      </c>
      <c r="U157" s="1" t="str">
        <f t="shared" si="13"/>
        <v>Not Delivered</v>
      </c>
      <c r="V157">
        <f t="shared" si="14"/>
        <v>34848</v>
      </c>
    </row>
    <row r="158" spans="1:22" x14ac:dyDescent="0.3">
      <c r="A158" t="s">
        <v>176</v>
      </c>
      <c r="B158">
        <v>2024</v>
      </c>
      <c r="C158" s="1">
        <v>45545</v>
      </c>
      <c r="D158" t="s">
        <v>821</v>
      </c>
      <c r="E158" t="s">
        <v>972</v>
      </c>
      <c r="F158" t="s">
        <v>1523</v>
      </c>
      <c r="G158" t="s">
        <v>2167</v>
      </c>
      <c r="H158" t="s">
        <v>2186</v>
      </c>
      <c r="I158" t="s">
        <v>2201</v>
      </c>
      <c r="J158" t="s">
        <v>2210</v>
      </c>
      <c r="K158" t="s">
        <v>2228</v>
      </c>
      <c r="L158" t="s">
        <v>2243</v>
      </c>
      <c r="M158" t="s">
        <v>2255</v>
      </c>
      <c r="N158">
        <v>4</v>
      </c>
      <c r="O158">
        <f t="shared" si="10"/>
        <v>77440</v>
      </c>
      <c r="P158">
        <f t="shared" si="11"/>
        <v>309760</v>
      </c>
      <c r="Q158">
        <v>15</v>
      </c>
      <c r="R158">
        <f t="shared" si="12"/>
        <v>263296</v>
      </c>
      <c r="S158" t="s">
        <v>2260</v>
      </c>
      <c r="T158" t="s">
        <v>2266</v>
      </c>
      <c r="U158" s="1">
        <f t="shared" si="13"/>
        <v>45552</v>
      </c>
      <c r="V158">
        <f t="shared" si="14"/>
        <v>46464</v>
      </c>
    </row>
    <row r="159" spans="1:22" x14ac:dyDescent="0.3">
      <c r="A159" t="s">
        <v>177</v>
      </c>
      <c r="B159">
        <v>2025</v>
      </c>
      <c r="C159" s="1">
        <v>45660</v>
      </c>
      <c r="D159" t="s">
        <v>822</v>
      </c>
      <c r="E159" t="s">
        <v>973</v>
      </c>
      <c r="F159" t="s">
        <v>1524</v>
      </c>
      <c r="G159" t="s">
        <v>2167</v>
      </c>
      <c r="H159" t="s">
        <v>2180</v>
      </c>
      <c r="I159" t="s">
        <v>2208</v>
      </c>
      <c r="J159" t="s">
        <v>2213</v>
      </c>
      <c r="K159" t="s">
        <v>2218</v>
      </c>
      <c r="L159" t="s">
        <v>2242</v>
      </c>
      <c r="M159" t="s">
        <v>2259</v>
      </c>
      <c r="N159">
        <v>5</v>
      </c>
      <c r="O159">
        <f t="shared" si="10"/>
        <v>77440</v>
      </c>
      <c r="P159">
        <f t="shared" si="11"/>
        <v>387200</v>
      </c>
      <c r="Q159">
        <v>10</v>
      </c>
      <c r="R159">
        <f t="shared" si="12"/>
        <v>348480</v>
      </c>
      <c r="S159" t="s">
        <v>2262</v>
      </c>
      <c r="T159" t="s">
        <v>2266</v>
      </c>
      <c r="U159" s="1">
        <f t="shared" si="13"/>
        <v>45667</v>
      </c>
      <c r="V159">
        <f t="shared" si="14"/>
        <v>58080</v>
      </c>
    </row>
    <row r="160" spans="1:22" x14ac:dyDescent="0.3">
      <c r="A160" t="s">
        <v>178</v>
      </c>
      <c r="B160">
        <v>2024</v>
      </c>
      <c r="C160" s="1">
        <v>45525</v>
      </c>
      <c r="D160" t="s">
        <v>823</v>
      </c>
      <c r="E160" t="s">
        <v>878</v>
      </c>
      <c r="F160" t="s">
        <v>1525</v>
      </c>
      <c r="G160" t="s">
        <v>2167</v>
      </c>
      <c r="H160" t="s">
        <v>2188</v>
      </c>
      <c r="I160" t="s">
        <v>2208</v>
      </c>
      <c r="J160" t="s">
        <v>2210</v>
      </c>
      <c r="K160" t="s">
        <v>2229</v>
      </c>
      <c r="L160" t="s">
        <v>2246</v>
      </c>
      <c r="M160" t="s">
        <v>2252</v>
      </c>
      <c r="N160">
        <v>5</v>
      </c>
      <c r="O160">
        <f t="shared" si="10"/>
        <v>77440</v>
      </c>
      <c r="P160">
        <f t="shared" si="11"/>
        <v>387200</v>
      </c>
      <c r="Q160">
        <v>15</v>
      </c>
      <c r="R160">
        <f t="shared" si="12"/>
        <v>329120</v>
      </c>
      <c r="S160" t="s">
        <v>2261</v>
      </c>
      <c r="T160" t="s">
        <v>2265</v>
      </c>
      <c r="U160" s="1" t="str">
        <f t="shared" si="13"/>
        <v>Not Delivered</v>
      </c>
      <c r="V160">
        <f t="shared" si="14"/>
        <v>58080</v>
      </c>
    </row>
    <row r="161" spans="1:22" x14ac:dyDescent="0.3">
      <c r="A161" t="s">
        <v>179</v>
      </c>
      <c r="B161">
        <v>2025</v>
      </c>
      <c r="C161" s="1">
        <v>45722</v>
      </c>
      <c r="D161" t="s">
        <v>829</v>
      </c>
      <c r="E161" t="s">
        <v>880</v>
      </c>
      <c r="F161" t="s">
        <v>1526</v>
      </c>
      <c r="G161" t="s">
        <v>2167</v>
      </c>
      <c r="H161" t="s">
        <v>2171</v>
      </c>
      <c r="I161" t="s">
        <v>2202</v>
      </c>
      <c r="J161" t="s">
        <v>2212</v>
      </c>
      <c r="K161" t="s">
        <v>2229</v>
      </c>
      <c r="L161" t="s">
        <v>2246</v>
      </c>
      <c r="M161" t="s">
        <v>2254</v>
      </c>
      <c r="N161">
        <v>5</v>
      </c>
      <c r="O161">
        <f t="shared" si="10"/>
        <v>77440</v>
      </c>
      <c r="P161">
        <f t="shared" si="11"/>
        <v>387200</v>
      </c>
      <c r="Q161">
        <v>15</v>
      </c>
      <c r="R161">
        <f t="shared" si="12"/>
        <v>329120</v>
      </c>
      <c r="S161" t="s">
        <v>2263</v>
      </c>
      <c r="T161" t="s">
        <v>2265</v>
      </c>
      <c r="U161" s="1" t="str">
        <f t="shared" si="13"/>
        <v>Not Delivered</v>
      </c>
      <c r="V161">
        <f t="shared" si="14"/>
        <v>58080</v>
      </c>
    </row>
    <row r="162" spans="1:22" x14ac:dyDescent="0.3">
      <c r="A162" t="s">
        <v>180</v>
      </c>
      <c r="B162">
        <v>2025</v>
      </c>
      <c r="C162" s="1">
        <v>45844</v>
      </c>
      <c r="D162" t="s">
        <v>821</v>
      </c>
      <c r="E162" t="s">
        <v>974</v>
      </c>
      <c r="F162" t="s">
        <v>1527</v>
      </c>
      <c r="G162" t="s">
        <v>2167</v>
      </c>
      <c r="H162" t="s">
        <v>2173</v>
      </c>
      <c r="I162" t="s">
        <v>2204</v>
      </c>
      <c r="J162" t="s">
        <v>2211</v>
      </c>
      <c r="K162" t="s">
        <v>2233</v>
      </c>
      <c r="L162" t="s">
        <v>2245</v>
      </c>
      <c r="M162" t="s">
        <v>2258</v>
      </c>
      <c r="N162">
        <v>2</v>
      </c>
      <c r="O162">
        <f t="shared" si="10"/>
        <v>77440</v>
      </c>
      <c r="P162">
        <f t="shared" si="11"/>
        <v>154880</v>
      </c>
      <c r="Q162">
        <v>15</v>
      </c>
      <c r="R162">
        <f t="shared" si="12"/>
        <v>131648</v>
      </c>
      <c r="S162" t="s">
        <v>2263</v>
      </c>
      <c r="T162" t="s">
        <v>2266</v>
      </c>
      <c r="U162" s="1">
        <f t="shared" si="13"/>
        <v>45851</v>
      </c>
      <c r="V162">
        <f t="shared" si="14"/>
        <v>23232</v>
      </c>
    </row>
    <row r="163" spans="1:22" x14ac:dyDescent="0.3">
      <c r="A163" t="s">
        <v>181</v>
      </c>
      <c r="B163">
        <v>2024</v>
      </c>
      <c r="C163" s="1">
        <v>45525</v>
      </c>
      <c r="D163" t="s">
        <v>820</v>
      </c>
      <c r="E163" t="s">
        <v>975</v>
      </c>
      <c r="F163" t="s">
        <v>1528</v>
      </c>
      <c r="G163" t="s">
        <v>2167</v>
      </c>
      <c r="H163" t="s">
        <v>2172</v>
      </c>
      <c r="I163" t="s">
        <v>2203</v>
      </c>
      <c r="J163" t="s">
        <v>2211</v>
      </c>
      <c r="K163" t="s">
        <v>2237</v>
      </c>
      <c r="L163" t="s">
        <v>2246</v>
      </c>
      <c r="M163" t="s">
        <v>2248</v>
      </c>
      <c r="N163">
        <v>1</v>
      </c>
      <c r="O163">
        <f t="shared" si="10"/>
        <v>77440</v>
      </c>
      <c r="P163">
        <f t="shared" si="11"/>
        <v>77440</v>
      </c>
      <c r="Q163">
        <v>5</v>
      </c>
      <c r="R163">
        <f t="shared" si="12"/>
        <v>73568</v>
      </c>
      <c r="S163" t="s">
        <v>2261</v>
      </c>
      <c r="T163" t="s">
        <v>2266</v>
      </c>
      <c r="U163" s="1">
        <f t="shared" si="13"/>
        <v>45532</v>
      </c>
      <c r="V163">
        <f t="shared" si="14"/>
        <v>11616</v>
      </c>
    </row>
    <row r="164" spans="1:22" x14ac:dyDescent="0.3">
      <c r="A164" t="s">
        <v>182</v>
      </c>
      <c r="B164">
        <v>2024</v>
      </c>
      <c r="C164" s="1">
        <v>45363</v>
      </c>
      <c r="D164" t="s">
        <v>821</v>
      </c>
      <c r="E164" t="s">
        <v>976</v>
      </c>
      <c r="F164" t="s">
        <v>1529</v>
      </c>
      <c r="G164" t="s">
        <v>2167</v>
      </c>
      <c r="H164" t="s">
        <v>2172</v>
      </c>
      <c r="I164" t="s">
        <v>2203</v>
      </c>
      <c r="J164" t="s">
        <v>2213</v>
      </c>
      <c r="K164" t="s">
        <v>2230</v>
      </c>
      <c r="L164" t="s">
        <v>2247</v>
      </c>
      <c r="M164" t="s">
        <v>2250</v>
      </c>
      <c r="N164">
        <v>4</v>
      </c>
      <c r="O164">
        <f t="shared" si="10"/>
        <v>77440</v>
      </c>
      <c r="P164">
        <f t="shared" si="11"/>
        <v>309760</v>
      </c>
      <c r="Q164">
        <v>20</v>
      </c>
      <c r="R164">
        <f t="shared" si="12"/>
        <v>247808</v>
      </c>
      <c r="S164" t="s">
        <v>2263</v>
      </c>
      <c r="T164" t="s">
        <v>2265</v>
      </c>
      <c r="U164" s="1" t="str">
        <f t="shared" si="13"/>
        <v>Not Delivered</v>
      </c>
      <c r="V164">
        <f t="shared" si="14"/>
        <v>46464</v>
      </c>
    </row>
    <row r="165" spans="1:22" x14ac:dyDescent="0.3">
      <c r="A165" t="s">
        <v>183</v>
      </c>
      <c r="B165">
        <v>2025</v>
      </c>
      <c r="C165" s="1">
        <v>45785</v>
      </c>
      <c r="D165" t="s">
        <v>827</v>
      </c>
      <c r="E165" t="s">
        <v>977</v>
      </c>
      <c r="F165" t="s">
        <v>1530</v>
      </c>
      <c r="G165" t="s">
        <v>2167</v>
      </c>
      <c r="H165" t="s">
        <v>2183</v>
      </c>
      <c r="I165" t="s">
        <v>2204</v>
      </c>
      <c r="J165" t="s">
        <v>2211</v>
      </c>
      <c r="K165" t="s">
        <v>2240</v>
      </c>
      <c r="L165" t="s">
        <v>2246</v>
      </c>
      <c r="M165" t="s">
        <v>2257</v>
      </c>
      <c r="N165">
        <v>3</v>
      </c>
      <c r="O165">
        <f t="shared" si="10"/>
        <v>77440</v>
      </c>
      <c r="P165">
        <f t="shared" si="11"/>
        <v>232320</v>
      </c>
      <c r="Q165">
        <v>10</v>
      </c>
      <c r="R165">
        <f t="shared" si="12"/>
        <v>209088</v>
      </c>
      <c r="S165" t="s">
        <v>2262</v>
      </c>
      <c r="T165" t="s">
        <v>2264</v>
      </c>
      <c r="U165" s="1" t="str">
        <f t="shared" si="13"/>
        <v>Not Delivered</v>
      </c>
      <c r="V165">
        <f t="shared" si="14"/>
        <v>34848</v>
      </c>
    </row>
    <row r="166" spans="1:22" x14ac:dyDescent="0.3">
      <c r="A166" t="s">
        <v>184</v>
      </c>
      <c r="B166">
        <v>2024</v>
      </c>
      <c r="C166" s="1">
        <v>45432</v>
      </c>
      <c r="D166" t="s">
        <v>827</v>
      </c>
      <c r="E166" t="s">
        <v>978</v>
      </c>
      <c r="F166" t="s">
        <v>1531</v>
      </c>
      <c r="G166" t="s">
        <v>2167</v>
      </c>
      <c r="H166" t="s">
        <v>2168</v>
      </c>
      <c r="I166" t="s">
        <v>2200</v>
      </c>
      <c r="J166" t="s">
        <v>2212</v>
      </c>
      <c r="K166" t="s">
        <v>2226</v>
      </c>
      <c r="L166" t="s">
        <v>2244</v>
      </c>
      <c r="M166" t="s">
        <v>2253</v>
      </c>
      <c r="N166">
        <v>3</v>
      </c>
      <c r="O166">
        <f t="shared" si="10"/>
        <v>77440</v>
      </c>
      <c r="P166">
        <f t="shared" si="11"/>
        <v>232320</v>
      </c>
      <c r="Q166">
        <v>15</v>
      </c>
      <c r="R166">
        <f t="shared" si="12"/>
        <v>197472</v>
      </c>
      <c r="S166" t="s">
        <v>2263</v>
      </c>
      <c r="T166" t="s">
        <v>2264</v>
      </c>
      <c r="U166" s="1" t="str">
        <f t="shared" si="13"/>
        <v>Not Delivered</v>
      </c>
      <c r="V166">
        <f t="shared" si="14"/>
        <v>34848</v>
      </c>
    </row>
    <row r="167" spans="1:22" x14ac:dyDescent="0.3">
      <c r="A167" t="s">
        <v>185</v>
      </c>
      <c r="B167">
        <v>2025</v>
      </c>
      <c r="C167" s="1">
        <v>45806</v>
      </c>
      <c r="D167" t="s">
        <v>823</v>
      </c>
      <c r="E167" t="s">
        <v>979</v>
      </c>
      <c r="F167" t="s">
        <v>1532</v>
      </c>
      <c r="G167" t="s">
        <v>2167</v>
      </c>
      <c r="H167" t="s">
        <v>2197</v>
      </c>
      <c r="I167" t="s">
        <v>2209</v>
      </c>
      <c r="J167" t="s">
        <v>2212</v>
      </c>
      <c r="K167" t="s">
        <v>2222</v>
      </c>
      <c r="L167" t="s">
        <v>2247</v>
      </c>
      <c r="M167" t="s">
        <v>2257</v>
      </c>
      <c r="N167">
        <v>4</v>
      </c>
      <c r="O167">
        <f t="shared" si="10"/>
        <v>77440</v>
      </c>
      <c r="P167">
        <f t="shared" si="11"/>
        <v>309760</v>
      </c>
      <c r="Q167">
        <v>10</v>
      </c>
      <c r="R167">
        <f t="shared" si="12"/>
        <v>278784</v>
      </c>
      <c r="S167" t="s">
        <v>2261</v>
      </c>
      <c r="T167" t="s">
        <v>2265</v>
      </c>
      <c r="U167" s="1" t="str">
        <f t="shared" si="13"/>
        <v>Not Delivered</v>
      </c>
      <c r="V167">
        <f t="shared" si="14"/>
        <v>46464</v>
      </c>
    </row>
    <row r="168" spans="1:22" x14ac:dyDescent="0.3">
      <c r="A168" t="s">
        <v>186</v>
      </c>
      <c r="B168">
        <v>2025</v>
      </c>
      <c r="C168" s="1">
        <v>45702</v>
      </c>
      <c r="D168" t="s">
        <v>828</v>
      </c>
      <c r="E168" t="s">
        <v>980</v>
      </c>
      <c r="F168" t="s">
        <v>1533</v>
      </c>
      <c r="G168" t="s">
        <v>2167</v>
      </c>
      <c r="H168" t="s">
        <v>2173</v>
      </c>
      <c r="I168" t="s">
        <v>2204</v>
      </c>
      <c r="J168" t="s">
        <v>2210</v>
      </c>
      <c r="K168" t="s">
        <v>2240</v>
      </c>
      <c r="L168" t="s">
        <v>2246</v>
      </c>
      <c r="M168" t="s">
        <v>2255</v>
      </c>
      <c r="N168">
        <v>1</v>
      </c>
      <c r="O168">
        <f t="shared" si="10"/>
        <v>77440</v>
      </c>
      <c r="P168">
        <f t="shared" si="11"/>
        <v>77440</v>
      </c>
      <c r="Q168">
        <v>0</v>
      </c>
      <c r="R168">
        <f t="shared" si="12"/>
        <v>77440</v>
      </c>
      <c r="S168" t="s">
        <v>2263</v>
      </c>
      <c r="T168" t="s">
        <v>2264</v>
      </c>
      <c r="U168" s="1" t="str">
        <f t="shared" si="13"/>
        <v>Not Delivered</v>
      </c>
      <c r="V168">
        <f t="shared" si="14"/>
        <v>11616</v>
      </c>
    </row>
    <row r="169" spans="1:22" x14ac:dyDescent="0.3">
      <c r="A169" t="s">
        <v>187</v>
      </c>
      <c r="B169">
        <v>2024</v>
      </c>
      <c r="C169" s="1">
        <v>45405</v>
      </c>
      <c r="D169" t="s">
        <v>828</v>
      </c>
      <c r="E169" t="s">
        <v>951</v>
      </c>
      <c r="F169" t="s">
        <v>1534</v>
      </c>
      <c r="G169" t="s">
        <v>2167</v>
      </c>
      <c r="H169" t="s">
        <v>2187</v>
      </c>
      <c r="I169" t="s">
        <v>2209</v>
      </c>
      <c r="J169" t="s">
        <v>2213</v>
      </c>
      <c r="K169" t="s">
        <v>2224</v>
      </c>
      <c r="L169" t="s">
        <v>2245</v>
      </c>
      <c r="M169" t="s">
        <v>2248</v>
      </c>
      <c r="N169">
        <v>5</v>
      </c>
      <c r="O169">
        <f t="shared" si="10"/>
        <v>77440</v>
      </c>
      <c r="P169">
        <f t="shared" si="11"/>
        <v>387200</v>
      </c>
      <c r="Q169">
        <v>0</v>
      </c>
      <c r="R169">
        <f t="shared" si="12"/>
        <v>387200</v>
      </c>
      <c r="S169" t="s">
        <v>2262</v>
      </c>
      <c r="T169" t="s">
        <v>2265</v>
      </c>
      <c r="U169" s="1" t="str">
        <f t="shared" si="13"/>
        <v>Not Delivered</v>
      </c>
      <c r="V169">
        <f t="shared" si="14"/>
        <v>58080</v>
      </c>
    </row>
    <row r="170" spans="1:22" x14ac:dyDescent="0.3">
      <c r="A170" t="s">
        <v>188</v>
      </c>
      <c r="B170">
        <v>2024</v>
      </c>
      <c r="C170" s="1">
        <v>45608</v>
      </c>
      <c r="D170" t="s">
        <v>823</v>
      </c>
      <c r="E170" t="s">
        <v>881</v>
      </c>
      <c r="F170" t="s">
        <v>1535</v>
      </c>
      <c r="G170" t="s">
        <v>2167</v>
      </c>
      <c r="H170" t="s">
        <v>2183</v>
      </c>
      <c r="I170" t="s">
        <v>2204</v>
      </c>
      <c r="J170" t="s">
        <v>2210</v>
      </c>
      <c r="K170" t="s">
        <v>2232</v>
      </c>
      <c r="L170" t="s">
        <v>2243</v>
      </c>
      <c r="M170" t="s">
        <v>2250</v>
      </c>
      <c r="N170">
        <v>2</v>
      </c>
      <c r="O170">
        <f t="shared" si="10"/>
        <v>77440</v>
      </c>
      <c r="P170">
        <f t="shared" si="11"/>
        <v>154880</v>
      </c>
      <c r="Q170">
        <v>10</v>
      </c>
      <c r="R170">
        <f t="shared" si="12"/>
        <v>139392</v>
      </c>
      <c r="S170" t="s">
        <v>2263</v>
      </c>
      <c r="T170" t="s">
        <v>2265</v>
      </c>
      <c r="U170" s="1" t="str">
        <f t="shared" si="13"/>
        <v>Not Delivered</v>
      </c>
      <c r="V170">
        <f t="shared" si="14"/>
        <v>23232</v>
      </c>
    </row>
    <row r="171" spans="1:22" x14ac:dyDescent="0.3">
      <c r="A171" t="s">
        <v>189</v>
      </c>
      <c r="B171">
        <v>2025</v>
      </c>
      <c r="C171" s="1">
        <v>45663</v>
      </c>
      <c r="D171" t="s">
        <v>823</v>
      </c>
      <c r="E171" t="s">
        <v>981</v>
      </c>
      <c r="F171" t="s">
        <v>1536</v>
      </c>
      <c r="G171" t="s">
        <v>2167</v>
      </c>
      <c r="H171" t="s">
        <v>2192</v>
      </c>
      <c r="I171" t="s">
        <v>2207</v>
      </c>
      <c r="J171" t="s">
        <v>2211</v>
      </c>
      <c r="K171" t="s">
        <v>2230</v>
      </c>
      <c r="L171" t="s">
        <v>2247</v>
      </c>
      <c r="M171" t="s">
        <v>2248</v>
      </c>
      <c r="N171">
        <v>4</v>
      </c>
      <c r="O171">
        <f t="shared" si="10"/>
        <v>77440</v>
      </c>
      <c r="P171">
        <f t="shared" si="11"/>
        <v>309760</v>
      </c>
      <c r="Q171">
        <v>0</v>
      </c>
      <c r="R171">
        <f t="shared" si="12"/>
        <v>309760</v>
      </c>
      <c r="S171" t="s">
        <v>2263</v>
      </c>
      <c r="T171" t="s">
        <v>2266</v>
      </c>
      <c r="U171" s="1">
        <f t="shared" si="13"/>
        <v>45670</v>
      </c>
      <c r="V171">
        <f t="shared" si="14"/>
        <v>46464</v>
      </c>
    </row>
    <row r="172" spans="1:22" x14ac:dyDescent="0.3">
      <c r="A172" t="s">
        <v>190</v>
      </c>
      <c r="B172">
        <v>2025</v>
      </c>
      <c r="C172" s="1">
        <v>45832</v>
      </c>
      <c r="D172" t="s">
        <v>825</v>
      </c>
      <c r="E172" t="s">
        <v>982</v>
      </c>
      <c r="F172" t="s">
        <v>1537</v>
      </c>
      <c r="G172" t="s">
        <v>2167</v>
      </c>
      <c r="H172" t="s">
        <v>2177</v>
      </c>
      <c r="I172" t="s">
        <v>2206</v>
      </c>
      <c r="J172" t="s">
        <v>2210</v>
      </c>
      <c r="K172" t="s">
        <v>2225</v>
      </c>
      <c r="L172" t="s">
        <v>2243</v>
      </c>
      <c r="M172" t="s">
        <v>2248</v>
      </c>
      <c r="N172">
        <v>5</v>
      </c>
      <c r="O172">
        <f t="shared" si="10"/>
        <v>77440</v>
      </c>
      <c r="P172">
        <f t="shared" si="11"/>
        <v>387200</v>
      </c>
      <c r="Q172">
        <v>0</v>
      </c>
      <c r="R172">
        <f t="shared" si="12"/>
        <v>387200</v>
      </c>
      <c r="S172" t="s">
        <v>2262</v>
      </c>
      <c r="T172" t="s">
        <v>2264</v>
      </c>
      <c r="U172" s="1" t="str">
        <f t="shared" si="13"/>
        <v>Not Delivered</v>
      </c>
      <c r="V172">
        <f t="shared" si="14"/>
        <v>58080</v>
      </c>
    </row>
    <row r="173" spans="1:22" x14ac:dyDescent="0.3">
      <c r="A173" t="s">
        <v>191</v>
      </c>
      <c r="B173">
        <v>2024</v>
      </c>
      <c r="C173" s="1">
        <v>45463</v>
      </c>
      <c r="D173" t="s">
        <v>820</v>
      </c>
      <c r="E173" t="s">
        <v>983</v>
      </c>
      <c r="F173" t="s">
        <v>1538</v>
      </c>
      <c r="G173" t="s">
        <v>2167</v>
      </c>
      <c r="H173" t="s">
        <v>2178</v>
      </c>
      <c r="I173" t="s">
        <v>2207</v>
      </c>
      <c r="J173" t="s">
        <v>2213</v>
      </c>
      <c r="K173" t="s">
        <v>2218</v>
      </c>
      <c r="L173" t="s">
        <v>2242</v>
      </c>
      <c r="M173" t="s">
        <v>2248</v>
      </c>
      <c r="N173">
        <v>4</v>
      </c>
      <c r="O173">
        <f t="shared" si="10"/>
        <v>77440</v>
      </c>
      <c r="P173">
        <f t="shared" si="11"/>
        <v>309760</v>
      </c>
      <c r="Q173">
        <v>15</v>
      </c>
      <c r="R173">
        <f t="shared" si="12"/>
        <v>263296</v>
      </c>
      <c r="S173" t="s">
        <v>2261</v>
      </c>
      <c r="T173" t="s">
        <v>2266</v>
      </c>
      <c r="U173" s="1">
        <f t="shared" si="13"/>
        <v>45470</v>
      </c>
      <c r="V173">
        <f t="shared" si="14"/>
        <v>46464</v>
      </c>
    </row>
    <row r="174" spans="1:22" x14ac:dyDescent="0.3">
      <c r="A174" t="s">
        <v>192</v>
      </c>
      <c r="B174">
        <v>2024</v>
      </c>
      <c r="C174" s="1">
        <v>45581</v>
      </c>
      <c r="D174" t="s">
        <v>822</v>
      </c>
      <c r="E174" t="s">
        <v>921</v>
      </c>
      <c r="F174" t="s">
        <v>1539</v>
      </c>
      <c r="G174" t="s">
        <v>2167</v>
      </c>
      <c r="H174" t="s">
        <v>2175</v>
      </c>
      <c r="I174" t="s">
        <v>2203</v>
      </c>
      <c r="J174" t="s">
        <v>2211</v>
      </c>
      <c r="K174" t="s">
        <v>2226</v>
      </c>
      <c r="L174" t="s">
        <v>2244</v>
      </c>
      <c r="M174" t="s">
        <v>2249</v>
      </c>
      <c r="N174">
        <v>3</v>
      </c>
      <c r="O174">
        <f t="shared" si="10"/>
        <v>77440</v>
      </c>
      <c r="P174">
        <f t="shared" si="11"/>
        <v>232320</v>
      </c>
      <c r="Q174">
        <v>15</v>
      </c>
      <c r="R174">
        <f t="shared" si="12"/>
        <v>197472</v>
      </c>
      <c r="S174" t="s">
        <v>2262</v>
      </c>
      <c r="T174" t="s">
        <v>2264</v>
      </c>
      <c r="U174" s="1" t="str">
        <f t="shared" si="13"/>
        <v>Not Delivered</v>
      </c>
      <c r="V174">
        <f t="shared" si="14"/>
        <v>34848</v>
      </c>
    </row>
    <row r="175" spans="1:22" x14ac:dyDescent="0.3">
      <c r="A175" t="s">
        <v>193</v>
      </c>
      <c r="B175">
        <v>2024</v>
      </c>
      <c r="C175" s="1">
        <v>45437</v>
      </c>
      <c r="D175" t="s">
        <v>825</v>
      </c>
      <c r="E175" t="s">
        <v>984</v>
      </c>
      <c r="F175" t="s">
        <v>1540</v>
      </c>
      <c r="G175" t="s">
        <v>2167</v>
      </c>
      <c r="H175" t="s">
        <v>2195</v>
      </c>
      <c r="I175" t="s">
        <v>2206</v>
      </c>
      <c r="J175" t="s">
        <v>2213</v>
      </c>
      <c r="K175" t="s">
        <v>2221</v>
      </c>
      <c r="L175" t="s">
        <v>2246</v>
      </c>
      <c r="M175" t="s">
        <v>2254</v>
      </c>
      <c r="N175">
        <v>3</v>
      </c>
      <c r="O175">
        <f t="shared" si="10"/>
        <v>77440</v>
      </c>
      <c r="P175">
        <f t="shared" si="11"/>
        <v>232320</v>
      </c>
      <c r="Q175">
        <v>5</v>
      </c>
      <c r="R175">
        <f t="shared" si="12"/>
        <v>220704</v>
      </c>
      <c r="S175" t="s">
        <v>2260</v>
      </c>
      <c r="T175" t="s">
        <v>2265</v>
      </c>
      <c r="U175" s="1" t="str">
        <f t="shared" si="13"/>
        <v>Not Delivered</v>
      </c>
      <c r="V175">
        <f t="shared" si="14"/>
        <v>34848</v>
      </c>
    </row>
    <row r="176" spans="1:22" x14ac:dyDescent="0.3">
      <c r="A176" t="s">
        <v>194</v>
      </c>
      <c r="B176">
        <v>2024</v>
      </c>
      <c r="C176" s="1">
        <v>45342</v>
      </c>
      <c r="D176" t="s">
        <v>824</v>
      </c>
      <c r="E176" t="s">
        <v>985</v>
      </c>
      <c r="F176" t="s">
        <v>1541</v>
      </c>
      <c r="G176" t="s">
        <v>2167</v>
      </c>
      <c r="H176" t="s">
        <v>2185</v>
      </c>
      <c r="I176" t="s">
        <v>2204</v>
      </c>
      <c r="J176" t="s">
        <v>2212</v>
      </c>
      <c r="K176" t="s">
        <v>2216</v>
      </c>
      <c r="L176" t="s">
        <v>2242</v>
      </c>
      <c r="M176" t="s">
        <v>2252</v>
      </c>
      <c r="N176">
        <v>1</v>
      </c>
      <c r="O176">
        <f t="shared" si="10"/>
        <v>77440</v>
      </c>
      <c r="P176">
        <f t="shared" si="11"/>
        <v>77440</v>
      </c>
      <c r="Q176">
        <v>0</v>
      </c>
      <c r="R176">
        <f t="shared" si="12"/>
        <v>77440</v>
      </c>
      <c r="S176" t="s">
        <v>2262</v>
      </c>
      <c r="T176" t="s">
        <v>2264</v>
      </c>
      <c r="U176" s="1" t="str">
        <f t="shared" si="13"/>
        <v>Not Delivered</v>
      </c>
      <c r="V176">
        <f t="shared" si="14"/>
        <v>11616</v>
      </c>
    </row>
    <row r="177" spans="1:22" x14ac:dyDescent="0.3">
      <c r="A177" t="s">
        <v>195</v>
      </c>
      <c r="B177">
        <v>2025</v>
      </c>
      <c r="C177" s="1">
        <v>45817</v>
      </c>
      <c r="D177" t="s">
        <v>821</v>
      </c>
      <c r="E177" t="s">
        <v>888</v>
      </c>
      <c r="F177" t="s">
        <v>1542</v>
      </c>
      <c r="G177" t="s">
        <v>2167</v>
      </c>
      <c r="H177" t="s">
        <v>2183</v>
      </c>
      <c r="I177" t="s">
        <v>2204</v>
      </c>
      <c r="J177" t="s">
        <v>2210</v>
      </c>
      <c r="K177" t="s">
        <v>2215</v>
      </c>
      <c r="L177" t="s">
        <v>2243</v>
      </c>
      <c r="M177" t="s">
        <v>2259</v>
      </c>
      <c r="N177">
        <v>2</v>
      </c>
      <c r="O177">
        <f t="shared" si="10"/>
        <v>77440</v>
      </c>
      <c r="P177">
        <f t="shared" si="11"/>
        <v>154880</v>
      </c>
      <c r="Q177">
        <v>0</v>
      </c>
      <c r="R177">
        <f t="shared" si="12"/>
        <v>154880</v>
      </c>
      <c r="S177" t="s">
        <v>2262</v>
      </c>
      <c r="T177" t="s">
        <v>2264</v>
      </c>
      <c r="U177" s="1" t="str">
        <f t="shared" si="13"/>
        <v>Not Delivered</v>
      </c>
      <c r="V177">
        <f t="shared" si="14"/>
        <v>23232</v>
      </c>
    </row>
    <row r="178" spans="1:22" x14ac:dyDescent="0.3">
      <c r="A178" t="s">
        <v>196</v>
      </c>
      <c r="B178">
        <v>2024</v>
      </c>
      <c r="C178" s="1">
        <v>45494</v>
      </c>
      <c r="D178" t="s">
        <v>822</v>
      </c>
      <c r="E178" t="s">
        <v>864</v>
      </c>
      <c r="F178" t="s">
        <v>1543</v>
      </c>
      <c r="G178" t="s">
        <v>2167</v>
      </c>
      <c r="H178" t="s">
        <v>2198</v>
      </c>
      <c r="I178" t="s">
        <v>2207</v>
      </c>
      <c r="J178" t="s">
        <v>2210</v>
      </c>
      <c r="K178" t="s">
        <v>2231</v>
      </c>
      <c r="L178" t="s">
        <v>2244</v>
      </c>
      <c r="M178" t="s">
        <v>2259</v>
      </c>
      <c r="N178">
        <v>4</v>
      </c>
      <c r="O178">
        <f t="shared" si="10"/>
        <v>77440</v>
      </c>
      <c r="P178">
        <f t="shared" si="11"/>
        <v>309760</v>
      </c>
      <c r="Q178">
        <v>20</v>
      </c>
      <c r="R178">
        <f t="shared" si="12"/>
        <v>247808</v>
      </c>
      <c r="S178" t="s">
        <v>2260</v>
      </c>
      <c r="T178" t="s">
        <v>2264</v>
      </c>
      <c r="U178" s="1" t="str">
        <f t="shared" si="13"/>
        <v>Not Delivered</v>
      </c>
      <c r="V178">
        <f t="shared" si="14"/>
        <v>46464</v>
      </c>
    </row>
    <row r="179" spans="1:22" x14ac:dyDescent="0.3">
      <c r="A179" t="s">
        <v>197</v>
      </c>
      <c r="B179">
        <v>2024</v>
      </c>
      <c r="C179" s="1">
        <v>45420</v>
      </c>
      <c r="D179" t="s">
        <v>829</v>
      </c>
      <c r="E179" t="s">
        <v>922</v>
      </c>
      <c r="F179" t="s">
        <v>1544</v>
      </c>
      <c r="G179" t="s">
        <v>2167</v>
      </c>
      <c r="H179" t="s">
        <v>2168</v>
      </c>
      <c r="I179" t="s">
        <v>2200</v>
      </c>
      <c r="J179" t="s">
        <v>2213</v>
      </c>
      <c r="K179" t="s">
        <v>2216</v>
      </c>
      <c r="L179" t="s">
        <v>2242</v>
      </c>
      <c r="M179" t="s">
        <v>2250</v>
      </c>
      <c r="N179">
        <v>3</v>
      </c>
      <c r="O179">
        <f t="shared" si="10"/>
        <v>77440</v>
      </c>
      <c r="P179">
        <f t="shared" si="11"/>
        <v>232320</v>
      </c>
      <c r="Q179">
        <v>5</v>
      </c>
      <c r="R179">
        <f t="shared" si="12"/>
        <v>220704</v>
      </c>
      <c r="S179" t="s">
        <v>2263</v>
      </c>
      <c r="T179" t="s">
        <v>2266</v>
      </c>
      <c r="U179" s="1">
        <f t="shared" si="13"/>
        <v>45427</v>
      </c>
      <c r="V179">
        <f t="shared" si="14"/>
        <v>34848</v>
      </c>
    </row>
    <row r="180" spans="1:22" x14ac:dyDescent="0.3">
      <c r="A180" t="s">
        <v>198</v>
      </c>
      <c r="B180">
        <v>2025</v>
      </c>
      <c r="C180" s="1">
        <v>45861</v>
      </c>
      <c r="D180" t="s">
        <v>820</v>
      </c>
      <c r="E180" t="s">
        <v>986</v>
      </c>
      <c r="F180" t="s">
        <v>1545</v>
      </c>
      <c r="G180" t="s">
        <v>2167</v>
      </c>
      <c r="H180" t="s">
        <v>2199</v>
      </c>
      <c r="I180" t="s">
        <v>2205</v>
      </c>
      <c r="J180" t="s">
        <v>2210</v>
      </c>
      <c r="K180" t="s">
        <v>2225</v>
      </c>
      <c r="L180" t="s">
        <v>2243</v>
      </c>
      <c r="M180" t="s">
        <v>2256</v>
      </c>
      <c r="N180">
        <v>5</v>
      </c>
      <c r="O180">
        <f t="shared" si="10"/>
        <v>77440</v>
      </c>
      <c r="P180">
        <f t="shared" si="11"/>
        <v>387200</v>
      </c>
      <c r="Q180">
        <v>0</v>
      </c>
      <c r="R180">
        <f t="shared" si="12"/>
        <v>387200</v>
      </c>
      <c r="S180" t="s">
        <v>2262</v>
      </c>
      <c r="T180" t="s">
        <v>2265</v>
      </c>
      <c r="U180" s="1" t="str">
        <f t="shared" si="13"/>
        <v>Not Delivered</v>
      </c>
      <c r="V180">
        <f t="shared" si="14"/>
        <v>58080</v>
      </c>
    </row>
    <row r="181" spans="1:22" x14ac:dyDescent="0.3">
      <c r="A181" t="s">
        <v>199</v>
      </c>
      <c r="B181">
        <v>2024</v>
      </c>
      <c r="C181" s="1">
        <v>45525</v>
      </c>
      <c r="D181" t="s">
        <v>829</v>
      </c>
      <c r="E181" t="s">
        <v>969</v>
      </c>
      <c r="F181" t="s">
        <v>1546</v>
      </c>
      <c r="G181" t="s">
        <v>2167</v>
      </c>
      <c r="H181" t="s">
        <v>2168</v>
      </c>
      <c r="I181" t="s">
        <v>2200</v>
      </c>
      <c r="J181" t="s">
        <v>2213</v>
      </c>
      <c r="K181" t="s">
        <v>2239</v>
      </c>
      <c r="L181" t="s">
        <v>2245</v>
      </c>
      <c r="M181" t="s">
        <v>2251</v>
      </c>
      <c r="N181">
        <v>2</v>
      </c>
      <c r="O181">
        <f t="shared" si="10"/>
        <v>77440</v>
      </c>
      <c r="P181">
        <f t="shared" si="11"/>
        <v>154880</v>
      </c>
      <c r="Q181">
        <v>5</v>
      </c>
      <c r="R181">
        <f t="shared" si="12"/>
        <v>147136</v>
      </c>
      <c r="S181" t="s">
        <v>2260</v>
      </c>
      <c r="T181" t="s">
        <v>2265</v>
      </c>
      <c r="U181" s="1" t="str">
        <f t="shared" si="13"/>
        <v>Not Delivered</v>
      </c>
      <c r="V181">
        <f t="shared" si="14"/>
        <v>23232</v>
      </c>
    </row>
    <row r="182" spans="1:22" x14ac:dyDescent="0.3">
      <c r="A182" t="s">
        <v>200</v>
      </c>
      <c r="B182">
        <v>2024</v>
      </c>
      <c r="C182" s="1">
        <v>45591</v>
      </c>
      <c r="D182" t="s">
        <v>829</v>
      </c>
      <c r="E182" t="s">
        <v>987</v>
      </c>
      <c r="F182" t="s">
        <v>1547</v>
      </c>
      <c r="G182" t="s">
        <v>2167</v>
      </c>
      <c r="H182" t="s">
        <v>2177</v>
      </c>
      <c r="I182" t="s">
        <v>2206</v>
      </c>
      <c r="J182" t="s">
        <v>2212</v>
      </c>
      <c r="K182" t="s">
        <v>2215</v>
      </c>
      <c r="L182" t="s">
        <v>2243</v>
      </c>
      <c r="M182" t="s">
        <v>2253</v>
      </c>
      <c r="N182">
        <v>3</v>
      </c>
      <c r="O182">
        <f t="shared" si="10"/>
        <v>77440</v>
      </c>
      <c r="P182">
        <f t="shared" si="11"/>
        <v>232320</v>
      </c>
      <c r="Q182">
        <v>5</v>
      </c>
      <c r="R182">
        <f t="shared" si="12"/>
        <v>220704</v>
      </c>
      <c r="S182" t="s">
        <v>2263</v>
      </c>
      <c r="T182" t="s">
        <v>2264</v>
      </c>
      <c r="U182" s="1" t="str">
        <f t="shared" si="13"/>
        <v>Not Delivered</v>
      </c>
      <c r="V182">
        <f t="shared" si="14"/>
        <v>34848</v>
      </c>
    </row>
    <row r="183" spans="1:22" x14ac:dyDescent="0.3">
      <c r="A183" t="s">
        <v>201</v>
      </c>
      <c r="B183">
        <v>2024</v>
      </c>
      <c r="C183" s="1">
        <v>45599</v>
      </c>
      <c r="D183" t="s">
        <v>821</v>
      </c>
      <c r="E183" t="s">
        <v>988</v>
      </c>
      <c r="F183" t="s">
        <v>1548</v>
      </c>
      <c r="G183" t="s">
        <v>2167</v>
      </c>
      <c r="H183" t="s">
        <v>2183</v>
      </c>
      <c r="I183" t="s">
        <v>2204</v>
      </c>
      <c r="J183" t="s">
        <v>2211</v>
      </c>
      <c r="K183" t="s">
        <v>2222</v>
      </c>
      <c r="L183" t="s">
        <v>2247</v>
      </c>
      <c r="M183" t="s">
        <v>2254</v>
      </c>
      <c r="N183">
        <v>3</v>
      </c>
      <c r="O183">
        <f t="shared" si="10"/>
        <v>77440</v>
      </c>
      <c r="P183">
        <f t="shared" si="11"/>
        <v>232320</v>
      </c>
      <c r="Q183">
        <v>20</v>
      </c>
      <c r="R183">
        <f t="shared" si="12"/>
        <v>185856</v>
      </c>
      <c r="S183" t="s">
        <v>2263</v>
      </c>
      <c r="T183" t="s">
        <v>2264</v>
      </c>
      <c r="U183" s="1" t="str">
        <f t="shared" si="13"/>
        <v>Not Delivered</v>
      </c>
      <c r="V183">
        <f t="shared" si="14"/>
        <v>34848</v>
      </c>
    </row>
    <row r="184" spans="1:22" x14ac:dyDescent="0.3">
      <c r="A184" t="s">
        <v>202</v>
      </c>
      <c r="B184">
        <v>2024</v>
      </c>
      <c r="C184" s="1">
        <v>45453</v>
      </c>
      <c r="D184" t="s">
        <v>822</v>
      </c>
      <c r="E184" t="s">
        <v>989</v>
      </c>
      <c r="F184" t="s">
        <v>1549</v>
      </c>
      <c r="G184" t="s">
        <v>2167</v>
      </c>
      <c r="H184" t="s">
        <v>2175</v>
      </c>
      <c r="I184" t="s">
        <v>2203</v>
      </c>
      <c r="J184" t="s">
        <v>2212</v>
      </c>
      <c r="K184" t="s">
        <v>2224</v>
      </c>
      <c r="L184" t="s">
        <v>2245</v>
      </c>
      <c r="M184" t="s">
        <v>2250</v>
      </c>
      <c r="N184">
        <v>4</v>
      </c>
      <c r="O184">
        <f t="shared" si="10"/>
        <v>77440</v>
      </c>
      <c r="P184">
        <f t="shared" si="11"/>
        <v>309760</v>
      </c>
      <c r="Q184">
        <v>20</v>
      </c>
      <c r="R184">
        <f t="shared" si="12"/>
        <v>247808</v>
      </c>
      <c r="S184" t="s">
        <v>2260</v>
      </c>
      <c r="T184" t="s">
        <v>2264</v>
      </c>
      <c r="U184" s="1" t="str">
        <f t="shared" si="13"/>
        <v>Not Delivered</v>
      </c>
      <c r="V184">
        <f t="shared" si="14"/>
        <v>46464</v>
      </c>
    </row>
    <row r="185" spans="1:22" x14ac:dyDescent="0.3">
      <c r="A185" t="s">
        <v>203</v>
      </c>
      <c r="B185">
        <v>2024</v>
      </c>
      <c r="C185" s="1">
        <v>45340</v>
      </c>
      <c r="D185" t="s">
        <v>824</v>
      </c>
      <c r="E185" t="s">
        <v>990</v>
      </c>
      <c r="F185" t="s">
        <v>1550</v>
      </c>
      <c r="G185" t="s">
        <v>2167</v>
      </c>
      <c r="H185" t="s">
        <v>2183</v>
      </c>
      <c r="I185" t="s">
        <v>2204</v>
      </c>
      <c r="J185" t="s">
        <v>2213</v>
      </c>
      <c r="K185" t="s">
        <v>2227</v>
      </c>
      <c r="L185" t="s">
        <v>2247</v>
      </c>
      <c r="M185" t="s">
        <v>2258</v>
      </c>
      <c r="N185">
        <v>2</v>
      </c>
      <c r="O185">
        <f t="shared" si="10"/>
        <v>77440</v>
      </c>
      <c r="P185">
        <f t="shared" si="11"/>
        <v>154880</v>
      </c>
      <c r="Q185">
        <v>15</v>
      </c>
      <c r="R185">
        <f t="shared" si="12"/>
        <v>131648</v>
      </c>
      <c r="S185" t="s">
        <v>2263</v>
      </c>
      <c r="T185" t="s">
        <v>2265</v>
      </c>
      <c r="U185" s="1" t="str">
        <f t="shared" si="13"/>
        <v>Not Delivered</v>
      </c>
      <c r="V185">
        <f t="shared" si="14"/>
        <v>23232</v>
      </c>
    </row>
    <row r="186" spans="1:22" x14ac:dyDescent="0.3">
      <c r="A186" t="s">
        <v>204</v>
      </c>
      <c r="B186">
        <v>2025</v>
      </c>
      <c r="C186" s="1">
        <v>45778</v>
      </c>
      <c r="D186" t="s">
        <v>823</v>
      </c>
      <c r="E186" t="s">
        <v>991</v>
      </c>
      <c r="F186" t="s">
        <v>1551</v>
      </c>
      <c r="G186" t="s">
        <v>2167</v>
      </c>
      <c r="H186" t="s">
        <v>2168</v>
      </c>
      <c r="I186" t="s">
        <v>2200</v>
      </c>
      <c r="J186" t="s">
        <v>2213</v>
      </c>
      <c r="K186" t="s">
        <v>2224</v>
      </c>
      <c r="L186" t="s">
        <v>2245</v>
      </c>
      <c r="M186" t="s">
        <v>2255</v>
      </c>
      <c r="N186">
        <v>2</v>
      </c>
      <c r="O186">
        <f t="shared" si="10"/>
        <v>77440</v>
      </c>
      <c r="P186">
        <f t="shared" si="11"/>
        <v>154880</v>
      </c>
      <c r="Q186">
        <v>20</v>
      </c>
      <c r="R186">
        <f t="shared" si="12"/>
        <v>123904</v>
      </c>
      <c r="S186" t="s">
        <v>2260</v>
      </c>
      <c r="T186" t="s">
        <v>2266</v>
      </c>
      <c r="U186" s="1">
        <f t="shared" si="13"/>
        <v>45785</v>
      </c>
      <c r="V186">
        <f t="shared" si="14"/>
        <v>23232</v>
      </c>
    </row>
    <row r="187" spans="1:22" x14ac:dyDescent="0.3">
      <c r="A187" t="s">
        <v>205</v>
      </c>
      <c r="B187">
        <v>2025</v>
      </c>
      <c r="C187" s="1">
        <v>45713</v>
      </c>
      <c r="D187" t="s">
        <v>828</v>
      </c>
      <c r="E187" t="s">
        <v>952</v>
      </c>
      <c r="F187" t="s">
        <v>1552</v>
      </c>
      <c r="G187" t="s">
        <v>2167</v>
      </c>
      <c r="H187" t="s">
        <v>2176</v>
      </c>
      <c r="I187" t="s">
        <v>2205</v>
      </c>
      <c r="J187" t="s">
        <v>2212</v>
      </c>
      <c r="K187" t="s">
        <v>2234</v>
      </c>
      <c r="L187" t="s">
        <v>2244</v>
      </c>
      <c r="M187" t="s">
        <v>2256</v>
      </c>
      <c r="N187">
        <v>4</v>
      </c>
      <c r="O187">
        <f t="shared" si="10"/>
        <v>77440</v>
      </c>
      <c r="P187">
        <f t="shared" si="11"/>
        <v>309760</v>
      </c>
      <c r="Q187">
        <v>15</v>
      </c>
      <c r="R187">
        <f t="shared" si="12"/>
        <v>263296</v>
      </c>
      <c r="S187" t="s">
        <v>2260</v>
      </c>
      <c r="T187" t="s">
        <v>2266</v>
      </c>
      <c r="U187" s="1">
        <f t="shared" si="13"/>
        <v>45720</v>
      </c>
      <c r="V187">
        <f t="shared" si="14"/>
        <v>46464</v>
      </c>
    </row>
    <row r="188" spans="1:22" x14ac:dyDescent="0.3">
      <c r="A188" t="s">
        <v>206</v>
      </c>
      <c r="B188">
        <v>2024</v>
      </c>
      <c r="C188" s="1">
        <v>45363</v>
      </c>
      <c r="D188" t="s">
        <v>827</v>
      </c>
      <c r="E188" t="s">
        <v>853</v>
      </c>
      <c r="F188" t="s">
        <v>1553</v>
      </c>
      <c r="G188" t="s">
        <v>2167</v>
      </c>
      <c r="H188" t="s">
        <v>2190</v>
      </c>
      <c r="I188" t="s">
        <v>2208</v>
      </c>
      <c r="J188" t="s">
        <v>2213</v>
      </c>
      <c r="K188" t="s">
        <v>2227</v>
      </c>
      <c r="L188" t="s">
        <v>2247</v>
      </c>
      <c r="M188" t="s">
        <v>2257</v>
      </c>
      <c r="N188">
        <v>3</v>
      </c>
      <c r="O188">
        <f t="shared" si="10"/>
        <v>77440</v>
      </c>
      <c r="P188">
        <f t="shared" si="11"/>
        <v>232320</v>
      </c>
      <c r="Q188">
        <v>20</v>
      </c>
      <c r="R188">
        <f t="shared" si="12"/>
        <v>185856</v>
      </c>
      <c r="S188" t="s">
        <v>2262</v>
      </c>
      <c r="T188" t="s">
        <v>2264</v>
      </c>
      <c r="U188" s="1" t="str">
        <f t="shared" si="13"/>
        <v>Not Delivered</v>
      </c>
      <c r="V188">
        <f t="shared" si="14"/>
        <v>34848</v>
      </c>
    </row>
    <row r="189" spans="1:22" x14ac:dyDescent="0.3">
      <c r="A189" t="s">
        <v>207</v>
      </c>
      <c r="B189">
        <v>2025</v>
      </c>
      <c r="C189" s="1">
        <v>45715</v>
      </c>
      <c r="D189" t="s">
        <v>821</v>
      </c>
      <c r="E189" t="s">
        <v>992</v>
      </c>
      <c r="F189" t="s">
        <v>1554</v>
      </c>
      <c r="G189" t="s">
        <v>2167</v>
      </c>
      <c r="H189" t="s">
        <v>2181</v>
      </c>
      <c r="I189" t="s">
        <v>2209</v>
      </c>
      <c r="J189" t="s">
        <v>2212</v>
      </c>
      <c r="K189" t="s">
        <v>2241</v>
      </c>
      <c r="L189" t="s">
        <v>2247</v>
      </c>
      <c r="M189" t="s">
        <v>2249</v>
      </c>
      <c r="N189">
        <v>2</v>
      </c>
      <c r="O189">
        <f t="shared" si="10"/>
        <v>77440</v>
      </c>
      <c r="P189">
        <f t="shared" si="11"/>
        <v>154880</v>
      </c>
      <c r="Q189">
        <v>15</v>
      </c>
      <c r="R189">
        <f t="shared" si="12"/>
        <v>131648</v>
      </c>
      <c r="S189" t="s">
        <v>2263</v>
      </c>
      <c r="T189" t="s">
        <v>2265</v>
      </c>
      <c r="U189" s="1" t="str">
        <f t="shared" si="13"/>
        <v>Not Delivered</v>
      </c>
      <c r="V189">
        <f t="shared" si="14"/>
        <v>23232</v>
      </c>
    </row>
    <row r="190" spans="1:22" x14ac:dyDescent="0.3">
      <c r="A190" t="s">
        <v>208</v>
      </c>
      <c r="B190">
        <v>2025</v>
      </c>
      <c r="C190" s="1">
        <v>45753</v>
      </c>
      <c r="D190" t="s">
        <v>824</v>
      </c>
      <c r="E190" t="s">
        <v>993</v>
      </c>
      <c r="F190" t="s">
        <v>1555</v>
      </c>
      <c r="G190" t="s">
        <v>2167</v>
      </c>
      <c r="H190" t="s">
        <v>2168</v>
      </c>
      <c r="I190" t="s">
        <v>2200</v>
      </c>
      <c r="J190" t="s">
        <v>2211</v>
      </c>
      <c r="K190" t="s">
        <v>2214</v>
      </c>
      <c r="L190" t="s">
        <v>2242</v>
      </c>
      <c r="M190" t="s">
        <v>2253</v>
      </c>
      <c r="N190">
        <v>5</v>
      </c>
      <c r="O190">
        <f t="shared" si="10"/>
        <v>77440</v>
      </c>
      <c r="P190">
        <f t="shared" si="11"/>
        <v>387200</v>
      </c>
      <c r="Q190">
        <v>10</v>
      </c>
      <c r="R190">
        <f t="shared" si="12"/>
        <v>348480</v>
      </c>
      <c r="S190" t="s">
        <v>2260</v>
      </c>
      <c r="T190" t="s">
        <v>2265</v>
      </c>
      <c r="U190" s="1" t="str">
        <f t="shared" si="13"/>
        <v>Not Delivered</v>
      </c>
      <c r="V190">
        <f t="shared" si="14"/>
        <v>58080</v>
      </c>
    </row>
    <row r="191" spans="1:22" x14ac:dyDescent="0.3">
      <c r="A191" t="s">
        <v>209</v>
      </c>
      <c r="B191">
        <v>2025</v>
      </c>
      <c r="C191" s="1">
        <v>45687</v>
      </c>
      <c r="D191" t="s">
        <v>823</v>
      </c>
      <c r="E191" t="s">
        <v>994</v>
      </c>
      <c r="F191" t="s">
        <v>1556</v>
      </c>
      <c r="G191" t="s">
        <v>2167</v>
      </c>
      <c r="H191" t="s">
        <v>2197</v>
      </c>
      <c r="I191" t="s">
        <v>2209</v>
      </c>
      <c r="J191" t="s">
        <v>2211</v>
      </c>
      <c r="K191" t="s">
        <v>2240</v>
      </c>
      <c r="L191" t="s">
        <v>2246</v>
      </c>
      <c r="M191" t="s">
        <v>2254</v>
      </c>
      <c r="N191">
        <v>1</v>
      </c>
      <c r="O191">
        <f t="shared" si="10"/>
        <v>77440</v>
      </c>
      <c r="P191">
        <f t="shared" si="11"/>
        <v>77440</v>
      </c>
      <c r="Q191">
        <v>20</v>
      </c>
      <c r="R191">
        <f t="shared" si="12"/>
        <v>61952</v>
      </c>
      <c r="S191" t="s">
        <v>2261</v>
      </c>
      <c r="T191" t="s">
        <v>2265</v>
      </c>
      <c r="U191" s="1" t="str">
        <f t="shared" si="13"/>
        <v>Not Delivered</v>
      </c>
      <c r="V191">
        <f t="shared" si="14"/>
        <v>11616</v>
      </c>
    </row>
    <row r="192" spans="1:22" x14ac:dyDescent="0.3">
      <c r="A192" t="s">
        <v>210</v>
      </c>
      <c r="B192">
        <v>2025</v>
      </c>
      <c r="C192" s="1">
        <v>45684</v>
      </c>
      <c r="D192" t="s">
        <v>829</v>
      </c>
      <c r="E192" t="s">
        <v>962</v>
      </c>
      <c r="F192" t="s">
        <v>1557</v>
      </c>
      <c r="G192" t="s">
        <v>2167</v>
      </c>
      <c r="H192" t="s">
        <v>2190</v>
      </c>
      <c r="I192" t="s">
        <v>2208</v>
      </c>
      <c r="J192" t="s">
        <v>2212</v>
      </c>
      <c r="K192" t="s">
        <v>2224</v>
      </c>
      <c r="L192" t="s">
        <v>2245</v>
      </c>
      <c r="M192" t="s">
        <v>2249</v>
      </c>
      <c r="N192">
        <v>3</v>
      </c>
      <c r="O192">
        <f t="shared" si="10"/>
        <v>77440</v>
      </c>
      <c r="P192">
        <f t="shared" si="11"/>
        <v>232320</v>
      </c>
      <c r="Q192">
        <v>0</v>
      </c>
      <c r="R192">
        <f t="shared" si="12"/>
        <v>232320</v>
      </c>
      <c r="S192" t="s">
        <v>2263</v>
      </c>
      <c r="T192" t="s">
        <v>2265</v>
      </c>
      <c r="U192" s="1" t="str">
        <f t="shared" si="13"/>
        <v>Not Delivered</v>
      </c>
      <c r="V192">
        <f t="shared" si="14"/>
        <v>34848</v>
      </c>
    </row>
    <row r="193" spans="1:22" x14ac:dyDescent="0.3">
      <c r="A193" t="s">
        <v>211</v>
      </c>
      <c r="B193">
        <v>2024</v>
      </c>
      <c r="C193" s="1">
        <v>45326</v>
      </c>
      <c r="D193" t="s">
        <v>821</v>
      </c>
      <c r="E193" t="s">
        <v>995</v>
      </c>
      <c r="F193" t="s">
        <v>1558</v>
      </c>
      <c r="G193" t="s">
        <v>2167</v>
      </c>
      <c r="H193" t="s">
        <v>2181</v>
      </c>
      <c r="I193" t="s">
        <v>2209</v>
      </c>
      <c r="J193" t="s">
        <v>2211</v>
      </c>
      <c r="K193" t="s">
        <v>2229</v>
      </c>
      <c r="L193" t="s">
        <v>2246</v>
      </c>
      <c r="M193" t="s">
        <v>2248</v>
      </c>
      <c r="N193">
        <v>4</v>
      </c>
      <c r="O193">
        <f t="shared" si="10"/>
        <v>77440</v>
      </c>
      <c r="P193">
        <f t="shared" si="11"/>
        <v>309760</v>
      </c>
      <c r="Q193">
        <v>5</v>
      </c>
      <c r="R193">
        <f t="shared" si="12"/>
        <v>294272</v>
      </c>
      <c r="S193" t="s">
        <v>2260</v>
      </c>
      <c r="T193" t="s">
        <v>2266</v>
      </c>
      <c r="U193" s="1">
        <f t="shared" si="13"/>
        <v>45333</v>
      </c>
      <c r="V193">
        <f t="shared" si="14"/>
        <v>46464</v>
      </c>
    </row>
    <row r="194" spans="1:22" x14ac:dyDescent="0.3">
      <c r="A194" t="s">
        <v>212</v>
      </c>
      <c r="B194">
        <v>2025</v>
      </c>
      <c r="C194" s="1">
        <v>45731</v>
      </c>
      <c r="D194" t="s">
        <v>826</v>
      </c>
      <c r="E194" t="s">
        <v>996</v>
      </c>
      <c r="F194" t="s">
        <v>1559</v>
      </c>
      <c r="G194" t="s">
        <v>2167</v>
      </c>
      <c r="H194" t="s">
        <v>2191</v>
      </c>
      <c r="I194" t="s">
        <v>2203</v>
      </c>
      <c r="J194" t="s">
        <v>2212</v>
      </c>
      <c r="K194" t="s">
        <v>2219</v>
      </c>
      <c r="L194" t="s">
        <v>2243</v>
      </c>
      <c r="M194" t="s">
        <v>2259</v>
      </c>
      <c r="N194">
        <v>4</v>
      </c>
      <c r="O194">
        <f t="shared" si="10"/>
        <v>77440</v>
      </c>
      <c r="P194">
        <f t="shared" si="11"/>
        <v>309760</v>
      </c>
      <c r="Q194">
        <v>20</v>
      </c>
      <c r="R194">
        <f t="shared" si="12"/>
        <v>247808</v>
      </c>
      <c r="S194" t="s">
        <v>2262</v>
      </c>
      <c r="T194" t="s">
        <v>2264</v>
      </c>
      <c r="U194" s="1" t="str">
        <f t="shared" si="13"/>
        <v>Not Delivered</v>
      </c>
      <c r="V194">
        <f t="shared" si="14"/>
        <v>46464</v>
      </c>
    </row>
    <row r="195" spans="1:22" x14ac:dyDescent="0.3">
      <c r="A195" t="s">
        <v>213</v>
      </c>
      <c r="B195">
        <v>2024</v>
      </c>
      <c r="C195" s="1">
        <v>45435</v>
      </c>
      <c r="D195" t="s">
        <v>828</v>
      </c>
      <c r="E195" t="s">
        <v>997</v>
      </c>
      <c r="F195" t="s">
        <v>1560</v>
      </c>
      <c r="G195" t="s">
        <v>2167</v>
      </c>
      <c r="H195" t="s">
        <v>2179</v>
      </c>
      <c r="I195" t="s">
        <v>2206</v>
      </c>
      <c r="J195" t="s">
        <v>2213</v>
      </c>
      <c r="K195" t="s">
        <v>2238</v>
      </c>
      <c r="L195" t="s">
        <v>2246</v>
      </c>
      <c r="M195" t="s">
        <v>2254</v>
      </c>
      <c r="N195">
        <v>2</v>
      </c>
      <c r="O195">
        <f t="shared" ref="O195:O258" si="15">ROUNDUP((77431.41),-1)</f>
        <v>77440</v>
      </c>
      <c r="P195">
        <f t="shared" ref="P195:P258" si="16">O195*N195</f>
        <v>154880</v>
      </c>
      <c r="Q195">
        <v>0</v>
      </c>
      <c r="R195">
        <f t="shared" ref="R195:R258" si="17">P195*(1-Q195/100)</f>
        <v>154880</v>
      </c>
      <c r="S195" t="s">
        <v>2263</v>
      </c>
      <c r="T195" t="s">
        <v>2264</v>
      </c>
      <c r="U195" s="1" t="str">
        <f t="shared" ref="U195:U258" si="18">IF(T195="Delivered", C195 + 7, "Not Delivered")</f>
        <v>Not Delivered</v>
      </c>
      <c r="V195">
        <f t="shared" ref="V195:V258" si="19">P195*15%</f>
        <v>23232</v>
      </c>
    </row>
    <row r="196" spans="1:22" x14ac:dyDescent="0.3">
      <c r="A196" t="s">
        <v>214</v>
      </c>
      <c r="B196">
        <v>2024</v>
      </c>
      <c r="C196" s="1">
        <v>45626</v>
      </c>
      <c r="D196" t="s">
        <v>822</v>
      </c>
      <c r="E196" t="s">
        <v>899</v>
      </c>
      <c r="F196" t="s">
        <v>1561</v>
      </c>
      <c r="G196" t="s">
        <v>2167</v>
      </c>
      <c r="H196" t="s">
        <v>2187</v>
      </c>
      <c r="I196" t="s">
        <v>2209</v>
      </c>
      <c r="J196" t="s">
        <v>2210</v>
      </c>
      <c r="K196" t="s">
        <v>2229</v>
      </c>
      <c r="L196" t="s">
        <v>2246</v>
      </c>
      <c r="M196" t="s">
        <v>2255</v>
      </c>
      <c r="N196">
        <v>2</v>
      </c>
      <c r="O196">
        <f t="shared" si="15"/>
        <v>77440</v>
      </c>
      <c r="P196">
        <f t="shared" si="16"/>
        <v>154880</v>
      </c>
      <c r="Q196">
        <v>15</v>
      </c>
      <c r="R196">
        <f t="shared" si="17"/>
        <v>131648</v>
      </c>
      <c r="S196" t="s">
        <v>2261</v>
      </c>
      <c r="T196" t="s">
        <v>2266</v>
      </c>
      <c r="U196" s="1">
        <f t="shared" si="18"/>
        <v>45633</v>
      </c>
      <c r="V196">
        <f t="shared" si="19"/>
        <v>23232</v>
      </c>
    </row>
    <row r="197" spans="1:22" x14ac:dyDescent="0.3">
      <c r="A197" t="s">
        <v>215</v>
      </c>
      <c r="B197">
        <v>2025</v>
      </c>
      <c r="C197" s="1">
        <v>45667</v>
      </c>
      <c r="D197" t="s">
        <v>826</v>
      </c>
      <c r="E197" t="s">
        <v>998</v>
      </c>
      <c r="F197" t="s">
        <v>1562</v>
      </c>
      <c r="G197" t="s">
        <v>2167</v>
      </c>
      <c r="H197" t="s">
        <v>2179</v>
      </c>
      <c r="I197" t="s">
        <v>2206</v>
      </c>
      <c r="J197" t="s">
        <v>2211</v>
      </c>
      <c r="K197" t="s">
        <v>2216</v>
      </c>
      <c r="L197" t="s">
        <v>2242</v>
      </c>
      <c r="M197" t="s">
        <v>2254</v>
      </c>
      <c r="N197">
        <v>1</v>
      </c>
      <c r="O197">
        <f t="shared" si="15"/>
        <v>77440</v>
      </c>
      <c r="P197">
        <f t="shared" si="16"/>
        <v>77440</v>
      </c>
      <c r="Q197">
        <v>5</v>
      </c>
      <c r="R197">
        <f t="shared" si="17"/>
        <v>73568</v>
      </c>
      <c r="S197" t="s">
        <v>2261</v>
      </c>
      <c r="T197" t="s">
        <v>2266</v>
      </c>
      <c r="U197" s="1">
        <f t="shared" si="18"/>
        <v>45674</v>
      </c>
      <c r="V197">
        <f t="shared" si="19"/>
        <v>11616</v>
      </c>
    </row>
    <row r="198" spans="1:22" x14ac:dyDescent="0.3">
      <c r="A198" t="s">
        <v>216</v>
      </c>
      <c r="B198">
        <v>2024</v>
      </c>
      <c r="C198" s="1">
        <v>45371</v>
      </c>
      <c r="D198" t="s">
        <v>829</v>
      </c>
      <c r="E198" t="s">
        <v>999</v>
      </c>
      <c r="F198" t="s">
        <v>1563</v>
      </c>
      <c r="G198" t="s">
        <v>2167</v>
      </c>
      <c r="H198" t="s">
        <v>2188</v>
      </c>
      <c r="I198" t="s">
        <v>2208</v>
      </c>
      <c r="J198" t="s">
        <v>2213</v>
      </c>
      <c r="K198" t="s">
        <v>2224</v>
      </c>
      <c r="L198" t="s">
        <v>2245</v>
      </c>
      <c r="M198" t="s">
        <v>2257</v>
      </c>
      <c r="N198">
        <v>2</v>
      </c>
      <c r="O198">
        <f t="shared" si="15"/>
        <v>77440</v>
      </c>
      <c r="P198">
        <f t="shared" si="16"/>
        <v>154880</v>
      </c>
      <c r="Q198">
        <v>5</v>
      </c>
      <c r="R198">
        <f t="shared" si="17"/>
        <v>147136</v>
      </c>
      <c r="S198" t="s">
        <v>2261</v>
      </c>
      <c r="T198" t="s">
        <v>2264</v>
      </c>
      <c r="U198" s="1" t="str">
        <f t="shared" si="18"/>
        <v>Not Delivered</v>
      </c>
      <c r="V198">
        <f t="shared" si="19"/>
        <v>23232</v>
      </c>
    </row>
    <row r="199" spans="1:22" x14ac:dyDescent="0.3">
      <c r="A199" t="s">
        <v>217</v>
      </c>
      <c r="B199">
        <v>2024</v>
      </c>
      <c r="C199" s="1">
        <v>45323</v>
      </c>
      <c r="D199" t="s">
        <v>827</v>
      </c>
      <c r="E199" t="s">
        <v>1000</v>
      </c>
      <c r="F199" t="s">
        <v>1564</v>
      </c>
      <c r="G199" t="s">
        <v>2167</v>
      </c>
      <c r="H199" t="s">
        <v>2180</v>
      </c>
      <c r="I199" t="s">
        <v>2208</v>
      </c>
      <c r="J199" t="s">
        <v>2210</v>
      </c>
      <c r="K199" t="s">
        <v>2215</v>
      </c>
      <c r="L199" t="s">
        <v>2243</v>
      </c>
      <c r="M199" t="s">
        <v>2249</v>
      </c>
      <c r="N199">
        <v>1</v>
      </c>
      <c r="O199">
        <f t="shared" si="15"/>
        <v>77440</v>
      </c>
      <c r="P199">
        <f t="shared" si="16"/>
        <v>77440</v>
      </c>
      <c r="Q199">
        <v>0</v>
      </c>
      <c r="R199">
        <f t="shared" si="17"/>
        <v>77440</v>
      </c>
      <c r="S199" t="s">
        <v>2263</v>
      </c>
      <c r="T199" t="s">
        <v>2265</v>
      </c>
      <c r="U199" s="1" t="str">
        <f t="shared" si="18"/>
        <v>Not Delivered</v>
      </c>
      <c r="V199">
        <f t="shared" si="19"/>
        <v>11616</v>
      </c>
    </row>
    <row r="200" spans="1:22" x14ac:dyDescent="0.3">
      <c r="A200" t="s">
        <v>218</v>
      </c>
      <c r="B200">
        <v>2024</v>
      </c>
      <c r="C200" s="1">
        <v>45408</v>
      </c>
      <c r="D200" t="s">
        <v>821</v>
      </c>
      <c r="E200" t="s">
        <v>1001</v>
      </c>
      <c r="F200" t="s">
        <v>1565</v>
      </c>
      <c r="G200" t="s">
        <v>2167</v>
      </c>
      <c r="H200" t="s">
        <v>2174</v>
      </c>
      <c r="I200" t="s">
        <v>2205</v>
      </c>
      <c r="J200" t="s">
        <v>2210</v>
      </c>
      <c r="K200" t="s">
        <v>2219</v>
      </c>
      <c r="L200" t="s">
        <v>2243</v>
      </c>
      <c r="M200" t="s">
        <v>2251</v>
      </c>
      <c r="N200">
        <v>1</v>
      </c>
      <c r="O200">
        <f t="shared" si="15"/>
        <v>77440</v>
      </c>
      <c r="P200">
        <f t="shared" si="16"/>
        <v>77440</v>
      </c>
      <c r="Q200">
        <v>20</v>
      </c>
      <c r="R200">
        <f t="shared" si="17"/>
        <v>61952</v>
      </c>
      <c r="S200" t="s">
        <v>2262</v>
      </c>
      <c r="T200" t="s">
        <v>2266</v>
      </c>
      <c r="U200" s="1">
        <f t="shared" si="18"/>
        <v>45415</v>
      </c>
      <c r="V200">
        <f t="shared" si="19"/>
        <v>11616</v>
      </c>
    </row>
    <row r="201" spans="1:22" x14ac:dyDescent="0.3">
      <c r="A201" t="s">
        <v>219</v>
      </c>
      <c r="B201">
        <v>2024</v>
      </c>
      <c r="C201" s="1">
        <v>45630</v>
      </c>
      <c r="D201" t="s">
        <v>828</v>
      </c>
      <c r="E201" t="s">
        <v>1002</v>
      </c>
      <c r="F201" t="s">
        <v>1566</v>
      </c>
      <c r="G201" t="s">
        <v>2167</v>
      </c>
      <c r="H201" t="s">
        <v>2191</v>
      </c>
      <c r="I201" t="s">
        <v>2203</v>
      </c>
      <c r="J201" t="s">
        <v>2213</v>
      </c>
      <c r="K201" t="s">
        <v>2226</v>
      </c>
      <c r="L201" t="s">
        <v>2244</v>
      </c>
      <c r="M201" t="s">
        <v>2259</v>
      </c>
      <c r="N201">
        <v>5</v>
      </c>
      <c r="O201">
        <f t="shared" si="15"/>
        <v>77440</v>
      </c>
      <c r="P201">
        <f t="shared" si="16"/>
        <v>387200</v>
      </c>
      <c r="Q201">
        <v>0</v>
      </c>
      <c r="R201">
        <f t="shared" si="17"/>
        <v>387200</v>
      </c>
      <c r="S201" t="s">
        <v>2263</v>
      </c>
      <c r="T201" t="s">
        <v>2266</v>
      </c>
      <c r="U201" s="1">
        <f t="shared" si="18"/>
        <v>45637</v>
      </c>
      <c r="V201">
        <f t="shared" si="19"/>
        <v>58080</v>
      </c>
    </row>
    <row r="202" spans="1:22" x14ac:dyDescent="0.3">
      <c r="A202" t="s">
        <v>220</v>
      </c>
      <c r="B202">
        <v>2025</v>
      </c>
      <c r="C202" s="1">
        <v>45739</v>
      </c>
      <c r="D202" t="s">
        <v>826</v>
      </c>
      <c r="E202" t="s">
        <v>1003</v>
      </c>
      <c r="F202" t="s">
        <v>1567</v>
      </c>
      <c r="G202" t="s">
        <v>2167</v>
      </c>
      <c r="H202" t="s">
        <v>2199</v>
      </c>
      <c r="I202" t="s">
        <v>2205</v>
      </c>
      <c r="J202" t="s">
        <v>2212</v>
      </c>
      <c r="K202" t="s">
        <v>2240</v>
      </c>
      <c r="L202" t="s">
        <v>2246</v>
      </c>
      <c r="M202" t="s">
        <v>2250</v>
      </c>
      <c r="N202">
        <v>5</v>
      </c>
      <c r="O202">
        <f t="shared" si="15"/>
        <v>77440</v>
      </c>
      <c r="P202">
        <f t="shared" si="16"/>
        <v>387200</v>
      </c>
      <c r="Q202">
        <v>0</v>
      </c>
      <c r="R202">
        <f t="shared" si="17"/>
        <v>387200</v>
      </c>
      <c r="S202" t="s">
        <v>2262</v>
      </c>
      <c r="T202" t="s">
        <v>2266</v>
      </c>
      <c r="U202" s="1">
        <f t="shared" si="18"/>
        <v>45746</v>
      </c>
      <c r="V202">
        <f t="shared" si="19"/>
        <v>58080</v>
      </c>
    </row>
    <row r="203" spans="1:22" x14ac:dyDescent="0.3">
      <c r="A203" t="s">
        <v>221</v>
      </c>
      <c r="B203">
        <v>2024</v>
      </c>
      <c r="C203" s="1">
        <v>45365</v>
      </c>
      <c r="D203" t="s">
        <v>821</v>
      </c>
      <c r="E203" t="s">
        <v>1004</v>
      </c>
      <c r="F203" t="s">
        <v>1568</v>
      </c>
      <c r="G203" t="s">
        <v>2167</v>
      </c>
      <c r="H203" t="s">
        <v>2194</v>
      </c>
      <c r="I203" t="s">
        <v>2201</v>
      </c>
      <c r="J203" t="s">
        <v>2211</v>
      </c>
      <c r="K203" t="s">
        <v>2229</v>
      </c>
      <c r="L203" t="s">
        <v>2246</v>
      </c>
      <c r="M203" t="s">
        <v>2253</v>
      </c>
      <c r="N203">
        <v>4</v>
      </c>
      <c r="O203">
        <f t="shared" si="15"/>
        <v>77440</v>
      </c>
      <c r="P203">
        <f t="shared" si="16"/>
        <v>309760</v>
      </c>
      <c r="Q203">
        <v>0</v>
      </c>
      <c r="R203">
        <f t="shared" si="17"/>
        <v>309760</v>
      </c>
      <c r="S203" t="s">
        <v>2261</v>
      </c>
      <c r="T203" t="s">
        <v>2266</v>
      </c>
      <c r="U203" s="1">
        <f t="shared" si="18"/>
        <v>45372</v>
      </c>
      <c r="V203">
        <f t="shared" si="19"/>
        <v>46464</v>
      </c>
    </row>
    <row r="204" spans="1:22" x14ac:dyDescent="0.3">
      <c r="A204" t="s">
        <v>222</v>
      </c>
      <c r="B204">
        <v>2024</v>
      </c>
      <c r="C204" s="1">
        <v>45508</v>
      </c>
      <c r="D204" t="s">
        <v>827</v>
      </c>
      <c r="E204" t="s">
        <v>1005</v>
      </c>
      <c r="F204" t="s">
        <v>1569</v>
      </c>
      <c r="G204" t="s">
        <v>2167</v>
      </c>
      <c r="H204" t="s">
        <v>2172</v>
      </c>
      <c r="I204" t="s">
        <v>2203</v>
      </c>
      <c r="J204" t="s">
        <v>2210</v>
      </c>
      <c r="K204" t="s">
        <v>2235</v>
      </c>
      <c r="L204" t="s">
        <v>2247</v>
      </c>
      <c r="M204" t="s">
        <v>2248</v>
      </c>
      <c r="N204">
        <v>5</v>
      </c>
      <c r="O204">
        <f t="shared" si="15"/>
        <v>77440</v>
      </c>
      <c r="P204">
        <f t="shared" si="16"/>
        <v>387200</v>
      </c>
      <c r="Q204">
        <v>0</v>
      </c>
      <c r="R204">
        <f t="shared" si="17"/>
        <v>387200</v>
      </c>
      <c r="S204" t="s">
        <v>2261</v>
      </c>
      <c r="T204" t="s">
        <v>2264</v>
      </c>
      <c r="U204" s="1" t="str">
        <f t="shared" si="18"/>
        <v>Not Delivered</v>
      </c>
      <c r="V204">
        <f t="shared" si="19"/>
        <v>58080</v>
      </c>
    </row>
    <row r="205" spans="1:22" x14ac:dyDescent="0.3">
      <c r="A205" t="s">
        <v>223</v>
      </c>
      <c r="B205">
        <v>2024</v>
      </c>
      <c r="C205" s="1">
        <v>45504</v>
      </c>
      <c r="D205" t="s">
        <v>820</v>
      </c>
      <c r="E205" t="s">
        <v>1006</v>
      </c>
      <c r="F205" t="s">
        <v>1570</v>
      </c>
      <c r="G205" t="s">
        <v>2167</v>
      </c>
      <c r="H205" t="s">
        <v>2168</v>
      </c>
      <c r="I205" t="s">
        <v>2200</v>
      </c>
      <c r="J205" t="s">
        <v>2213</v>
      </c>
      <c r="K205" t="s">
        <v>2217</v>
      </c>
      <c r="L205" t="s">
        <v>2244</v>
      </c>
      <c r="M205" t="s">
        <v>2255</v>
      </c>
      <c r="N205">
        <v>4</v>
      </c>
      <c r="O205">
        <f t="shared" si="15"/>
        <v>77440</v>
      </c>
      <c r="P205">
        <f t="shared" si="16"/>
        <v>309760</v>
      </c>
      <c r="Q205">
        <v>10</v>
      </c>
      <c r="R205">
        <f t="shared" si="17"/>
        <v>278784</v>
      </c>
      <c r="S205" t="s">
        <v>2260</v>
      </c>
      <c r="T205" t="s">
        <v>2266</v>
      </c>
      <c r="U205" s="1">
        <f t="shared" si="18"/>
        <v>45511</v>
      </c>
      <c r="V205">
        <f t="shared" si="19"/>
        <v>46464</v>
      </c>
    </row>
    <row r="206" spans="1:22" x14ac:dyDescent="0.3">
      <c r="A206" t="s">
        <v>224</v>
      </c>
      <c r="B206">
        <v>2025</v>
      </c>
      <c r="C206" s="1">
        <v>45706</v>
      </c>
      <c r="D206" t="s">
        <v>828</v>
      </c>
      <c r="E206" t="s">
        <v>1007</v>
      </c>
      <c r="F206" t="s">
        <v>1571</v>
      </c>
      <c r="G206" t="s">
        <v>2167</v>
      </c>
      <c r="H206" t="s">
        <v>2168</v>
      </c>
      <c r="I206" t="s">
        <v>2200</v>
      </c>
      <c r="J206" t="s">
        <v>2210</v>
      </c>
      <c r="K206" t="s">
        <v>2216</v>
      </c>
      <c r="L206" t="s">
        <v>2242</v>
      </c>
      <c r="M206" t="s">
        <v>2259</v>
      </c>
      <c r="N206">
        <v>1</v>
      </c>
      <c r="O206">
        <f t="shared" si="15"/>
        <v>77440</v>
      </c>
      <c r="P206">
        <f t="shared" si="16"/>
        <v>77440</v>
      </c>
      <c r="Q206">
        <v>0</v>
      </c>
      <c r="R206">
        <f t="shared" si="17"/>
        <v>77440</v>
      </c>
      <c r="S206" t="s">
        <v>2263</v>
      </c>
      <c r="T206" t="s">
        <v>2266</v>
      </c>
      <c r="U206" s="1">
        <f t="shared" si="18"/>
        <v>45713</v>
      </c>
      <c r="V206">
        <f t="shared" si="19"/>
        <v>11616</v>
      </c>
    </row>
    <row r="207" spans="1:22" x14ac:dyDescent="0.3">
      <c r="A207" t="s">
        <v>225</v>
      </c>
      <c r="B207">
        <v>2024</v>
      </c>
      <c r="C207" s="1">
        <v>45633</v>
      </c>
      <c r="D207" t="s">
        <v>828</v>
      </c>
      <c r="E207" t="s">
        <v>1008</v>
      </c>
      <c r="F207" t="s">
        <v>1572</v>
      </c>
      <c r="G207" t="s">
        <v>2167</v>
      </c>
      <c r="H207" t="s">
        <v>2190</v>
      </c>
      <c r="I207" t="s">
        <v>2208</v>
      </c>
      <c r="J207" t="s">
        <v>2212</v>
      </c>
      <c r="K207" t="s">
        <v>2228</v>
      </c>
      <c r="L207" t="s">
        <v>2243</v>
      </c>
      <c r="M207" t="s">
        <v>2256</v>
      </c>
      <c r="N207">
        <v>5</v>
      </c>
      <c r="O207">
        <f t="shared" si="15"/>
        <v>77440</v>
      </c>
      <c r="P207">
        <f t="shared" si="16"/>
        <v>387200</v>
      </c>
      <c r="Q207">
        <v>5</v>
      </c>
      <c r="R207">
        <f t="shared" si="17"/>
        <v>367840</v>
      </c>
      <c r="S207" t="s">
        <v>2262</v>
      </c>
      <c r="T207" t="s">
        <v>2264</v>
      </c>
      <c r="U207" s="1" t="str">
        <f t="shared" si="18"/>
        <v>Not Delivered</v>
      </c>
      <c r="V207">
        <f t="shared" si="19"/>
        <v>58080</v>
      </c>
    </row>
    <row r="208" spans="1:22" x14ac:dyDescent="0.3">
      <c r="A208" t="s">
        <v>226</v>
      </c>
      <c r="B208">
        <v>2024</v>
      </c>
      <c r="C208" s="1">
        <v>45484</v>
      </c>
      <c r="D208" t="s">
        <v>824</v>
      </c>
      <c r="E208" t="s">
        <v>1009</v>
      </c>
      <c r="F208" t="s">
        <v>1573</v>
      </c>
      <c r="G208" t="s">
        <v>2167</v>
      </c>
      <c r="H208" t="s">
        <v>2186</v>
      </c>
      <c r="I208" t="s">
        <v>2201</v>
      </c>
      <c r="J208" t="s">
        <v>2213</v>
      </c>
      <c r="K208" t="s">
        <v>2234</v>
      </c>
      <c r="L208" t="s">
        <v>2244</v>
      </c>
      <c r="M208" t="s">
        <v>2256</v>
      </c>
      <c r="N208">
        <v>3</v>
      </c>
      <c r="O208">
        <f t="shared" si="15"/>
        <v>77440</v>
      </c>
      <c r="P208">
        <f t="shared" si="16"/>
        <v>232320</v>
      </c>
      <c r="Q208">
        <v>15</v>
      </c>
      <c r="R208">
        <f t="shared" si="17"/>
        <v>197472</v>
      </c>
      <c r="S208" t="s">
        <v>2261</v>
      </c>
      <c r="T208" t="s">
        <v>2265</v>
      </c>
      <c r="U208" s="1" t="str">
        <f t="shared" si="18"/>
        <v>Not Delivered</v>
      </c>
      <c r="V208">
        <f t="shared" si="19"/>
        <v>34848</v>
      </c>
    </row>
    <row r="209" spans="1:22" x14ac:dyDescent="0.3">
      <c r="A209" t="s">
        <v>227</v>
      </c>
      <c r="B209">
        <v>2024</v>
      </c>
      <c r="C209" s="1">
        <v>45299</v>
      </c>
      <c r="D209" t="s">
        <v>823</v>
      </c>
      <c r="E209" t="s">
        <v>1010</v>
      </c>
      <c r="F209" t="s">
        <v>1574</v>
      </c>
      <c r="G209" t="s">
        <v>2167</v>
      </c>
      <c r="H209" t="s">
        <v>2191</v>
      </c>
      <c r="I209" t="s">
        <v>2203</v>
      </c>
      <c r="J209" t="s">
        <v>2212</v>
      </c>
      <c r="K209" t="s">
        <v>2238</v>
      </c>
      <c r="L209" t="s">
        <v>2246</v>
      </c>
      <c r="M209" t="s">
        <v>2249</v>
      </c>
      <c r="N209">
        <v>1</v>
      </c>
      <c r="O209">
        <f t="shared" si="15"/>
        <v>77440</v>
      </c>
      <c r="P209">
        <f t="shared" si="16"/>
        <v>77440</v>
      </c>
      <c r="Q209">
        <v>20</v>
      </c>
      <c r="R209">
        <f t="shared" si="17"/>
        <v>61952</v>
      </c>
      <c r="S209" t="s">
        <v>2262</v>
      </c>
      <c r="T209" t="s">
        <v>2264</v>
      </c>
      <c r="U209" s="1" t="str">
        <f t="shared" si="18"/>
        <v>Not Delivered</v>
      </c>
      <c r="V209">
        <f t="shared" si="19"/>
        <v>11616</v>
      </c>
    </row>
    <row r="210" spans="1:22" x14ac:dyDescent="0.3">
      <c r="A210" t="s">
        <v>228</v>
      </c>
      <c r="B210">
        <v>2024</v>
      </c>
      <c r="C210" s="1">
        <v>45402</v>
      </c>
      <c r="D210" t="s">
        <v>824</v>
      </c>
      <c r="E210" t="s">
        <v>841</v>
      </c>
      <c r="F210" t="s">
        <v>1575</v>
      </c>
      <c r="G210" t="s">
        <v>2167</v>
      </c>
      <c r="H210" t="s">
        <v>2177</v>
      </c>
      <c r="I210" t="s">
        <v>2206</v>
      </c>
      <c r="J210" t="s">
        <v>2211</v>
      </c>
      <c r="K210" t="s">
        <v>2223</v>
      </c>
      <c r="L210" t="s">
        <v>2245</v>
      </c>
      <c r="M210" t="s">
        <v>2259</v>
      </c>
      <c r="N210">
        <v>4</v>
      </c>
      <c r="O210">
        <f t="shared" si="15"/>
        <v>77440</v>
      </c>
      <c r="P210">
        <f t="shared" si="16"/>
        <v>309760</v>
      </c>
      <c r="Q210">
        <v>5</v>
      </c>
      <c r="R210">
        <f t="shared" si="17"/>
        <v>294272</v>
      </c>
      <c r="S210" t="s">
        <v>2260</v>
      </c>
      <c r="T210" t="s">
        <v>2265</v>
      </c>
      <c r="U210" s="1" t="str">
        <f t="shared" si="18"/>
        <v>Not Delivered</v>
      </c>
      <c r="V210">
        <f t="shared" si="19"/>
        <v>46464</v>
      </c>
    </row>
    <row r="211" spans="1:22" x14ac:dyDescent="0.3">
      <c r="A211" t="s">
        <v>229</v>
      </c>
      <c r="B211">
        <v>2024</v>
      </c>
      <c r="C211" s="1">
        <v>45370</v>
      </c>
      <c r="D211" t="s">
        <v>827</v>
      </c>
      <c r="E211" t="s">
        <v>858</v>
      </c>
      <c r="F211" t="s">
        <v>1576</v>
      </c>
      <c r="G211" t="s">
        <v>2167</v>
      </c>
      <c r="H211" t="s">
        <v>2182</v>
      </c>
      <c r="I211" t="s">
        <v>2206</v>
      </c>
      <c r="J211" t="s">
        <v>2211</v>
      </c>
      <c r="K211" t="s">
        <v>2232</v>
      </c>
      <c r="L211" t="s">
        <v>2243</v>
      </c>
      <c r="M211" t="s">
        <v>2253</v>
      </c>
      <c r="N211">
        <v>1</v>
      </c>
      <c r="O211">
        <f t="shared" si="15"/>
        <v>77440</v>
      </c>
      <c r="P211">
        <f t="shared" si="16"/>
        <v>77440</v>
      </c>
      <c r="Q211">
        <v>20</v>
      </c>
      <c r="R211">
        <f t="shared" si="17"/>
        <v>61952</v>
      </c>
      <c r="S211" t="s">
        <v>2261</v>
      </c>
      <c r="T211" t="s">
        <v>2264</v>
      </c>
      <c r="U211" s="1" t="str">
        <f t="shared" si="18"/>
        <v>Not Delivered</v>
      </c>
      <c r="V211">
        <f t="shared" si="19"/>
        <v>11616</v>
      </c>
    </row>
    <row r="212" spans="1:22" x14ac:dyDescent="0.3">
      <c r="A212" t="s">
        <v>230</v>
      </c>
      <c r="B212">
        <v>2025</v>
      </c>
      <c r="C212" s="1">
        <v>45758</v>
      </c>
      <c r="D212" t="s">
        <v>820</v>
      </c>
      <c r="E212" t="s">
        <v>1011</v>
      </c>
      <c r="F212" t="s">
        <v>1577</v>
      </c>
      <c r="G212" t="s">
        <v>2167</v>
      </c>
      <c r="H212" t="s">
        <v>2192</v>
      </c>
      <c r="I212" t="s">
        <v>2207</v>
      </c>
      <c r="J212" t="s">
        <v>2213</v>
      </c>
      <c r="K212" t="s">
        <v>2217</v>
      </c>
      <c r="L212" t="s">
        <v>2244</v>
      </c>
      <c r="M212" t="s">
        <v>2254</v>
      </c>
      <c r="N212">
        <v>5</v>
      </c>
      <c r="O212">
        <f t="shared" si="15"/>
        <v>77440</v>
      </c>
      <c r="P212">
        <f t="shared" si="16"/>
        <v>387200</v>
      </c>
      <c r="Q212">
        <v>20</v>
      </c>
      <c r="R212">
        <f t="shared" si="17"/>
        <v>309760</v>
      </c>
      <c r="S212" t="s">
        <v>2260</v>
      </c>
      <c r="T212" t="s">
        <v>2264</v>
      </c>
      <c r="U212" s="1" t="str">
        <f t="shared" si="18"/>
        <v>Not Delivered</v>
      </c>
      <c r="V212">
        <f t="shared" si="19"/>
        <v>58080</v>
      </c>
    </row>
    <row r="213" spans="1:22" x14ac:dyDescent="0.3">
      <c r="A213" t="s">
        <v>231</v>
      </c>
      <c r="B213">
        <v>2024</v>
      </c>
      <c r="C213" s="1">
        <v>45347</v>
      </c>
      <c r="D213" t="s">
        <v>820</v>
      </c>
      <c r="E213" t="s">
        <v>1012</v>
      </c>
      <c r="F213" t="s">
        <v>1578</v>
      </c>
      <c r="G213" t="s">
        <v>2167</v>
      </c>
      <c r="H213" t="s">
        <v>2188</v>
      </c>
      <c r="I213" t="s">
        <v>2208</v>
      </c>
      <c r="J213" t="s">
        <v>2210</v>
      </c>
      <c r="K213" t="s">
        <v>2232</v>
      </c>
      <c r="L213" t="s">
        <v>2243</v>
      </c>
      <c r="M213" t="s">
        <v>2258</v>
      </c>
      <c r="N213">
        <v>3</v>
      </c>
      <c r="O213">
        <f t="shared" si="15"/>
        <v>77440</v>
      </c>
      <c r="P213">
        <f t="shared" si="16"/>
        <v>232320</v>
      </c>
      <c r="Q213">
        <v>20</v>
      </c>
      <c r="R213">
        <f t="shared" si="17"/>
        <v>185856</v>
      </c>
      <c r="S213" t="s">
        <v>2262</v>
      </c>
      <c r="T213" t="s">
        <v>2266</v>
      </c>
      <c r="U213" s="1">
        <f t="shared" si="18"/>
        <v>45354</v>
      </c>
      <c r="V213">
        <f t="shared" si="19"/>
        <v>34848</v>
      </c>
    </row>
    <row r="214" spans="1:22" x14ac:dyDescent="0.3">
      <c r="A214" t="s">
        <v>232</v>
      </c>
      <c r="B214">
        <v>2024</v>
      </c>
      <c r="C214" s="1">
        <v>45384</v>
      </c>
      <c r="D214" t="s">
        <v>822</v>
      </c>
      <c r="E214" t="s">
        <v>1008</v>
      </c>
      <c r="F214" t="s">
        <v>1579</v>
      </c>
      <c r="G214" t="s">
        <v>2167</v>
      </c>
      <c r="H214" t="s">
        <v>2178</v>
      </c>
      <c r="I214" t="s">
        <v>2207</v>
      </c>
      <c r="J214" t="s">
        <v>2213</v>
      </c>
      <c r="K214" t="s">
        <v>2238</v>
      </c>
      <c r="L214" t="s">
        <v>2246</v>
      </c>
      <c r="M214" t="s">
        <v>2252</v>
      </c>
      <c r="N214">
        <v>2</v>
      </c>
      <c r="O214">
        <f t="shared" si="15"/>
        <v>77440</v>
      </c>
      <c r="P214">
        <f t="shared" si="16"/>
        <v>154880</v>
      </c>
      <c r="Q214">
        <v>15</v>
      </c>
      <c r="R214">
        <f t="shared" si="17"/>
        <v>131648</v>
      </c>
      <c r="S214" t="s">
        <v>2263</v>
      </c>
      <c r="T214" t="s">
        <v>2266</v>
      </c>
      <c r="U214" s="1">
        <f t="shared" si="18"/>
        <v>45391</v>
      </c>
      <c r="V214">
        <f t="shared" si="19"/>
        <v>23232</v>
      </c>
    </row>
    <row r="215" spans="1:22" x14ac:dyDescent="0.3">
      <c r="A215" t="s">
        <v>233</v>
      </c>
      <c r="B215">
        <v>2024</v>
      </c>
      <c r="C215" s="1">
        <v>45495</v>
      </c>
      <c r="D215" t="s">
        <v>828</v>
      </c>
      <c r="E215" t="s">
        <v>1013</v>
      </c>
      <c r="F215" t="s">
        <v>1580</v>
      </c>
      <c r="G215" t="s">
        <v>2167</v>
      </c>
      <c r="H215" t="s">
        <v>2182</v>
      </c>
      <c r="I215" t="s">
        <v>2206</v>
      </c>
      <c r="J215" t="s">
        <v>2211</v>
      </c>
      <c r="K215" t="s">
        <v>2241</v>
      </c>
      <c r="L215" t="s">
        <v>2247</v>
      </c>
      <c r="M215" t="s">
        <v>2253</v>
      </c>
      <c r="N215">
        <v>3</v>
      </c>
      <c r="O215">
        <f t="shared" si="15"/>
        <v>77440</v>
      </c>
      <c r="P215">
        <f t="shared" si="16"/>
        <v>232320</v>
      </c>
      <c r="Q215">
        <v>20</v>
      </c>
      <c r="R215">
        <f t="shared" si="17"/>
        <v>185856</v>
      </c>
      <c r="S215" t="s">
        <v>2261</v>
      </c>
      <c r="T215" t="s">
        <v>2265</v>
      </c>
      <c r="U215" s="1" t="str">
        <f t="shared" si="18"/>
        <v>Not Delivered</v>
      </c>
      <c r="V215">
        <f t="shared" si="19"/>
        <v>34848</v>
      </c>
    </row>
    <row r="216" spans="1:22" x14ac:dyDescent="0.3">
      <c r="A216" t="s">
        <v>234</v>
      </c>
      <c r="B216">
        <v>2024</v>
      </c>
      <c r="C216" s="1">
        <v>45407</v>
      </c>
      <c r="D216" t="s">
        <v>820</v>
      </c>
      <c r="E216" t="s">
        <v>1014</v>
      </c>
      <c r="F216" t="s">
        <v>1581</v>
      </c>
      <c r="G216" t="s">
        <v>2167</v>
      </c>
      <c r="H216" t="s">
        <v>2173</v>
      </c>
      <c r="I216" t="s">
        <v>2204</v>
      </c>
      <c r="J216" t="s">
        <v>2213</v>
      </c>
      <c r="K216" t="s">
        <v>2236</v>
      </c>
      <c r="L216" t="s">
        <v>2242</v>
      </c>
      <c r="M216" t="s">
        <v>2254</v>
      </c>
      <c r="N216">
        <v>5</v>
      </c>
      <c r="O216">
        <f t="shared" si="15"/>
        <v>77440</v>
      </c>
      <c r="P216">
        <f t="shared" si="16"/>
        <v>387200</v>
      </c>
      <c r="Q216">
        <v>5</v>
      </c>
      <c r="R216">
        <f t="shared" si="17"/>
        <v>367840</v>
      </c>
      <c r="S216" t="s">
        <v>2262</v>
      </c>
      <c r="T216" t="s">
        <v>2266</v>
      </c>
      <c r="U216" s="1">
        <f t="shared" si="18"/>
        <v>45414</v>
      </c>
      <c r="V216">
        <f t="shared" si="19"/>
        <v>58080</v>
      </c>
    </row>
    <row r="217" spans="1:22" x14ac:dyDescent="0.3">
      <c r="A217" t="s">
        <v>235</v>
      </c>
      <c r="B217">
        <v>2024</v>
      </c>
      <c r="C217" s="1">
        <v>45631</v>
      </c>
      <c r="D217" t="s">
        <v>820</v>
      </c>
      <c r="E217" t="s">
        <v>1015</v>
      </c>
      <c r="F217" t="s">
        <v>1582</v>
      </c>
      <c r="G217" t="s">
        <v>2167</v>
      </c>
      <c r="H217" t="s">
        <v>2178</v>
      </c>
      <c r="I217" t="s">
        <v>2207</v>
      </c>
      <c r="J217" t="s">
        <v>2213</v>
      </c>
      <c r="K217" t="s">
        <v>2230</v>
      </c>
      <c r="L217" t="s">
        <v>2247</v>
      </c>
      <c r="M217" t="s">
        <v>2254</v>
      </c>
      <c r="N217">
        <v>3</v>
      </c>
      <c r="O217">
        <f t="shared" si="15"/>
        <v>77440</v>
      </c>
      <c r="P217">
        <f t="shared" si="16"/>
        <v>232320</v>
      </c>
      <c r="Q217">
        <v>20</v>
      </c>
      <c r="R217">
        <f t="shared" si="17"/>
        <v>185856</v>
      </c>
      <c r="S217" t="s">
        <v>2260</v>
      </c>
      <c r="T217" t="s">
        <v>2266</v>
      </c>
      <c r="U217" s="1">
        <f t="shared" si="18"/>
        <v>45638</v>
      </c>
      <c r="V217">
        <f t="shared" si="19"/>
        <v>34848</v>
      </c>
    </row>
    <row r="218" spans="1:22" x14ac:dyDescent="0.3">
      <c r="A218" t="s">
        <v>236</v>
      </c>
      <c r="B218">
        <v>2025</v>
      </c>
      <c r="C218" s="1">
        <v>45659</v>
      </c>
      <c r="D218" t="s">
        <v>824</v>
      </c>
      <c r="E218" t="s">
        <v>868</v>
      </c>
      <c r="F218" t="s">
        <v>1583</v>
      </c>
      <c r="G218" t="s">
        <v>2167</v>
      </c>
      <c r="H218" t="s">
        <v>2169</v>
      </c>
      <c r="I218" t="s">
        <v>2201</v>
      </c>
      <c r="J218" t="s">
        <v>2210</v>
      </c>
      <c r="K218" t="s">
        <v>2216</v>
      </c>
      <c r="L218" t="s">
        <v>2242</v>
      </c>
      <c r="M218" t="s">
        <v>2251</v>
      </c>
      <c r="N218">
        <v>1</v>
      </c>
      <c r="O218">
        <f t="shared" si="15"/>
        <v>77440</v>
      </c>
      <c r="P218">
        <f t="shared" si="16"/>
        <v>77440</v>
      </c>
      <c r="Q218">
        <v>15</v>
      </c>
      <c r="R218">
        <f t="shared" si="17"/>
        <v>65824</v>
      </c>
      <c r="S218" t="s">
        <v>2261</v>
      </c>
      <c r="T218" t="s">
        <v>2264</v>
      </c>
      <c r="U218" s="1" t="str">
        <f t="shared" si="18"/>
        <v>Not Delivered</v>
      </c>
      <c r="V218">
        <f t="shared" si="19"/>
        <v>11616</v>
      </c>
    </row>
    <row r="219" spans="1:22" x14ac:dyDescent="0.3">
      <c r="A219" t="s">
        <v>237</v>
      </c>
      <c r="B219">
        <v>2025</v>
      </c>
      <c r="C219" s="1">
        <v>45789</v>
      </c>
      <c r="D219" t="s">
        <v>822</v>
      </c>
      <c r="E219" t="s">
        <v>1016</v>
      </c>
      <c r="F219" t="s">
        <v>1584</v>
      </c>
      <c r="G219" t="s">
        <v>2167</v>
      </c>
      <c r="H219" t="s">
        <v>2170</v>
      </c>
      <c r="I219" t="s">
        <v>2201</v>
      </c>
      <c r="J219" t="s">
        <v>2210</v>
      </c>
      <c r="K219" t="s">
        <v>2229</v>
      </c>
      <c r="L219" t="s">
        <v>2246</v>
      </c>
      <c r="M219" t="s">
        <v>2256</v>
      </c>
      <c r="N219">
        <v>5</v>
      </c>
      <c r="O219">
        <f t="shared" si="15"/>
        <v>77440</v>
      </c>
      <c r="P219">
        <f t="shared" si="16"/>
        <v>387200</v>
      </c>
      <c r="Q219">
        <v>20</v>
      </c>
      <c r="R219">
        <f t="shared" si="17"/>
        <v>309760</v>
      </c>
      <c r="S219" t="s">
        <v>2260</v>
      </c>
      <c r="T219" t="s">
        <v>2265</v>
      </c>
      <c r="U219" s="1" t="str">
        <f t="shared" si="18"/>
        <v>Not Delivered</v>
      </c>
      <c r="V219">
        <f t="shared" si="19"/>
        <v>58080</v>
      </c>
    </row>
    <row r="220" spans="1:22" x14ac:dyDescent="0.3">
      <c r="A220" t="s">
        <v>238</v>
      </c>
      <c r="B220">
        <v>2025</v>
      </c>
      <c r="C220" s="1">
        <v>45750</v>
      </c>
      <c r="D220" t="s">
        <v>826</v>
      </c>
      <c r="E220" t="s">
        <v>1017</v>
      </c>
      <c r="F220" t="s">
        <v>1585</v>
      </c>
      <c r="G220" t="s">
        <v>2167</v>
      </c>
      <c r="H220" t="s">
        <v>2188</v>
      </c>
      <c r="I220" t="s">
        <v>2208</v>
      </c>
      <c r="J220" t="s">
        <v>2212</v>
      </c>
      <c r="K220" t="s">
        <v>2223</v>
      </c>
      <c r="L220" t="s">
        <v>2245</v>
      </c>
      <c r="M220" t="s">
        <v>2252</v>
      </c>
      <c r="N220">
        <v>3</v>
      </c>
      <c r="O220">
        <f t="shared" si="15"/>
        <v>77440</v>
      </c>
      <c r="P220">
        <f t="shared" si="16"/>
        <v>232320</v>
      </c>
      <c r="Q220">
        <v>20</v>
      </c>
      <c r="R220">
        <f t="shared" si="17"/>
        <v>185856</v>
      </c>
      <c r="S220" t="s">
        <v>2260</v>
      </c>
      <c r="T220" t="s">
        <v>2264</v>
      </c>
      <c r="U220" s="1" t="str">
        <f t="shared" si="18"/>
        <v>Not Delivered</v>
      </c>
      <c r="V220">
        <f t="shared" si="19"/>
        <v>34848</v>
      </c>
    </row>
    <row r="221" spans="1:22" x14ac:dyDescent="0.3">
      <c r="A221" t="s">
        <v>239</v>
      </c>
      <c r="B221">
        <v>2024</v>
      </c>
      <c r="C221" s="1">
        <v>45466</v>
      </c>
      <c r="D221" t="s">
        <v>823</v>
      </c>
      <c r="E221" t="s">
        <v>1018</v>
      </c>
      <c r="F221" t="s">
        <v>1586</v>
      </c>
      <c r="G221" t="s">
        <v>2167</v>
      </c>
      <c r="H221" t="s">
        <v>2182</v>
      </c>
      <c r="I221" t="s">
        <v>2206</v>
      </c>
      <c r="J221" t="s">
        <v>2213</v>
      </c>
      <c r="K221" t="s">
        <v>2218</v>
      </c>
      <c r="L221" t="s">
        <v>2242</v>
      </c>
      <c r="M221" t="s">
        <v>2257</v>
      </c>
      <c r="N221">
        <v>1</v>
      </c>
      <c r="O221">
        <f t="shared" si="15"/>
        <v>77440</v>
      </c>
      <c r="P221">
        <f t="shared" si="16"/>
        <v>77440</v>
      </c>
      <c r="Q221">
        <v>0</v>
      </c>
      <c r="R221">
        <f t="shared" si="17"/>
        <v>77440</v>
      </c>
      <c r="S221" t="s">
        <v>2263</v>
      </c>
      <c r="T221" t="s">
        <v>2266</v>
      </c>
      <c r="U221" s="1">
        <f t="shared" si="18"/>
        <v>45473</v>
      </c>
      <c r="V221">
        <f t="shared" si="19"/>
        <v>11616</v>
      </c>
    </row>
    <row r="222" spans="1:22" x14ac:dyDescent="0.3">
      <c r="A222" t="s">
        <v>240</v>
      </c>
      <c r="B222">
        <v>2024</v>
      </c>
      <c r="C222" s="1">
        <v>45460</v>
      </c>
      <c r="D222" t="s">
        <v>826</v>
      </c>
      <c r="E222" t="s">
        <v>1019</v>
      </c>
      <c r="F222" t="s">
        <v>1587</v>
      </c>
      <c r="G222" t="s">
        <v>2167</v>
      </c>
      <c r="H222" t="s">
        <v>2195</v>
      </c>
      <c r="I222" t="s">
        <v>2206</v>
      </c>
      <c r="J222" t="s">
        <v>2210</v>
      </c>
      <c r="K222" t="s">
        <v>2237</v>
      </c>
      <c r="L222" t="s">
        <v>2246</v>
      </c>
      <c r="M222" t="s">
        <v>2249</v>
      </c>
      <c r="N222">
        <v>5</v>
      </c>
      <c r="O222">
        <f t="shared" si="15"/>
        <v>77440</v>
      </c>
      <c r="P222">
        <f t="shared" si="16"/>
        <v>387200</v>
      </c>
      <c r="Q222">
        <v>5</v>
      </c>
      <c r="R222">
        <f t="shared" si="17"/>
        <v>367840</v>
      </c>
      <c r="S222" t="s">
        <v>2260</v>
      </c>
      <c r="T222" t="s">
        <v>2265</v>
      </c>
      <c r="U222" s="1" t="str">
        <f t="shared" si="18"/>
        <v>Not Delivered</v>
      </c>
      <c r="V222">
        <f t="shared" si="19"/>
        <v>58080</v>
      </c>
    </row>
    <row r="223" spans="1:22" x14ac:dyDescent="0.3">
      <c r="A223" t="s">
        <v>241</v>
      </c>
      <c r="B223">
        <v>2024</v>
      </c>
      <c r="C223" s="1">
        <v>45339</v>
      </c>
      <c r="D223" t="s">
        <v>823</v>
      </c>
      <c r="E223" t="s">
        <v>1020</v>
      </c>
      <c r="F223" t="s">
        <v>1588</v>
      </c>
      <c r="G223" t="s">
        <v>2167</v>
      </c>
      <c r="H223" t="s">
        <v>2181</v>
      </c>
      <c r="I223" t="s">
        <v>2209</v>
      </c>
      <c r="J223" t="s">
        <v>2213</v>
      </c>
      <c r="K223" t="s">
        <v>2222</v>
      </c>
      <c r="L223" t="s">
        <v>2247</v>
      </c>
      <c r="M223" t="s">
        <v>2259</v>
      </c>
      <c r="N223">
        <v>5</v>
      </c>
      <c r="O223">
        <f t="shared" si="15"/>
        <v>77440</v>
      </c>
      <c r="P223">
        <f t="shared" si="16"/>
        <v>387200</v>
      </c>
      <c r="Q223">
        <v>15</v>
      </c>
      <c r="R223">
        <f t="shared" si="17"/>
        <v>329120</v>
      </c>
      <c r="S223" t="s">
        <v>2260</v>
      </c>
      <c r="T223" t="s">
        <v>2266</v>
      </c>
      <c r="U223" s="1">
        <f t="shared" si="18"/>
        <v>45346</v>
      </c>
      <c r="V223">
        <f t="shared" si="19"/>
        <v>58080</v>
      </c>
    </row>
    <row r="224" spans="1:22" x14ac:dyDescent="0.3">
      <c r="A224" t="s">
        <v>242</v>
      </c>
      <c r="B224">
        <v>2025</v>
      </c>
      <c r="C224" s="1">
        <v>45836</v>
      </c>
      <c r="D224" t="s">
        <v>822</v>
      </c>
      <c r="E224" t="s">
        <v>1021</v>
      </c>
      <c r="F224" t="s">
        <v>1589</v>
      </c>
      <c r="G224" t="s">
        <v>2167</v>
      </c>
      <c r="H224" t="s">
        <v>2194</v>
      </c>
      <c r="I224" t="s">
        <v>2201</v>
      </c>
      <c r="J224" t="s">
        <v>2212</v>
      </c>
      <c r="K224" t="s">
        <v>2218</v>
      </c>
      <c r="L224" t="s">
        <v>2242</v>
      </c>
      <c r="M224" t="s">
        <v>2258</v>
      </c>
      <c r="N224">
        <v>5</v>
      </c>
      <c r="O224">
        <f t="shared" si="15"/>
        <v>77440</v>
      </c>
      <c r="P224">
        <f t="shared" si="16"/>
        <v>387200</v>
      </c>
      <c r="Q224">
        <v>5</v>
      </c>
      <c r="R224">
        <f t="shared" si="17"/>
        <v>367840</v>
      </c>
      <c r="S224" t="s">
        <v>2262</v>
      </c>
      <c r="T224" t="s">
        <v>2264</v>
      </c>
      <c r="U224" s="1" t="str">
        <f t="shared" si="18"/>
        <v>Not Delivered</v>
      </c>
      <c r="V224">
        <f t="shared" si="19"/>
        <v>58080</v>
      </c>
    </row>
    <row r="225" spans="1:22" x14ac:dyDescent="0.3">
      <c r="A225" t="s">
        <v>243</v>
      </c>
      <c r="B225">
        <v>2025</v>
      </c>
      <c r="C225" s="1">
        <v>45699</v>
      </c>
      <c r="D225" t="s">
        <v>824</v>
      </c>
      <c r="E225" t="s">
        <v>1022</v>
      </c>
      <c r="F225" t="s">
        <v>1590</v>
      </c>
      <c r="G225" t="s">
        <v>2167</v>
      </c>
      <c r="H225" t="s">
        <v>2187</v>
      </c>
      <c r="I225" t="s">
        <v>2209</v>
      </c>
      <c r="J225" t="s">
        <v>2212</v>
      </c>
      <c r="K225" t="s">
        <v>2231</v>
      </c>
      <c r="L225" t="s">
        <v>2244</v>
      </c>
      <c r="M225" t="s">
        <v>2257</v>
      </c>
      <c r="N225">
        <v>2</v>
      </c>
      <c r="O225">
        <f t="shared" si="15"/>
        <v>77440</v>
      </c>
      <c r="P225">
        <f t="shared" si="16"/>
        <v>154880</v>
      </c>
      <c r="Q225">
        <v>20</v>
      </c>
      <c r="R225">
        <f t="shared" si="17"/>
        <v>123904</v>
      </c>
      <c r="S225" t="s">
        <v>2261</v>
      </c>
      <c r="T225" t="s">
        <v>2266</v>
      </c>
      <c r="U225" s="1">
        <f t="shared" si="18"/>
        <v>45706</v>
      </c>
      <c r="V225">
        <f t="shared" si="19"/>
        <v>23232</v>
      </c>
    </row>
    <row r="226" spans="1:22" x14ac:dyDescent="0.3">
      <c r="A226" t="s">
        <v>244</v>
      </c>
      <c r="B226">
        <v>2024</v>
      </c>
      <c r="C226" s="1">
        <v>45641</v>
      </c>
      <c r="D226" t="s">
        <v>822</v>
      </c>
      <c r="E226" t="s">
        <v>1023</v>
      </c>
      <c r="F226" t="s">
        <v>1591</v>
      </c>
      <c r="G226" t="s">
        <v>2167</v>
      </c>
      <c r="H226" t="s">
        <v>2168</v>
      </c>
      <c r="I226" t="s">
        <v>2200</v>
      </c>
      <c r="J226" t="s">
        <v>2212</v>
      </c>
      <c r="K226" t="s">
        <v>2217</v>
      </c>
      <c r="L226" t="s">
        <v>2244</v>
      </c>
      <c r="M226" t="s">
        <v>2249</v>
      </c>
      <c r="N226">
        <v>1</v>
      </c>
      <c r="O226">
        <f t="shared" si="15"/>
        <v>77440</v>
      </c>
      <c r="P226">
        <f t="shared" si="16"/>
        <v>77440</v>
      </c>
      <c r="Q226">
        <v>0</v>
      </c>
      <c r="R226">
        <f t="shared" si="17"/>
        <v>77440</v>
      </c>
      <c r="S226" t="s">
        <v>2261</v>
      </c>
      <c r="T226" t="s">
        <v>2266</v>
      </c>
      <c r="U226" s="1">
        <f t="shared" si="18"/>
        <v>45648</v>
      </c>
      <c r="V226">
        <f t="shared" si="19"/>
        <v>11616</v>
      </c>
    </row>
    <row r="227" spans="1:22" x14ac:dyDescent="0.3">
      <c r="A227" t="s">
        <v>245</v>
      </c>
      <c r="B227">
        <v>2024</v>
      </c>
      <c r="C227" s="1">
        <v>45433</v>
      </c>
      <c r="D227" t="s">
        <v>828</v>
      </c>
      <c r="E227" t="s">
        <v>1024</v>
      </c>
      <c r="F227" t="s">
        <v>1592</v>
      </c>
      <c r="G227" t="s">
        <v>2167</v>
      </c>
      <c r="H227" t="s">
        <v>2189</v>
      </c>
      <c r="I227" t="s">
        <v>2202</v>
      </c>
      <c r="J227" t="s">
        <v>2211</v>
      </c>
      <c r="K227" t="s">
        <v>2224</v>
      </c>
      <c r="L227" t="s">
        <v>2245</v>
      </c>
      <c r="M227" t="s">
        <v>2251</v>
      </c>
      <c r="N227">
        <v>3</v>
      </c>
      <c r="O227">
        <f t="shared" si="15"/>
        <v>77440</v>
      </c>
      <c r="P227">
        <f t="shared" si="16"/>
        <v>232320</v>
      </c>
      <c r="Q227">
        <v>0</v>
      </c>
      <c r="R227">
        <f t="shared" si="17"/>
        <v>232320</v>
      </c>
      <c r="S227" t="s">
        <v>2262</v>
      </c>
      <c r="T227" t="s">
        <v>2266</v>
      </c>
      <c r="U227" s="1">
        <f t="shared" si="18"/>
        <v>45440</v>
      </c>
      <c r="V227">
        <f t="shared" si="19"/>
        <v>34848</v>
      </c>
    </row>
    <row r="228" spans="1:22" x14ac:dyDescent="0.3">
      <c r="A228" t="s">
        <v>246</v>
      </c>
      <c r="B228">
        <v>2024</v>
      </c>
      <c r="C228" s="1">
        <v>45482</v>
      </c>
      <c r="D228" t="s">
        <v>829</v>
      </c>
      <c r="E228" t="s">
        <v>1025</v>
      </c>
      <c r="F228" t="s">
        <v>1593</v>
      </c>
      <c r="G228" t="s">
        <v>2167</v>
      </c>
      <c r="H228" t="s">
        <v>2177</v>
      </c>
      <c r="I228" t="s">
        <v>2206</v>
      </c>
      <c r="J228" t="s">
        <v>2211</v>
      </c>
      <c r="K228" t="s">
        <v>2214</v>
      </c>
      <c r="L228" t="s">
        <v>2242</v>
      </c>
      <c r="M228" t="s">
        <v>2257</v>
      </c>
      <c r="N228">
        <v>4</v>
      </c>
      <c r="O228">
        <f t="shared" si="15"/>
        <v>77440</v>
      </c>
      <c r="P228">
        <f t="shared" si="16"/>
        <v>309760</v>
      </c>
      <c r="Q228">
        <v>5</v>
      </c>
      <c r="R228">
        <f t="shared" si="17"/>
        <v>294272</v>
      </c>
      <c r="S228" t="s">
        <v>2263</v>
      </c>
      <c r="T228" t="s">
        <v>2264</v>
      </c>
      <c r="U228" s="1" t="str">
        <f t="shared" si="18"/>
        <v>Not Delivered</v>
      </c>
      <c r="V228">
        <f t="shared" si="19"/>
        <v>46464</v>
      </c>
    </row>
    <row r="229" spans="1:22" x14ac:dyDescent="0.3">
      <c r="A229" t="s">
        <v>247</v>
      </c>
      <c r="B229">
        <v>2025</v>
      </c>
      <c r="C229" s="1">
        <v>45816</v>
      </c>
      <c r="D229" t="s">
        <v>822</v>
      </c>
      <c r="E229" t="s">
        <v>971</v>
      </c>
      <c r="F229" t="s">
        <v>1594</v>
      </c>
      <c r="G229" t="s">
        <v>2167</v>
      </c>
      <c r="H229" t="s">
        <v>2189</v>
      </c>
      <c r="I229" t="s">
        <v>2202</v>
      </c>
      <c r="J229" t="s">
        <v>2210</v>
      </c>
      <c r="K229" t="s">
        <v>2222</v>
      </c>
      <c r="L229" t="s">
        <v>2247</v>
      </c>
      <c r="M229" t="s">
        <v>2256</v>
      </c>
      <c r="N229">
        <v>3</v>
      </c>
      <c r="O229">
        <f t="shared" si="15"/>
        <v>77440</v>
      </c>
      <c r="P229">
        <f t="shared" si="16"/>
        <v>232320</v>
      </c>
      <c r="Q229">
        <v>5</v>
      </c>
      <c r="R229">
        <f t="shared" si="17"/>
        <v>220704</v>
      </c>
      <c r="S229" t="s">
        <v>2261</v>
      </c>
      <c r="T229" t="s">
        <v>2264</v>
      </c>
      <c r="U229" s="1" t="str">
        <f t="shared" si="18"/>
        <v>Not Delivered</v>
      </c>
      <c r="V229">
        <f t="shared" si="19"/>
        <v>34848</v>
      </c>
    </row>
    <row r="230" spans="1:22" x14ac:dyDescent="0.3">
      <c r="A230" t="s">
        <v>248</v>
      </c>
      <c r="B230">
        <v>2025</v>
      </c>
      <c r="C230" s="1">
        <v>45780</v>
      </c>
      <c r="D230" t="s">
        <v>824</v>
      </c>
      <c r="E230" t="s">
        <v>1026</v>
      </c>
      <c r="F230" t="s">
        <v>1595</v>
      </c>
      <c r="G230" t="s">
        <v>2167</v>
      </c>
      <c r="H230" t="s">
        <v>2185</v>
      </c>
      <c r="I230" t="s">
        <v>2204</v>
      </c>
      <c r="J230" t="s">
        <v>2212</v>
      </c>
      <c r="K230" t="s">
        <v>2238</v>
      </c>
      <c r="L230" t="s">
        <v>2246</v>
      </c>
      <c r="M230" t="s">
        <v>2256</v>
      </c>
      <c r="N230">
        <v>2</v>
      </c>
      <c r="O230">
        <f t="shared" si="15"/>
        <v>77440</v>
      </c>
      <c r="P230">
        <f t="shared" si="16"/>
        <v>154880</v>
      </c>
      <c r="Q230">
        <v>0</v>
      </c>
      <c r="R230">
        <f t="shared" si="17"/>
        <v>154880</v>
      </c>
      <c r="S230" t="s">
        <v>2263</v>
      </c>
      <c r="T230" t="s">
        <v>2266</v>
      </c>
      <c r="U230" s="1">
        <f t="shared" si="18"/>
        <v>45787</v>
      </c>
      <c r="V230">
        <f t="shared" si="19"/>
        <v>23232</v>
      </c>
    </row>
    <row r="231" spans="1:22" x14ac:dyDescent="0.3">
      <c r="A231" t="s">
        <v>249</v>
      </c>
      <c r="B231">
        <v>2024</v>
      </c>
      <c r="C231" s="1">
        <v>45585</v>
      </c>
      <c r="D231" t="s">
        <v>827</v>
      </c>
      <c r="E231" t="s">
        <v>1027</v>
      </c>
      <c r="F231" t="s">
        <v>1596</v>
      </c>
      <c r="G231" t="s">
        <v>2167</v>
      </c>
      <c r="H231" t="s">
        <v>2181</v>
      </c>
      <c r="I231" t="s">
        <v>2209</v>
      </c>
      <c r="J231" t="s">
        <v>2213</v>
      </c>
      <c r="K231" t="s">
        <v>2216</v>
      </c>
      <c r="L231" t="s">
        <v>2242</v>
      </c>
      <c r="M231" t="s">
        <v>2250</v>
      </c>
      <c r="N231">
        <v>1</v>
      </c>
      <c r="O231">
        <f t="shared" si="15"/>
        <v>77440</v>
      </c>
      <c r="P231">
        <f t="shared" si="16"/>
        <v>77440</v>
      </c>
      <c r="Q231">
        <v>0</v>
      </c>
      <c r="R231">
        <f t="shared" si="17"/>
        <v>77440</v>
      </c>
      <c r="S231" t="s">
        <v>2262</v>
      </c>
      <c r="T231" t="s">
        <v>2264</v>
      </c>
      <c r="U231" s="1" t="str">
        <f t="shared" si="18"/>
        <v>Not Delivered</v>
      </c>
      <c r="V231">
        <f t="shared" si="19"/>
        <v>11616</v>
      </c>
    </row>
    <row r="232" spans="1:22" x14ac:dyDescent="0.3">
      <c r="A232" t="s">
        <v>250</v>
      </c>
      <c r="B232">
        <v>2024</v>
      </c>
      <c r="C232" s="1">
        <v>45391</v>
      </c>
      <c r="D232" t="s">
        <v>824</v>
      </c>
      <c r="E232" t="s">
        <v>1000</v>
      </c>
      <c r="F232" t="s">
        <v>1597</v>
      </c>
      <c r="G232" t="s">
        <v>2167</v>
      </c>
      <c r="H232" t="s">
        <v>2198</v>
      </c>
      <c r="I232" t="s">
        <v>2207</v>
      </c>
      <c r="J232" t="s">
        <v>2211</v>
      </c>
      <c r="K232" t="s">
        <v>2234</v>
      </c>
      <c r="L232" t="s">
        <v>2244</v>
      </c>
      <c r="M232" t="s">
        <v>2253</v>
      </c>
      <c r="N232">
        <v>5</v>
      </c>
      <c r="O232">
        <f t="shared" si="15"/>
        <v>77440</v>
      </c>
      <c r="P232">
        <f t="shared" si="16"/>
        <v>387200</v>
      </c>
      <c r="Q232">
        <v>0</v>
      </c>
      <c r="R232">
        <f t="shared" si="17"/>
        <v>387200</v>
      </c>
      <c r="S232" t="s">
        <v>2262</v>
      </c>
      <c r="T232" t="s">
        <v>2266</v>
      </c>
      <c r="U232" s="1">
        <f t="shared" si="18"/>
        <v>45398</v>
      </c>
      <c r="V232">
        <f t="shared" si="19"/>
        <v>58080</v>
      </c>
    </row>
    <row r="233" spans="1:22" x14ac:dyDescent="0.3">
      <c r="A233" t="s">
        <v>251</v>
      </c>
      <c r="B233">
        <v>2024</v>
      </c>
      <c r="C233" s="1">
        <v>45427</v>
      </c>
      <c r="D233" t="s">
        <v>829</v>
      </c>
      <c r="E233" t="s">
        <v>1028</v>
      </c>
      <c r="F233" t="s">
        <v>1598</v>
      </c>
      <c r="G233" t="s">
        <v>2167</v>
      </c>
      <c r="H233" t="s">
        <v>2182</v>
      </c>
      <c r="I233" t="s">
        <v>2206</v>
      </c>
      <c r="J233" t="s">
        <v>2213</v>
      </c>
      <c r="K233" t="s">
        <v>2227</v>
      </c>
      <c r="L233" t="s">
        <v>2247</v>
      </c>
      <c r="M233" t="s">
        <v>2259</v>
      </c>
      <c r="N233">
        <v>1</v>
      </c>
      <c r="O233">
        <f t="shared" si="15"/>
        <v>77440</v>
      </c>
      <c r="P233">
        <f t="shared" si="16"/>
        <v>77440</v>
      </c>
      <c r="Q233">
        <v>5</v>
      </c>
      <c r="R233">
        <f t="shared" si="17"/>
        <v>73568</v>
      </c>
      <c r="S233" t="s">
        <v>2262</v>
      </c>
      <c r="T233" t="s">
        <v>2265</v>
      </c>
      <c r="U233" s="1" t="str">
        <f t="shared" si="18"/>
        <v>Not Delivered</v>
      </c>
      <c r="V233">
        <f t="shared" si="19"/>
        <v>11616</v>
      </c>
    </row>
    <row r="234" spans="1:22" x14ac:dyDescent="0.3">
      <c r="A234" t="s">
        <v>252</v>
      </c>
      <c r="B234">
        <v>2025</v>
      </c>
      <c r="C234" s="1">
        <v>45705</v>
      </c>
      <c r="D234" t="s">
        <v>827</v>
      </c>
      <c r="E234" t="s">
        <v>1029</v>
      </c>
      <c r="F234" t="s">
        <v>1599</v>
      </c>
      <c r="G234" t="s">
        <v>2167</v>
      </c>
      <c r="H234" t="s">
        <v>2184</v>
      </c>
      <c r="I234" t="s">
        <v>2202</v>
      </c>
      <c r="J234" t="s">
        <v>2213</v>
      </c>
      <c r="K234" t="s">
        <v>2215</v>
      </c>
      <c r="L234" t="s">
        <v>2243</v>
      </c>
      <c r="M234" t="s">
        <v>2254</v>
      </c>
      <c r="N234">
        <v>5</v>
      </c>
      <c r="O234">
        <f t="shared" si="15"/>
        <v>77440</v>
      </c>
      <c r="P234">
        <f t="shared" si="16"/>
        <v>387200</v>
      </c>
      <c r="Q234">
        <v>10</v>
      </c>
      <c r="R234">
        <f t="shared" si="17"/>
        <v>348480</v>
      </c>
      <c r="S234" t="s">
        <v>2262</v>
      </c>
      <c r="T234" t="s">
        <v>2264</v>
      </c>
      <c r="U234" s="1" t="str">
        <f t="shared" si="18"/>
        <v>Not Delivered</v>
      </c>
      <c r="V234">
        <f t="shared" si="19"/>
        <v>58080</v>
      </c>
    </row>
    <row r="235" spans="1:22" x14ac:dyDescent="0.3">
      <c r="A235" t="s">
        <v>253</v>
      </c>
      <c r="B235">
        <v>2024</v>
      </c>
      <c r="C235" s="1">
        <v>45509</v>
      </c>
      <c r="D235" t="s">
        <v>821</v>
      </c>
      <c r="E235" t="s">
        <v>1030</v>
      </c>
      <c r="F235" t="s">
        <v>1600</v>
      </c>
      <c r="G235" t="s">
        <v>2167</v>
      </c>
      <c r="H235" t="s">
        <v>2195</v>
      </c>
      <c r="I235" t="s">
        <v>2206</v>
      </c>
      <c r="J235" t="s">
        <v>2211</v>
      </c>
      <c r="K235" t="s">
        <v>2241</v>
      </c>
      <c r="L235" t="s">
        <v>2247</v>
      </c>
      <c r="M235" t="s">
        <v>2252</v>
      </c>
      <c r="N235">
        <v>2</v>
      </c>
      <c r="O235">
        <f t="shared" si="15"/>
        <v>77440</v>
      </c>
      <c r="P235">
        <f t="shared" si="16"/>
        <v>154880</v>
      </c>
      <c r="Q235">
        <v>15</v>
      </c>
      <c r="R235">
        <f t="shared" si="17"/>
        <v>131648</v>
      </c>
      <c r="S235" t="s">
        <v>2261</v>
      </c>
      <c r="T235" t="s">
        <v>2264</v>
      </c>
      <c r="U235" s="1" t="str">
        <f t="shared" si="18"/>
        <v>Not Delivered</v>
      </c>
      <c r="V235">
        <f t="shared" si="19"/>
        <v>23232</v>
      </c>
    </row>
    <row r="236" spans="1:22" x14ac:dyDescent="0.3">
      <c r="A236" t="s">
        <v>254</v>
      </c>
      <c r="B236">
        <v>2024</v>
      </c>
      <c r="C236" s="1">
        <v>45580</v>
      </c>
      <c r="D236" t="s">
        <v>829</v>
      </c>
      <c r="E236" t="s">
        <v>1031</v>
      </c>
      <c r="F236" t="s">
        <v>1601</v>
      </c>
      <c r="G236" t="s">
        <v>2167</v>
      </c>
      <c r="H236" t="s">
        <v>2194</v>
      </c>
      <c r="I236" t="s">
        <v>2201</v>
      </c>
      <c r="J236" t="s">
        <v>2211</v>
      </c>
      <c r="K236" t="s">
        <v>2229</v>
      </c>
      <c r="L236" t="s">
        <v>2246</v>
      </c>
      <c r="M236" t="s">
        <v>2251</v>
      </c>
      <c r="N236">
        <v>3</v>
      </c>
      <c r="O236">
        <f t="shared" si="15"/>
        <v>77440</v>
      </c>
      <c r="P236">
        <f t="shared" si="16"/>
        <v>232320</v>
      </c>
      <c r="Q236">
        <v>5</v>
      </c>
      <c r="R236">
        <f t="shared" si="17"/>
        <v>220704</v>
      </c>
      <c r="S236" t="s">
        <v>2260</v>
      </c>
      <c r="T236" t="s">
        <v>2265</v>
      </c>
      <c r="U236" s="1" t="str">
        <f t="shared" si="18"/>
        <v>Not Delivered</v>
      </c>
      <c r="V236">
        <f t="shared" si="19"/>
        <v>34848</v>
      </c>
    </row>
    <row r="237" spans="1:22" x14ac:dyDescent="0.3">
      <c r="A237" t="s">
        <v>255</v>
      </c>
      <c r="B237">
        <v>2024</v>
      </c>
      <c r="C237" s="1">
        <v>45403</v>
      </c>
      <c r="D237" t="s">
        <v>824</v>
      </c>
      <c r="E237" t="s">
        <v>1032</v>
      </c>
      <c r="F237" t="s">
        <v>1602</v>
      </c>
      <c r="G237" t="s">
        <v>2167</v>
      </c>
      <c r="H237" t="s">
        <v>2188</v>
      </c>
      <c r="I237" t="s">
        <v>2208</v>
      </c>
      <c r="J237" t="s">
        <v>2210</v>
      </c>
      <c r="K237" t="s">
        <v>2232</v>
      </c>
      <c r="L237" t="s">
        <v>2243</v>
      </c>
      <c r="M237" t="s">
        <v>2248</v>
      </c>
      <c r="N237">
        <v>2</v>
      </c>
      <c r="O237">
        <f t="shared" si="15"/>
        <v>77440</v>
      </c>
      <c r="P237">
        <f t="shared" si="16"/>
        <v>154880</v>
      </c>
      <c r="Q237">
        <v>5</v>
      </c>
      <c r="R237">
        <f t="shared" si="17"/>
        <v>147136</v>
      </c>
      <c r="S237" t="s">
        <v>2261</v>
      </c>
      <c r="T237" t="s">
        <v>2265</v>
      </c>
      <c r="U237" s="1" t="str">
        <f t="shared" si="18"/>
        <v>Not Delivered</v>
      </c>
      <c r="V237">
        <f t="shared" si="19"/>
        <v>23232</v>
      </c>
    </row>
    <row r="238" spans="1:22" x14ac:dyDescent="0.3">
      <c r="A238" t="s">
        <v>256</v>
      </c>
      <c r="B238">
        <v>2025</v>
      </c>
      <c r="C238" s="1">
        <v>45673</v>
      </c>
      <c r="D238" t="s">
        <v>828</v>
      </c>
      <c r="E238" t="s">
        <v>1033</v>
      </c>
      <c r="F238" t="s">
        <v>1603</v>
      </c>
      <c r="G238" t="s">
        <v>2167</v>
      </c>
      <c r="H238" t="s">
        <v>2190</v>
      </c>
      <c r="I238" t="s">
        <v>2208</v>
      </c>
      <c r="J238" t="s">
        <v>2212</v>
      </c>
      <c r="K238" t="s">
        <v>2235</v>
      </c>
      <c r="L238" t="s">
        <v>2247</v>
      </c>
      <c r="M238" t="s">
        <v>2251</v>
      </c>
      <c r="N238">
        <v>4</v>
      </c>
      <c r="O238">
        <f t="shared" si="15"/>
        <v>77440</v>
      </c>
      <c r="P238">
        <f t="shared" si="16"/>
        <v>309760</v>
      </c>
      <c r="Q238">
        <v>0</v>
      </c>
      <c r="R238">
        <f t="shared" si="17"/>
        <v>309760</v>
      </c>
      <c r="S238" t="s">
        <v>2261</v>
      </c>
      <c r="T238" t="s">
        <v>2265</v>
      </c>
      <c r="U238" s="1" t="str">
        <f t="shared" si="18"/>
        <v>Not Delivered</v>
      </c>
      <c r="V238">
        <f t="shared" si="19"/>
        <v>46464</v>
      </c>
    </row>
    <row r="239" spans="1:22" x14ac:dyDescent="0.3">
      <c r="A239" t="s">
        <v>257</v>
      </c>
      <c r="B239">
        <v>2025</v>
      </c>
      <c r="C239" s="1">
        <v>45663</v>
      </c>
      <c r="D239" t="s">
        <v>820</v>
      </c>
      <c r="E239" t="s">
        <v>1034</v>
      </c>
      <c r="F239" t="s">
        <v>1604</v>
      </c>
      <c r="G239" t="s">
        <v>2167</v>
      </c>
      <c r="H239" t="s">
        <v>2168</v>
      </c>
      <c r="I239" t="s">
        <v>2200</v>
      </c>
      <c r="J239" t="s">
        <v>2213</v>
      </c>
      <c r="K239" t="s">
        <v>2233</v>
      </c>
      <c r="L239" t="s">
        <v>2245</v>
      </c>
      <c r="M239" t="s">
        <v>2248</v>
      </c>
      <c r="N239">
        <v>1</v>
      </c>
      <c r="O239">
        <f t="shared" si="15"/>
        <v>77440</v>
      </c>
      <c r="P239">
        <f t="shared" si="16"/>
        <v>77440</v>
      </c>
      <c r="Q239">
        <v>10</v>
      </c>
      <c r="R239">
        <f t="shared" si="17"/>
        <v>69696</v>
      </c>
      <c r="S239" t="s">
        <v>2263</v>
      </c>
      <c r="T239" t="s">
        <v>2266</v>
      </c>
      <c r="U239" s="1">
        <f t="shared" si="18"/>
        <v>45670</v>
      </c>
      <c r="V239">
        <f t="shared" si="19"/>
        <v>11616</v>
      </c>
    </row>
    <row r="240" spans="1:22" x14ac:dyDescent="0.3">
      <c r="A240" t="s">
        <v>258</v>
      </c>
      <c r="B240">
        <v>2024</v>
      </c>
      <c r="C240" s="1">
        <v>45586</v>
      </c>
      <c r="D240" t="s">
        <v>827</v>
      </c>
      <c r="E240" t="s">
        <v>1035</v>
      </c>
      <c r="F240" t="s">
        <v>1605</v>
      </c>
      <c r="G240" t="s">
        <v>2167</v>
      </c>
      <c r="H240" t="s">
        <v>2196</v>
      </c>
      <c r="I240" t="s">
        <v>2205</v>
      </c>
      <c r="J240" t="s">
        <v>2211</v>
      </c>
      <c r="K240" t="s">
        <v>2224</v>
      </c>
      <c r="L240" t="s">
        <v>2245</v>
      </c>
      <c r="M240" t="s">
        <v>2248</v>
      </c>
      <c r="N240">
        <v>2</v>
      </c>
      <c r="O240">
        <f t="shared" si="15"/>
        <v>77440</v>
      </c>
      <c r="P240">
        <f t="shared" si="16"/>
        <v>154880</v>
      </c>
      <c r="Q240">
        <v>20</v>
      </c>
      <c r="R240">
        <f t="shared" si="17"/>
        <v>123904</v>
      </c>
      <c r="S240" t="s">
        <v>2262</v>
      </c>
      <c r="T240" t="s">
        <v>2265</v>
      </c>
      <c r="U240" s="1" t="str">
        <f t="shared" si="18"/>
        <v>Not Delivered</v>
      </c>
      <c r="V240">
        <f t="shared" si="19"/>
        <v>23232</v>
      </c>
    </row>
    <row r="241" spans="1:22" x14ac:dyDescent="0.3">
      <c r="A241" t="s">
        <v>259</v>
      </c>
      <c r="B241">
        <v>2024</v>
      </c>
      <c r="C241" s="1">
        <v>45626</v>
      </c>
      <c r="D241" t="s">
        <v>829</v>
      </c>
      <c r="E241" t="s">
        <v>1036</v>
      </c>
      <c r="F241" t="s">
        <v>1606</v>
      </c>
      <c r="G241" t="s">
        <v>2167</v>
      </c>
      <c r="H241" t="s">
        <v>2199</v>
      </c>
      <c r="I241" t="s">
        <v>2205</v>
      </c>
      <c r="J241" t="s">
        <v>2213</v>
      </c>
      <c r="K241" t="s">
        <v>2217</v>
      </c>
      <c r="L241" t="s">
        <v>2244</v>
      </c>
      <c r="M241" t="s">
        <v>2258</v>
      </c>
      <c r="N241">
        <v>4</v>
      </c>
      <c r="O241">
        <f t="shared" si="15"/>
        <v>77440</v>
      </c>
      <c r="P241">
        <f t="shared" si="16"/>
        <v>309760</v>
      </c>
      <c r="Q241">
        <v>0</v>
      </c>
      <c r="R241">
        <f t="shared" si="17"/>
        <v>309760</v>
      </c>
      <c r="S241" t="s">
        <v>2260</v>
      </c>
      <c r="T241" t="s">
        <v>2266</v>
      </c>
      <c r="U241" s="1">
        <f t="shared" si="18"/>
        <v>45633</v>
      </c>
      <c r="V241">
        <f t="shared" si="19"/>
        <v>46464</v>
      </c>
    </row>
    <row r="242" spans="1:22" x14ac:dyDescent="0.3">
      <c r="A242" t="s">
        <v>260</v>
      </c>
      <c r="B242">
        <v>2025</v>
      </c>
      <c r="C242" s="1">
        <v>45677</v>
      </c>
      <c r="D242" t="s">
        <v>823</v>
      </c>
      <c r="E242" t="s">
        <v>916</v>
      </c>
      <c r="F242" t="s">
        <v>1607</v>
      </c>
      <c r="G242" t="s">
        <v>2167</v>
      </c>
      <c r="H242" t="s">
        <v>2189</v>
      </c>
      <c r="I242" t="s">
        <v>2202</v>
      </c>
      <c r="J242" t="s">
        <v>2212</v>
      </c>
      <c r="K242" t="s">
        <v>2214</v>
      </c>
      <c r="L242" t="s">
        <v>2242</v>
      </c>
      <c r="M242" t="s">
        <v>2253</v>
      </c>
      <c r="N242">
        <v>4</v>
      </c>
      <c r="O242">
        <f t="shared" si="15"/>
        <v>77440</v>
      </c>
      <c r="P242">
        <f t="shared" si="16"/>
        <v>309760</v>
      </c>
      <c r="Q242">
        <v>0</v>
      </c>
      <c r="R242">
        <f t="shared" si="17"/>
        <v>309760</v>
      </c>
      <c r="S242" t="s">
        <v>2261</v>
      </c>
      <c r="T242" t="s">
        <v>2264</v>
      </c>
      <c r="U242" s="1" t="str">
        <f t="shared" si="18"/>
        <v>Not Delivered</v>
      </c>
      <c r="V242">
        <f t="shared" si="19"/>
        <v>46464</v>
      </c>
    </row>
    <row r="243" spans="1:22" x14ac:dyDescent="0.3">
      <c r="A243" t="s">
        <v>261</v>
      </c>
      <c r="B243">
        <v>2025</v>
      </c>
      <c r="C243" s="1">
        <v>45787</v>
      </c>
      <c r="D243" t="s">
        <v>822</v>
      </c>
      <c r="E243" t="s">
        <v>1037</v>
      </c>
      <c r="F243" t="s">
        <v>1608</v>
      </c>
      <c r="G243" t="s">
        <v>2167</v>
      </c>
      <c r="H243" t="s">
        <v>2181</v>
      </c>
      <c r="I243" t="s">
        <v>2209</v>
      </c>
      <c r="J243" t="s">
        <v>2212</v>
      </c>
      <c r="K243" t="s">
        <v>2224</v>
      </c>
      <c r="L243" t="s">
        <v>2245</v>
      </c>
      <c r="M243" t="s">
        <v>2253</v>
      </c>
      <c r="N243">
        <v>4</v>
      </c>
      <c r="O243">
        <f t="shared" si="15"/>
        <v>77440</v>
      </c>
      <c r="P243">
        <f t="shared" si="16"/>
        <v>309760</v>
      </c>
      <c r="Q243">
        <v>10</v>
      </c>
      <c r="R243">
        <f t="shared" si="17"/>
        <v>278784</v>
      </c>
      <c r="S243" t="s">
        <v>2262</v>
      </c>
      <c r="T243" t="s">
        <v>2265</v>
      </c>
      <c r="U243" s="1" t="str">
        <f t="shared" si="18"/>
        <v>Not Delivered</v>
      </c>
      <c r="V243">
        <f t="shared" si="19"/>
        <v>46464</v>
      </c>
    </row>
    <row r="244" spans="1:22" x14ac:dyDescent="0.3">
      <c r="A244" t="s">
        <v>262</v>
      </c>
      <c r="B244">
        <v>2025</v>
      </c>
      <c r="C244" s="1">
        <v>45734</v>
      </c>
      <c r="D244" t="s">
        <v>821</v>
      </c>
      <c r="E244" t="s">
        <v>1038</v>
      </c>
      <c r="F244" t="s">
        <v>1609</v>
      </c>
      <c r="G244" t="s">
        <v>2167</v>
      </c>
      <c r="H244" t="s">
        <v>2168</v>
      </c>
      <c r="I244" t="s">
        <v>2200</v>
      </c>
      <c r="J244" t="s">
        <v>2212</v>
      </c>
      <c r="K244" t="s">
        <v>2240</v>
      </c>
      <c r="L244" t="s">
        <v>2246</v>
      </c>
      <c r="M244" t="s">
        <v>2253</v>
      </c>
      <c r="N244">
        <v>5</v>
      </c>
      <c r="O244">
        <f t="shared" si="15"/>
        <v>77440</v>
      </c>
      <c r="P244">
        <f t="shared" si="16"/>
        <v>387200</v>
      </c>
      <c r="Q244">
        <v>15</v>
      </c>
      <c r="R244">
        <f t="shared" si="17"/>
        <v>329120</v>
      </c>
      <c r="S244" t="s">
        <v>2260</v>
      </c>
      <c r="T244" t="s">
        <v>2265</v>
      </c>
      <c r="U244" s="1" t="str">
        <f t="shared" si="18"/>
        <v>Not Delivered</v>
      </c>
      <c r="V244">
        <f t="shared" si="19"/>
        <v>58080</v>
      </c>
    </row>
    <row r="245" spans="1:22" x14ac:dyDescent="0.3">
      <c r="A245" t="s">
        <v>263</v>
      </c>
      <c r="B245">
        <v>2024</v>
      </c>
      <c r="C245" s="1">
        <v>45483</v>
      </c>
      <c r="D245" t="s">
        <v>824</v>
      </c>
      <c r="E245" t="s">
        <v>1039</v>
      </c>
      <c r="F245" t="s">
        <v>1610</v>
      </c>
      <c r="G245" t="s">
        <v>2167</v>
      </c>
      <c r="H245" t="s">
        <v>2171</v>
      </c>
      <c r="I245" t="s">
        <v>2202</v>
      </c>
      <c r="J245" t="s">
        <v>2210</v>
      </c>
      <c r="K245" t="s">
        <v>2218</v>
      </c>
      <c r="L245" t="s">
        <v>2242</v>
      </c>
      <c r="M245" t="s">
        <v>2258</v>
      </c>
      <c r="N245">
        <v>1</v>
      </c>
      <c r="O245">
        <f t="shared" si="15"/>
        <v>77440</v>
      </c>
      <c r="P245">
        <f t="shared" si="16"/>
        <v>77440</v>
      </c>
      <c r="Q245">
        <v>20</v>
      </c>
      <c r="R245">
        <f t="shared" si="17"/>
        <v>61952</v>
      </c>
      <c r="S245" t="s">
        <v>2261</v>
      </c>
      <c r="T245" t="s">
        <v>2265</v>
      </c>
      <c r="U245" s="1" t="str">
        <f t="shared" si="18"/>
        <v>Not Delivered</v>
      </c>
      <c r="V245">
        <f t="shared" si="19"/>
        <v>11616</v>
      </c>
    </row>
    <row r="246" spans="1:22" x14ac:dyDescent="0.3">
      <c r="A246" t="s">
        <v>264</v>
      </c>
      <c r="B246">
        <v>2024</v>
      </c>
      <c r="C246" s="1">
        <v>45412</v>
      </c>
      <c r="D246" t="s">
        <v>823</v>
      </c>
      <c r="E246" t="s">
        <v>963</v>
      </c>
      <c r="F246" t="s">
        <v>1611</v>
      </c>
      <c r="G246" t="s">
        <v>2167</v>
      </c>
      <c r="H246" t="s">
        <v>2175</v>
      </c>
      <c r="I246" t="s">
        <v>2203</v>
      </c>
      <c r="J246" t="s">
        <v>2211</v>
      </c>
      <c r="K246" t="s">
        <v>2240</v>
      </c>
      <c r="L246" t="s">
        <v>2246</v>
      </c>
      <c r="M246" t="s">
        <v>2251</v>
      </c>
      <c r="N246">
        <v>5</v>
      </c>
      <c r="O246">
        <f t="shared" si="15"/>
        <v>77440</v>
      </c>
      <c r="P246">
        <f t="shared" si="16"/>
        <v>387200</v>
      </c>
      <c r="Q246">
        <v>10</v>
      </c>
      <c r="R246">
        <f t="shared" si="17"/>
        <v>348480</v>
      </c>
      <c r="S246" t="s">
        <v>2262</v>
      </c>
      <c r="T246" t="s">
        <v>2266</v>
      </c>
      <c r="U246" s="1">
        <f t="shared" si="18"/>
        <v>45419</v>
      </c>
      <c r="V246">
        <f t="shared" si="19"/>
        <v>58080</v>
      </c>
    </row>
    <row r="247" spans="1:22" x14ac:dyDescent="0.3">
      <c r="A247" t="s">
        <v>265</v>
      </c>
      <c r="B247">
        <v>2024</v>
      </c>
      <c r="C247" s="1">
        <v>45542</v>
      </c>
      <c r="D247" t="s">
        <v>825</v>
      </c>
      <c r="E247" t="s">
        <v>1040</v>
      </c>
      <c r="F247" t="s">
        <v>1612</v>
      </c>
      <c r="G247" t="s">
        <v>2167</v>
      </c>
      <c r="H247" t="s">
        <v>2168</v>
      </c>
      <c r="I247" t="s">
        <v>2200</v>
      </c>
      <c r="J247" t="s">
        <v>2210</v>
      </c>
      <c r="K247" t="s">
        <v>2217</v>
      </c>
      <c r="L247" t="s">
        <v>2244</v>
      </c>
      <c r="M247" t="s">
        <v>2252</v>
      </c>
      <c r="N247">
        <v>4</v>
      </c>
      <c r="O247">
        <f t="shared" si="15"/>
        <v>77440</v>
      </c>
      <c r="P247">
        <f t="shared" si="16"/>
        <v>309760</v>
      </c>
      <c r="Q247">
        <v>0</v>
      </c>
      <c r="R247">
        <f t="shared" si="17"/>
        <v>309760</v>
      </c>
      <c r="S247" t="s">
        <v>2263</v>
      </c>
      <c r="T247" t="s">
        <v>2265</v>
      </c>
      <c r="U247" s="1" t="str">
        <f t="shared" si="18"/>
        <v>Not Delivered</v>
      </c>
      <c r="V247">
        <f t="shared" si="19"/>
        <v>46464</v>
      </c>
    </row>
    <row r="248" spans="1:22" x14ac:dyDescent="0.3">
      <c r="A248" t="s">
        <v>266</v>
      </c>
      <c r="B248">
        <v>2025</v>
      </c>
      <c r="C248" s="1">
        <v>45660</v>
      </c>
      <c r="D248" t="s">
        <v>824</v>
      </c>
      <c r="E248" t="s">
        <v>1041</v>
      </c>
      <c r="F248" t="s">
        <v>1613</v>
      </c>
      <c r="G248" t="s">
        <v>2167</v>
      </c>
      <c r="H248" t="s">
        <v>2173</v>
      </c>
      <c r="I248" t="s">
        <v>2204</v>
      </c>
      <c r="J248" t="s">
        <v>2212</v>
      </c>
      <c r="K248" t="s">
        <v>2225</v>
      </c>
      <c r="L248" t="s">
        <v>2243</v>
      </c>
      <c r="M248" t="s">
        <v>2257</v>
      </c>
      <c r="N248">
        <v>1</v>
      </c>
      <c r="O248">
        <f t="shared" si="15"/>
        <v>77440</v>
      </c>
      <c r="P248">
        <f t="shared" si="16"/>
        <v>77440</v>
      </c>
      <c r="Q248">
        <v>0</v>
      </c>
      <c r="R248">
        <f t="shared" si="17"/>
        <v>77440</v>
      </c>
      <c r="S248" t="s">
        <v>2260</v>
      </c>
      <c r="T248" t="s">
        <v>2264</v>
      </c>
      <c r="U248" s="1" t="str">
        <f t="shared" si="18"/>
        <v>Not Delivered</v>
      </c>
      <c r="V248">
        <f t="shared" si="19"/>
        <v>11616</v>
      </c>
    </row>
    <row r="249" spans="1:22" x14ac:dyDescent="0.3">
      <c r="A249" t="s">
        <v>267</v>
      </c>
      <c r="B249">
        <v>2025</v>
      </c>
      <c r="C249" s="1">
        <v>45667</v>
      </c>
      <c r="D249" t="s">
        <v>820</v>
      </c>
      <c r="E249" t="s">
        <v>1042</v>
      </c>
      <c r="F249" t="s">
        <v>1614</v>
      </c>
      <c r="G249" t="s">
        <v>2167</v>
      </c>
      <c r="H249" t="s">
        <v>2173</v>
      </c>
      <c r="I249" t="s">
        <v>2204</v>
      </c>
      <c r="J249" t="s">
        <v>2213</v>
      </c>
      <c r="K249" t="s">
        <v>2217</v>
      </c>
      <c r="L249" t="s">
        <v>2244</v>
      </c>
      <c r="M249" t="s">
        <v>2257</v>
      </c>
      <c r="N249">
        <v>1</v>
      </c>
      <c r="O249">
        <f t="shared" si="15"/>
        <v>77440</v>
      </c>
      <c r="P249">
        <f t="shared" si="16"/>
        <v>77440</v>
      </c>
      <c r="Q249">
        <v>15</v>
      </c>
      <c r="R249">
        <f t="shared" si="17"/>
        <v>65824</v>
      </c>
      <c r="S249" t="s">
        <v>2261</v>
      </c>
      <c r="T249" t="s">
        <v>2266</v>
      </c>
      <c r="U249" s="1">
        <f t="shared" si="18"/>
        <v>45674</v>
      </c>
      <c r="V249">
        <f t="shared" si="19"/>
        <v>11616</v>
      </c>
    </row>
    <row r="250" spans="1:22" x14ac:dyDescent="0.3">
      <c r="A250" t="s">
        <v>268</v>
      </c>
      <c r="B250">
        <v>2025</v>
      </c>
      <c r="C250" s="1">
        <v>45823</v>
      </c>
      <c r="D250" t="s">
        <v>826</v>
      </c>
      <c r="E250" t="s">
        <v>1043</v>
      </c>
      <c r="F250" t="s">
        <v>1615</v>
      </c>
      <c r="G250" t="s">
        <v>2167</v>
      </c>
      <c r="H250" t="s">
        <v>2199</v>
      </c>
      <c r="I250" t="s">
        <v>2205</v>
      </c>
      <c r="J250" t="s">
        <v>2210</v>
      </c>
      <c r="K250" t="s">
        <v>2241</v>
      </c>
      <c r="L250" t="s">
        <v>2247</v>
      </c>
      <c r="M250" t="s">
        <v>2251</v>
      </c>
      <c r="N250">
        <v>2</v>
      </c>
      <c r="O250">
        <f t="shared" si="15"/>
        <v>77440</v>
      </c>
      <c r="P250">
        <f t="shared" si="16"/>
        <v>154880</v>
      </c>
      <c r="Q250">
        <v>10</v>
      </c>
      <c r="R250">
        <f t="shared" si="17"/>
        <v>139392</v>
      </c>
      <c r="S250" t="s">
        <v>2263</v>
      </c>
      <c r="T250" t="s">
        <v>2264</v>
      </c>
      <c r="U250" s="1" t="str">
        <f t="shared" si="18"/>
        <v>Not Delivered</v>
      </c>
      <c r="V250">
        <f t="shared" si="19"/>
        <v>23232</v>
      </c>
    </row>
    <row r="251" spans="1:22" x14ac:dyDescent="0.3">
      <c r="A251" t="s">
        <v>269</v>
      </c>
      <c r="B251">
        <v>2024</v>
      </c>
      <c r="C251" s="1">
        <v>45502</v>
      </c>
      <c r="D251" t="s">
        <v>825</v>
      </c>
      <c r="E251" t="s">
        <v>1044</v>
      </c>
      <c r="F251" t="s">
        <v>1616</v>
      </c>
      <c r="G251" t="s">
        <v>2167</v>
      </c>
      <c r="H251" t="s">
        <v>2187</v>
      </c>
      <c r="I251" t="s">
        <v>2209</v>
      </c>
      <c r="J251" t="s">
        <v>2212</v>
      </c>
      <c r="K251" t="s">
        <v>2235</v>
      </c>
      <c r="L251" t="s">
        <v>2247</v>
      </c>
      <c r="M251" t="s">
        <v>2255</v>
      </c>
      <c r="N251">
        <v>5</v>
      </c>
      <c r="O251">
        <f t="shared" si="15"/>
        <v>77440</v>
      </c>
      <c r="P251">
        <f t="shared" si="16"/>
        <v>387200</v>
      </c>
      <c r="Q251">
        <v>20</v>
      </c>
      <c r="R251">
        <f t="shared" si="17"/>
        <v>309760</v>
      </c>
      <c r="S251" t="s">
        <v>2263</v>
      </c>
      <c r="T251" t="s">
        <v>2266</v>
      </c>
      <c r="U251" s="1">
        <f t="shared" si="18"/>
        <v>45509</v>
      </c>
      <c r="V251">
        <f t="shared" si="19"/>
        <v>58080</v>
      </c>
    </row>
    <row r="252" spans="1:22" x14ac:dyDescent="0.3">
      <c r="A252" t="s">
        <v>270</v>
      </c>
      <c r="B252">
        <v>2024</v>
      </c>
      <c r="C252" s="1">
        <v>45330</v>
      </c>
      <c r="D252" t="s">
        <v>820</v>
      </c>
      <c r="E252" t="s">
        <v>1045</v>
      </c>
      <c r="F252" t="s">
        <v>1617</v>
      </c>
      <c r="G252" t="s">
        <v>2167</v>
      </c>
      <c r="H252" t="s">
        <v>2186</v>
      </c>
      <c r="I252" t="s">
        <v>2201</v>
      </c>
      <c r="J252" t="s">
        <v>2213</v>
      </c>
      <c r="K252" t="s">
        <v>2240</v>
      </c>
      <c r="L252" t="s">
        <v>2246</v>
      </c>
      <c r="M252" t="s">
        <v>2259</v>
      </c>
      <c r="N252">
        <v>4</v>
      </c>
      <c r="O252">
        <f t="shared" si="15"/>
        <v>77440</v>
      </c>
      <c r="P252">
        <f t="shared" si="16"/>
        <v>309760</v>
      </c>
      <c r="Q252">
        <v>20</v>
      </c>
      <c r="R252">
        <f t="shared" si="17"/>
        <v>247808</v>
      </c>
      <c r="S252" t="s">
        <v>2263</v>
      </c>
      <c r="T252" t="s">
        <v>2266</v>
      </c>
      <c r="U252" s="1">
        <f t="shared" si="18"/>
        <v>45337</v>
      </c>
      <c r="V252">
        <f t="shared" si="19"/>
        <v>46464</v>
      </c>
    </row>
    <row r="253" spans="1:22" x14ac:dyDescent="0.3">
      <c r="A253" t="s">
        <v>271</v>
      </c>
      <c r="B253">
        <v>2024</v>
      </c>
      <c r="C253" s="1">
        <v>45608</v>
      </c>
      <c r="D253" t="s">
        <v>827</v>
      </c>
      <c r="E253" t="s">
        <v>976</v>
      </c>
      <c r="F253" t="s">
        <v>1618</v>
      </c>
      <c r="G253" t="s">
        <v>2167</v>
      </c>
      <c r="H253" t="s">
        <v>2184</v>
      </c>
      <c r="I253" t="s">
        <v>2202</v>
      </c>
      <c r="J253" t="s">
        <v>2212</v>
      </c>
      <c r="K253" t="s">
        <v>2214</v>
      </c>
      <c r="L253" t="s">
        <v>2242</v>
      </c>
      <c r="M253" t="s">
        <v>2251</v>
      </c>
      <c r="N253">
        <v>2</v>
      </c>
      <c r="O253">
        <f t="shared" si="15"/>
        <v>77440</v>
      </c>
      <c r="P253">
        <f t="shared" si="16"/>
        <v>154880</v>
      </c>
      <c r="Q253">
        <v>15</v>
      </c>
      <c r="R253">
        <f t="shared" si="17"/>
        <v>131648</v>
      </c>
      <c r="S253" t="s">
        <v>2261</v>
      </c>
      <c r="T253" t="s">
        <v>2264</v>
      </c>
      <c r="U253" s="1" t="str">
        <f t="shared" si="18"/>
        <v>Not Delivered</v>
      </c>
      <c r="V253">
        <f t="shared" si="19"/>
        <v>23232</v>
      </c>
    </row>
    <row r="254" spans="1:22" x14ac:dyDescent="0.3">
      <c r="A254" t="s">
        <v>272</v>
      </c>
      <c r="B254">
        <v>2025</v>
      </c>
      <c r="C254" s="1">
        <v>45661</v>
      </c>
      <c r="D254" t="s">
        <v>828</v>
      </c>
      <c r="E254" t="s">
        <v>1046</v>
      </c>
      <c r="F254" t="s">
        <v>1619</v>
      </c>
      <c r="G254" t="s">
        <v>2167</v>
      </c>
      <c r="H254" t="s">
        <v>2183</v>
      </c>
      <c r="I254" t="s">
        <v>2204</v>
      </c>
      <c r="J254" t="s">
        <v>2211</v>
      </c>
      <c r="K254" t="s">
        <v>2237</v>
      </c>
      <c r="L254" t="s">
        <v>2246</v>
      </c>
      <c r="M254" t="s">
        <v>2256</v>
      </c>
      <c r="N254">
        <v>4</v>
      </c>
      <c r="O254">
        <f t="shared" si="15"/>
        <v>77440</v>
      </c>
      <c r="P254">
        <f t="shared" si="16"/>
        <v>309760</v>
      </c>
      <c r="Q254">
        <v>0</v>
      </c>
      <c r="R254">
        <f t="shared" si="17"/>
        <v>309760</v>
      </c>
      <c r="S254" t="s">
        <v>2263</v>
      </c>
      <c r="T254" t="s">
        <v>2265</v>
      </c>
      <c r="U254" s="1" t="str">
        <f t="shared" si="18"/>
        <v>Not Delivered</v>
      </c>
      <c r="V254">
        <f t="shared" si="19"/>
        <v>46464</v>
      </c>
    </row>
    <row r="255" spans="1:22" x14ac:dyDescent="0.3">
      <c r="A255" t="s">
        <v>273</v>
      </c>
      <c r="B255">
        <v>2024</v>
      </c>
      <c r="C255" s="1">
        <v>45395</v>
      </c>
      <c r="D255" t="s">
        <v>820</v>
      </c>
      <c r="E255" t="s">
        <v>1047</v>
      </c>
      <c r="F255" t="s">
        <v>1620</v>
      </c>
      <c r="G255" t="s">
        <v>2167</v>
      </c>
      <c r="H255" t="s">
        <v>2181</v>
      </c>
      <c r="I255" t="s">
        <v>2209</v>
      </c>
      <c r="J255" t="s">
        <v>2213</v>
      </c>
      <c r="K255" t="s">
        <v>2216</v>
      </c>
      <c r="L255" t="s">
        <v>2242</v>
      </c>
      <c r="M255" t="s">
        <v>2253</v>
      </c>
      <c r="N255">
        <v>5</v>
      </c>
      <c r="O255">
        <f t="shared" si="15"/>
        <v>77440</v>
      </c>
      <c r="P255">
        <f t="shared" si="16"/>
        <v>387200</v>
      </c>
      <c r="Q255">
        <v>15</v>
      </c>
      <c r="R255">
        <f t="shared" si="17"/>
        <v>329120</v>
      </c>
      <c r="S255" t="s">
        <v>2260</v>
      </c>
      <c r="T255" t="s">
        <v>2266</v>
      </c>
      <c r="U255" s="1">
        <f t="shared" si="18"/>
        <v>45402</v>
      </c>
      <c r="V255">
        <f t="shared" si="19"/>
        <v>58080</v>
      </c>
    </row>
    <row r="256" spans="1:22" x14ac:dyDescent="0.3">
      <c r="A256" t="s">
        <v>274</v>
      </c>
      <c r="B256">
        <v>2024</v>
      </c>
      <c r="C256" s="1">
        <v>45636</v>
      </c>
      <c r="D256" t="s">
        <v>821</v>
      </c>
      <c r="E256" t="s">
        <v>1048</v>
      </c>
      <c r="F256" t="s">
        <v>1621</v>
      </c>
      <c r="G256" t="s">
        <v>2167</v>
      </c>
      <c r="H256" t="s">
        <v>2170</v>
      </c>
      <c r="I256" t="s">
        <v>2201</v>
      </c>
      <c r="J256" t="s">
        <v>2211</v>
      </c>
      <c r="K256" t="s">
        <v>2214</v>
      </c>
      <c r="L256" t="s">
        <v>2242</v>
      </c>
      <c r="M256" t="s">
        <v>2250</v>
      </c>
      <c r="N256">
        <v>2</v>
      </c>
      <c r="O256">
        <f t="shared" si="15"/>
        <v>77440</v>
      </c>
      <c r="P256">
        <f t="shared" si="16"/>
        <v>154880</v>
      </c>
      <c r="Q256">
        <v>0</v>
      </c>
      <c r="R256">
        <f t="shared" si="17"/>
        <v>154880</v>
      </c>
      <c r="S256" t="s">
        <v>2260</v>
      </c>
      <c r="T256" t="s">
        <v>2266</v>
      </c>
      <c r="U256" s="1">
        <f t="shared" si="18"/>
        <v>45643</v>
      </c>
      <c r="V256">
        <f t="shared" si="19"/>
        <v>23232</v>
      </c>
    </row>
    <row r="257" spans="1:22" x14ac:dyDescent="0.3">
      <c r="A257" t="s">
        <v>275</v>
      </c>
      <c r="B257">
        <v>2024</v>
      </c>
      <c r="C257" s="1">
        <v>45393</v>
      </c>
      <c r="D257" t="s">
        <v>820</v>
      </c>
      <c r="E257" t="s">
        <v>1021</v>
      </c>
      <c r="F257" t="s">
        <v>1622</v>
      </c>
      <c r="G257" t="s">
        <v>2167</v>
      </c>
      <c r="H257" t="s">
        <v>2169</v>
      </c>
      <c r="I257" t="s">
        <v>2201</v>
      </c>
      <c r="J257" t="s">
        <v>2210</v>
      </c>
      <c r="K257" t="s">
        <v>2217</v>
      </c>
      <c r="L257" t="s">
        <v>2244</v>
      </c>
      <c r="M257" t="s">
        <v>2258</v>
      </c>
      <c r="N257">
        <v>5</v>
      </c>
      <c r="O257">
        <f t="shared" si="15"/>
        <v>77440</v>
      </c>
      <c r="P257">
        <f t="shared" si="16"/>
        <v>387200</v>
      </c>
      <c r="Q257">
        <v>15</v>
      </c>
      <c r="R257">
        <f t="shared" si="17"/>
        <v>329120</v>
      </c>
      <c r="S257" t="s">
        <v>2263</v>
      </c>
      <c r="T257" t="s">
        <v>2264</v>
      </c>
      <c r="U257" s="1" t="str">
        <f t="shared" si="18"/>
        <v>Not Delivered</v>
      </c>
      <c r="V257">
        <f t="shared" si="19"/>
        <v>58080</v>
      </c>
    </row>
    <row r="258" spans="1:22" x14ac:dyDescent="0.3">
      <c r="A258" t="s">
        <v>276</v>
      </c>
      <c r="B258">
        <v>2024</v>
      </c>
      <c r="C258" s="1">
        <v>45649</v>
      </c>
      <c r="D258" t="s">
        <v>829</v>
      </c>
      <c r="E258" t="s">
        <v>1049</v>
      </c>
      <c r="F258" t="s">
        <v>1623</v>
      </c>
      <c r="G258" t="s">
        <v>2167</v>
      </c>
      <c r="H258" t="s">
        <v>2195</v>
      </c>
      <c r="I258" t="s">
        <v>2206</v>
      </c>
      <c r="J258" t="s">
        <v>2213</v>
      </c>
      <c r="K258" t="s">
        <v>2233</v>
      </c>
      <c r="L258" t="s">
        <v>2245</v>
      </c>
      <c r="M258" t="s">
        <v>2253</v>
      </c>
      <c r="N258">
        <v>4</v>
      </c>
      <c r="O258">
        <f t="shared" si="15"/>
        <v>77440</v>
      </c>
      <c r="P258">
        <f t="shared" si="16"/>
        <v>309760</v>
      </c>
      <c r="Q258">
        <v>15</v>
      </c>
      <c r="R258">
        <f t="shared" si="17"/>
        <v>263296</v>
      </c>
      <c r="S258" t="s">
        <v>2260</v>
      </c>
      <c r="T258" t="s">
        <v>2266</v>
      </c>
      <c r="U258" s="1">
        <f t="shared" si="18"/>
        <v>45656</v>
      </c>
      <c r="V258">
        <f t="shared" si="19"/>
        <v>46464</v>
      </c>
    </row>
    <row r="259" spans="1:22" x14ac:dyDescent="0.3">
      <c r="A259" t="s">
        <v>277</v>
      </c>
      <c r="B259">
        <v>2024</v>
      </c>
      <c r="C259" s="1">
        <v>45489</v>
      </c>
      <c r="D259" t="s">
        <v>821</v>
      </c>
      <c r="E259" t="s">
        <v>1050</v>
      </c>
      <c r="F259" t="s">
        <v>1624</v>
      </c>
      <c r="G259" t="s">
        <v>2167</v>
      </c>
      <c r="H259" t="s">
        <v>2192</v>
      </c>
      <c r="I259" t="s">
        <v>2207</v>
      </c>
      <c r="J259" t="s">
        <v>2212</v>
      </c>
      <c r="K259" t="s">
        <v>2226</v>
      </c>
      <c r="L259" t="s">
        <v>2244</v>
      </c>
      <c r="M259" t="s">
        <v>2252</v>
      </c>
      <c r="N259">
        <v>5</v>
      </c>
      <c r="O259">
        <f t="shared" ref="O259:O322" si="20">ROUNDUP((77431.41),-1)</f>
        <v>77440</v>
      </c>
      <c r="P259">
        <f t="shared" ref="P259:P322" si="21">O259*N259</f>
        <v>387200</v>
      </c>
      <c r="Q259">
        <v>5</v>
      </c>
      <c r="R259">
        <f t="shared" ref="R259:R322" si="22">P259*(1-Q259/100)</f>
        <v>367840</v>
      </c>
      <c r="S259" t="s">
        <v>2263</v>
      </c>
      <c r="T259" t="s">
        <v>2264</v>
      </c>
      <c r="U259" s="1" t="str">
        <f t="shared" ref="U259:U322" si="23">IF(T259="Delivered", C259 + 7, "Not Delivered")</f>
        <v>Not Delivered</v>
      </c>
      <c r="V259">
        <f t="shared" ref="V259:V322" si="24">P259*15%</f>
        <v>58080</v>
      </c>
    </row>
    <row r="260" spans="1:22" x14ac:dyDescent="0.3">
      <c r="A260" t="s">
        <v>278</v>
      </c>
      <c r="B260">
        <v>2024</v>
      </c>
      <c r="C260" s="1">
        <v>45408</v>
      </c>
      <c r="D260" t="s">
        <v>825</v>
      </c>
      <c r="E260" t="s">
        <v>1051</v>
      </c>
      <c r="F260" t="s">
        <v>1625</v>
      </c>
      <c r="G260" t="s">
        <v>2167</v>
      </c>
      <c r="H260" t="s">
        <v>2182</v>
      </c>
      <c r="I260" t="s">
        <v>2206</v>
      </c>
      <c r="J260" t="s">
        <v>2210</v>
      </c>
      <c r="K260" t="s">
        <v>2216</v>
      </c>
      <c r="L260" t="s">
        <v>2242</v>
      </c>
      <c r="M260" t="s">
        <v>2256</v>
      </c>
      <c r="N260">
        <v>4</v>
      </c>
      <c r="O260">
        <f t="shared" si="20"/>
        <v>77440</v>
      </c>
      <c r="P260">
        <f t="shared" si="21"/>
        <v>309760</v>
      </c>
      <c r="Q260">
        <v>20</v>
      </c>
      <c r="R260">
        <f t="shared" si="22"/>
        <v>247808</v>
      </c>
      <c r="S260" t="s">
        <v>2260</v>
      </c>
      <c r="T260" t="s">
        <v>2265</v>
      </c>
      <c r="U260" s="1" t="str">
        <f t="shared" si="23"/>
        <v>Not Delivered</v>
      </c>
      <c r="V260">
        <f t="shared" si="24"/>
        <v>46464</v>
      </c>
    </row>
    <row r="261" spans="1:22" x14ac:dyDescent="0.3">
      <c r="A261" t="s">
        <v>279</v>
      </c>
      <c r="B261">
        <v>2025</v>
      </c>
      <c r="C261" s="1">
        <v>45776</v>
      </c>
      <c r="D261" t="s">
        <v>824</v>
      </c>
      <c r="E261" t="s">
        <v>960</v>
      </c>
      <c r="F261" t="s">
        <v>1626</v>
      </c>
      <c r="G261" t="s">
        <v>2167</v>
      </c>
      <c r="H261" t="s">
        <v>2176</v>
      </c>
      <c r="I261" t="s">
        <v>2205</v>
      </c>
      <c r="J261" t="s">
        <v>2212</v>
      </c>
      <c r="K261" t="s">
        <v>2228</v>
      </c>
      <c r="L261" t="s">
        <v>2243</v>
      </c>
      <c r="M261" t="s">
        <v>2249</v>
      </c>
      <c r="N261">
        <v>1</v>
      </c>
      <c r="O261">
        <f t="shared" si="20"/>
        <v>77440</v>
      </c>
      <c r="P261">
        <f t="shared" si="21"/>
        <v>77440</v>
      </c>
      <c r="Q261">
        <v>0</v>
      </c>
      <c r="R261">
        <f t="shared" si="22"/>
        <v>77440</v>
      </c>
      <c r="S261" t="s">
        <v>2261</v>
      </c>
      <c r="T261" t="s">
        <v>2265</v>
      </c>
      <c r="U261" s="1" t="str">
        <f t="shared" si="23"/>
        <v>Not Delivered</v>
      </c>
      <c r="V261">
        <f t="shared" si="24"/>
        <v>11616</v>
      </c>
    </row>
    <row r="262" spans="1:22" x14ac:dyDescent="0.3">
      <c r="A262" t="s">
        <v>280</v>
      </c>
      <c r="B262">
        <v>2025</v>
      </c>
      <c r="C262" s="1">
        <v>45667</v>
      </c>
      <c r="D262" t="s">
        <v>825</v>
      </c>
      <c r="E262" t="s">
        <v>982</v>
      </c>
      <c r="F262" t="s">
        <v>1627</v>
      </c>
      <c r="G262" t="s">
        <v>2167</v>
      </c>
      <c r="H262" t="s">
        <v>2189</v>
      </c>
      <c r="I262" t="s">
        <v>2202</v>
      </c>
      <c r="J262" t="s">
        <v>2210</v>
      </c>
      <c r="K262" t="s">
        <v>2234</v>
      </c>
      <c r="L262" t="s">
        <v>2244</v>
      </c>
      <c r="M262" t="s">
        <v>2256</v>
      </c>
      <c r="N262">
        <v>1</v>
      </c>
      <c r="O262">
        <f t="shared" si="20"/>
        <v>77440</v>
      </c>
      <c r="P262">
        <f t="shared" si="21"/>
        <v>77440</v>
      </c>
      <c r="Q262">
        <v>15</v>
      </c>
      <c r="R262">
        <f t="shared" si="22"/>
        <v>65824</v>
      </c>
      <c r="S262" t="s">
        <v>2262</v>
      </c>
      <c r="T262" t="s">
        <v>2266</v>
      </c>
      <c r="U262" s="1">
        <f t="shared" si="23"/>
        <v>45674</v>
      </c>
      <c r="V262">
        <f t="shared" si="24"/>
        <v>11616</v>
      </c>
    </row>
    <row r="263" spans="1:22" x14ac:dyDescent="0.3">
      <c r="A263" t="s">
        <v>281</v>
      </c>
      <c r="B263">
        <v>2025</v>
      </c>
      <c r="C263" s="1">
        <v>45677</v>
      </c>
      <c r="D263" t="s">
        <v>827</v>
      </c>
      <c r="E263" t="s">
        <v>1052</v>
      </c>
      <c r="F263" t="s">
        <v>1628</v>
      </c>
      <c r="G263" t="s">
        <v>2167</v>
      </c>
      <c r="H263" t="s">
        <v>2188</v>
      </c>
      <c r="I263" t="s">
        <v>2208</v>
      </c>
      <c r="J263" t="s">
        <v>2212</v>
      </c>
      <c r="K263" t="s">
        <v>2230</v>
      </c>
      <c r="L263" t="s">
        <v>2247</v>
      </c>
      <c r="M263" t="s">
        <v>2253</v>
      </c>
      <c r="N263">
        <v>2</v>
      </c>
      <c r="O263">
        <f t="shared" si="20"/>
        <v>77440</v>
      </c>
      <c r="P263">
        <f t="shared" si="21"/>
        <v>154880</v>
      </c>
      <c r="Q263">
        <v>5</v>
      </c>
      <c r="R263">
        <f t="shared" si="22"/>
        <v>147136</v>
      </c>
      <c r="S263" t="s">
        <v>2261</v>
      </c>
      <c r="T263" t="s">
        <v>2266</v>
      </c>
      <c r="U263" s="1">
        <f t="shared" si="23"/>
        <v>45684</v>
      </c>
      <c r="V263">
        <f t="shared" si="24"/>
        <v>23232</v>
      </c>
    </row>
    <row r="264" spans="1:22" x14ac:dyDescent="0.3">
      <c r="A264" t="s">
        <v>282</v>
      </c>
      <c r="B264">
        <v>2024</v>
      </c>
      <c r="C264" s="1">
        <v>45307</v>
      </c>
      <c r="D264" t="s">
        <v>828</v>
      </c>
      <c r="E264" t="s">
        <v>932</v>
      </c>
      <c r="F264" t="s">
        <v>1629</v>
      </c>
      <c r="G264" t="s">
        <v>2167</v>
      </c>
      <c r="H264" t="s">
        <v>2170</v>
      </c>
      <c r="I264" t="s">
        <v>2201</v>
      </c>
      <c r="J264" t="s">
        <v>2213</v>
      </c>
      <c r="K264" t="s">
        <v>2241</v>
      </c>
      <c r="L264" t="s">
        <v>2247</v>
      </c>
      <c r="M264" t="s">
        <v>2259</v>
      </c>
      <c r="N264">
        <v>4</v>
      </c>
      <c r="O264">
        <f t="shared" si="20"/>
        <v>77440</v>
      </c>
      <c r="P264">
        <f t="shared" si="21"/>
        <v>309760</v>
      </c>
      <c r="Q264">
        <v>0</v>
      </c>
      <c r="R264">
        <f t="shared" si="22"/>
        <v>309760</v>
      </c>
      <c r="S264" t="s">
        <v>2263</v>
      </c>
      <c r="T264" t="s">
        <v>2266</v>
      </c>
      <c r="U264" s="1">
        <f t="shared" si="23"/>
        <v>45314</v>
      </c>
      <c r="V264">
        <f t="shared" si="24"/>
        <v>46464</v>
      </c>
    </row>
    <row r="265" spans="1:22" x14ac:dyDescent="0.3">
      <c r="A265" t="s">
        <v>283</v>
      </c>
      <c r="B265">
        <v>2025</v>
      </c>
      <c r="C265" s="1">
        <v>45676</v>
      </c>
      <c r="D265" t="s">
        <v>824</v>
      </c>
      <c r="E265" t="s">
        <v>1053</v>
      </c>
      <c r="F265" t="s">
        <v>1630</v>
      </c>
      <c r="G265" t="s">
        <v>2167</v>
      </c>
      <c r="H265" t="s">
        <v>2183</v>
      </c>
      <c r="I265" t="s">
        <v>2204</v>
      </c>
      <c r="J265" t="s">
        <v>2212</v>
      </c>
      <c r="K265" t="s">
        <v>2214</v>
      </c>
      <c r="L265" t="s">
        <v>2242</v>
      </c>
      <c r="M265" t="s">
        <v>2256</v>
      </c>
      <c r="N265">
        <v>4</v>
      </c>
      <c r="O265">
        <f t="shared" si="20"/>
        <v>77440</v>
      </c>
      <c r="P265">
        <f t="shared" si="21"/>
        <v>309760</v>
      </c>
      <c r="Q265">
        <v>10</v>
      </c>
      <c r="R265">
        <f t="shared" si="22"/>
        <v>278784</v>
      </c>
      <c r="S265" t="s">
        <v>2262</v>
      </c>
      <c r="T265" t="s">
        <v>2266</v>
      </c>
      <c r="U265" s="1">
        <f t="shared" si="23"/>
        <v>45683</v>
      </c>
      <c r="V265">
        <f t="shared" si="24"/>
        <v>46464</v>
      </c>
    </row>
    <row r="266" spans="1:22" x14ac:dyDescent="0.3">
      <c r="A266" t="s">
        <v>284</v>
      </c>
      <c r="B266">
        <v>2025</v>
      </c>
      <c r="C266" s="1">
        <v>45730</v>
      </c>
      <c r="D266" t="s">
        <v>820</v>
      </c>
      <c r="E266" t="s">
        <v>1054</v>
      </c>
      <c r="F266" t="s">
        <v>1631</v>
      </c>
      <c r="G266" t="s">
        <v>2167</v>
      </c>
      <c r="H266" t="s">
        <v>2188</v>
      </c>
      <c r="I266" t="s">
        <v>2208</v>
      </c>
      <c r="J266" t="s">
        <v>2213</v>
      </c>
      <c r="K266" t="s">
        <v>2238</v>
      </c>
      <c r="L266" t="s">
        <v>2246</v>
      </c>
      <c r="M266" t="s">
        <v>2248</v>
      </c>
      <c r="N266">
        <v>3</v>
      </c>
      <c r="O266">
        <f t="shared" si="20"/>
        <v>77440</v>
      </c>
      <c r="P266">
        <f t="shared" si="21"/>
        <v>232320</v>
      </c>
      <c r="Q266">
        <v>10</v>
      </c>
      <c r="R266">
        <f t="shared" si="22"/>
        <v>209088</v>
      </c>
      <c r="S266" t="s">
        <v>2261</v>
      </c>
      <c r="T266" t="s">
        <v>2266</v>
      </c>
      <c r="U266" s="1">
        <f t="shared" si="23"/>
        <v>45737</v>
      </c>
      <c r="V266">
        <f t="shared" si="24"/>
        <v>34848</v>
      </c>
    </row>
    <row r="267" spans="1:22" x14ac:dyDescent="0.3">
      <c r="A267" t="s">
        <v>285</v>
      </c>
      <c r="B267">
        <v>2025</v>
      </c>
      <c r="C267" s="1">
        <v>45839</v>
      </c>
      <c r="D267" t="s">
        <v>824</v>
      </c>
      <c r="E267" t="s">
        <v>884</v>
      </c>
      <c r="F267" t="s">
        <v>1632</v>
      </c>
      <c r="G267" t="s">
        <v>2167</v>
      </c>
      <c r="H267" t="s">
        <v>2170</v>
      </c>
      <c r="I267" t="s">
        <v>2201</v>
      </c>
      <c r="J267" t="s">
        <v>2211</v>
      </c>
      <c r="K267" t="s">
        <v>2240</v>
      </c>
      <c r="L267" t="s">
        <v>2246</v>
      </c>
      <c r="M267" t="s">
        <v>2253</v>
      </c>
      <c r="N267">
        <v>5</v>
      </c>
      <c r="O267">
        <f t="shared" si="20"/>
        <v>77440</v>
      </c>
      <c r="P267">
        <f t="shared" si="21"/>
        <v>387200</v>
      </c>
      <c r="Q267">
        <v>20</v>
      </c>
      <c r="R267">
        <f t="shared" si="22"/>
        <v>309760</v>
      </c>
      <c r="S267" t="s">
        <v>2262</v>
      </c>
      <c r="T267" t="s">
        <v>2265</v>
      </c>
      <c r="U267" s="1" t="str">
        <f t="shared" si="23"/>
        <v>Not Delivered</v>
      </c>
      <c r="V267">
        <f t="shared" si="24"/>
        <v>58080</v>
      </c>
    </row>
    <row r="268" spans="1:22" x14ac:dyDescent="0.3">
      <c r="A268" t="s">
        <v>286</v>
      </c>
      <c r="B268">
        <v>2024</v>
      </c>
      <c r="C268" s="1">
        <v>45566</v>
      </c>
      <c r="D268" t="s">
        <v>829</v>
      </c>
      <c r="E268" t="s">
        <v>1055</v>
      </c>
      <c r="F268" t="s">
        <v>1633</v>
      </c>
      <c r="G268" t="s">
        <v>2167</v>
      </c>
      <c r="H268" t="s">
        <v>2178</v>
      </c>
      <c r="I268" t="s">
        <v>2207</v>
      </c>
      <c r="J268" t="s">
        <v>2211</v>
      </c>
      <c r="K268" t="s">
        <v>2239</v>
      </c>
      <c r="L268" t="s">
        <v>2245</v>
      </c>
      <c r="M268" t="s">
        <v>2252</v>
      </c>
      <c r="N268">
        <v>1</v>
      </c>
      <c r="O268">
        <f t="shared" si="20"/>
        <v>77440</v>
      </c>
      <c r="P268">
        <f t="shared" si="21"/>
        <v>77440</v>
      </c>
      <c r="Q268">
        <v>10</v>
      </c>
      <c r="R268">
        <f t="shared" si="22"/>
        <v>69696</v>
      </c>
      <c r="S268" t="s">
        <v>2260</v>
      </c>
      <c r="T268" t="s">
        <v>2265</v>
      </c>
      <c r="U268" s="1" t="str">
        <f t="shared" si="23"/>
        <v>Not Delivered</v>
      </c>
      <c r="V268">
        <f t="shared" si="24"/>
        <v>11616</v>
      </c>
    </row>
    <row r="269" spans="1:22" x14ac:dyDescent="0.3">
      <c r="A269" t="s">
        <v>287</v>
      </c>
      <c r="B269">
        <v>2024</v>
      </c>
      <c r="C269" s="1">
        <v>45450</v>
      </c>
      <c r="D269" t="s">
        <v>824</v>
      </c>
      <c r="E269" t="s">
        <v>887</v>
      </c>
      <c r="F269" t="s">
        <v>1634</v>
      </c>
      <c r="G269" t="s">
        <v>2167</v>
      </c>
      <c r="H269" t="s">
        <v>2199</v>
      </c>
      <c r="I269" t="s">
        <v>2205</v>
      </c>
      <c r="J269" t="s">
        <v>2212</v>
      </c>
      <c r="K269" t="s">
        <v>2223</v>
      </c>
      <c r="L269" t="s">
        <v>2245</v>
      </c>
      <c r="M269" t="s">
        <v>2258</v>
      </c>
      <c r="N269">
        <v>5</v>
      </c>
      <c r="O269">
        <f t="shared" si="20"/>
        <v>77440</v>
      </c>
      <c r="P269">
        <f t="shared" si="21"/>
        <v>387200</v>
      </c>
      <c r="Q269">
        <v>5</v>
      </c>
      <c r="R269">
        <f t="shared" si="22"/>
        <v>367840</v>
      </c>
      <c r="S269" t="s">
        <v>2263</v>
      </c>
      <c r="T269" t="s">
        <v>2264</v>
      </c>
      <c r="U269" s="1" t="str">
        <f t="shared" si="23"/>
        <v>Not Delivered</v>
      </c>
      <c r="V269">
        <f t="shared" si="24"/>
        <v>58080</v>
      </c>
    </row>
    <row r="270" spans="1:22" x14ac:dyDescent="0.3">
      <c r="A270" t="s">
        <v>288</v>
      </c>
      <c r="B270">
        <v>2024</v>
      </c>
      <c r="C270" s="1">
        <v>45441</v>
      </c>
      <c r="D270" t="s">
        <v>822</v>
      </c>
      <c r="E270" t="s">
        <v>1056</v>
      </c>
      <c r="F270" t="s">
        <v>1635</v>
      </c>
      <c r="G270" t="s">
        <v>2167</v>
      </c>
      <c r="H270" t="s">
        <v>2186</v>
      </c>
      <c r="I270" t="s">
        <v>2201</v>
      </c>
      <c r="J270" t="s">
        <v>2213</v>
      </c>
      <c r="K270" t="s">
        <v>2221</v>
      </c>
      <c r="L270" t="s">
        <v>2246</v>
      </c>
      <c r="M270" t="s">
        <v>2259</v>
      </c>
      <c r="N270">
        <v>2</v>
      </c>
      <c r="O270">
        <f t="shared" si="20"/>
        <v>77440</v>
      </c>
      <c r="P270">
        <f t="shared" si="21"/>
        <v>154880</v>
      </c>
      <c r="Q270">
        <v>0</v>
      </c>
      <c r="R270">
        <f t="shared" si="22"/>
        <v>154880</v>
      </c>
      <c r="S270" t="s">
        <v>2263</v>
      </c>
      <c r="T270" t="s">
        <v>2266</v>
      </c>
      <c r="U270" s="1">
        <f t="shared" si="23"/>
        <v>45448</v>
      </c>
      <c r="V270">
        <f t="shared" si="24"/>
        <v>23232</v>
      </c>
    </row>
    <row r="271" spans="1:22" x14ac:dyDescent="0.3">
      <c r="A271" t="s">
        <v>289</v>
      </c>
      <c r="B271">
        <v>2024</v>
      </c>
      <c r="C271" s="1">
        <v>45301</v>
      </c>
      <c r="D271" t="s">
        <v>820</v>
      </c>
      <c r="E271" t="s">
        <v>1057</v>
      </c>
      <c r="F271" t="s">
        <v>1636</v>
      </c>
      <c r="G271" t="s">
        <v>2167</v>
      </c>
      <c r="H271" t="s">
        <v>2171</v>
      </c>
      <c r="I271" t="s">
        <v>2202</v>
      </c>
      <c r="J271" t="s">
        <v>2211</v>
      </c>
      <c r="K271" t="s">
        <v>2236</v>
      </c>
      <c r="L271" t="s">
        <v>2242</v>
      </c>
      <c r="M271" t="s">
        <v>2251</v>
      </c>
      <c r="N271">
        <v>2</v>
      </c>
      <c r="O271">
        <f t="shared" si="20"/>
        <v>77440</v>
      </c>
      <c r="P271">
        <f t="shared" si="21"/>
        <v>154880</v>
      </c>
      <c r="Q271">
        <v>20</v>
      </c>
      <c r="R271">
        <f t="shared" si="22"/>
        <v>123904</v>
      </c>
      <c r="S271" t="s">
        <v>2260</v>
      </c>
      <c r="T271" t="s">
        <v>2264</v>
      </c>
      <c r="U271" s="1" t="str">
        <f t="shared" si="23"/>
        <v>Not Delivered</v>
      </c>
      <c r="V271">
        <f t="shared" si="24"/>
        <v>23232</v>
      </c>
    </row>
    <row r="272" spans="1:22" x14ac:dyDescent="0.3">
      <c r="A272" t="s">
        <v>290</v>
      </c>
      <c r="B272">
        <v>2024</v>
      </c>
      <c r="C272" s="1">
        <v>45418</v>
      </c>
      <c r="D272" t="s">
        <v>820</v>
      </c>
      <c r="E272" t="s">
        <v>1058</v>
      </c>
      <c r="F272" t="s">
        <v>1637</v>
      </c>
      <c r="G272" t="s">
        <v>2167</v>
      </c>
      <c r="H272" t="s">
        <v>2171</v>
      </c>
      <c r="I272" t="s">
        <v>2202</v>
      </c>
      <c r="J272" t="s">
        <v>2212</v>
      </c>
      <c r="K272" t="s">
        <v>2226</v>
      </c>
      <c r="L272" t="s">
        <v>2244</v>
      </c>
      <c r="M272" t="s">
        <v>2257</v>
      </c>
      <c r="N272">
        <v>5</v>
      </c>
      <c r="O272">
        <f t="shared" si="20"/>
        <v>77440</v>
      </c>
      <c r="P272">
        <f t="shared" si="21"/>
        <v>387200</v>
      </c>
      <c r="Q272">
        <v>10</v>
      </c>
      <c r="R272">
        <f t="shared" si="22"/>
        <v>348480</v>
      </c>
      <c r="S272" t="s">
        <v>2260</v>
      </c>
      <c r="T272" t="s">
        <v>2265</v>
      </c>
      <c r="U272" s="1" t="str">
        <f t="shared" si="23"/>
        <v>Not Delivered</v>
      </c>
      <c r="V272">
        <f t="shared" si="24"/>
        <v>58080</v>
      </c>
    </row>
    <row r="273" spans="1:22" x14ac:dyDescent="0.3">
      <c r="A273" t="s">
        <v>291</v>
      </c>
      <c r="B273">
        <v>2025</v>
      </c>
      <c r="C273" s="1">
        <v>45758</v>
      </c>
      <c r="D273" t="s">
        <v>821</v>
      </c>
      <c r="E273" t="s">
        <v>1059</v>
      </c>
      <c r="F273" t="s">
        <v>1638</v>
      </c>
      <c r="G273" t="s">
        <v>2167</v>
      </c>
      <c r="H273" t="s">
        <v>2196</v>
      </c>
      <c r="I273" t="s">
        <v>2205</v>
      </c>
      <c r="J273" t="s">
        <v>2213</v>
      </c>
      <c r="K273" t="s">
        <v>2232</v>
      </c>
      <c r="L273" t="s">
        <v>2243</v>
      </c>
      <c r="M273" t="s">
        <v>2249</v>
      </c>
      <c r="N273">
        <v>5</v>
      </c>
      <c r="O273">
        <f t="shared" si="20"/>
        <v>77440</v>
      </c>
      <c r="P273">
        <f t="shared" si="21"/>
        <v>387200</v>
      </c>
      <c r="Q273">
        <v>20</v>
      </c>
      <c r="R273">
        <f t="shared" si="22"/>
        <v>309760</v>
      </c>
      <c r="S273" t="s">
        <v>2263</v>
      </c>
      <c r="T273" t="s">
        <v>2264</v>
      </c>
      <c r="U273" s="1" t="str">
        <f t="shared" si="23"/>
        <v>Not Delivered</v>
      </c>
      <c r="V273">
        <f t="shared" si="24"/>
        <v>58080</v>
      </c>
    </row>
    <row r="274" spans="1:22" x14ac:dyDescent="0.3">
      <c r="A274" t="s">
        <v>292</v>
      </c>
      <c r="B274">
        <v>2024</v>
      </c>
      <c r="C274" s="1">
        <v>45526</v>
      </c>
      <c r="D274" t="s">
        <v>820</v>
      </c>
      <c r="E274" t="s">
        <v>1060</v>
      </c>
      <c r="F274" t="s">
        <v>1639</v>
      </c>
      <c r="G274" t="s">
        <v>2167</v>
      </c>
      <c r="H274" t="s">
        <v>2168</v>
      </c>
      <c r="I274" t="s">
        <v>2200</v>
      </c>
      <c r="J274" t="s">
        <v>2213</v>
      </c>
      <c r="K274" t="s">
        <v>2222</v>
      </c>
      <c r="L274" t="s">
        <v>2247</v>
      </c>
      <c r="M274" t="s">
        <v>2259</v>
      </c>
      <c r="N274">
        <v>1</v>
      </c>
      <c r="O274">
        <f t="shared" si="20"/>
        <v>77440</v>
      </c>
      <c r="P274">
        <f t="shared" si="21"/>
        <v>77440</v>
      </c>
      <c r="Q274">
        <v>5</v>
      </c>
      <c r="R274">
        <f t="shared" si="22"/>
        <v>73568</v>
      </c>
      <c r="S274" t="s">
        <v>2261</v>
      </c>
      <c r="T274" t="s">
        <v>2264</v>
      </c>
      <c r="U274" s="1" t="str">
        <f t="shared" si="23"/>
        <v>Not Delivered</v>
      </c>
      <c r="V274">
        <f t="shared" si="24"/>
        <v>11616</v>
      </c>
    </row>
    <row r="275" spans="1:22" x14ac:dyDescent="0.3">
      <c r="A275" t="s">
        <v>293</v>
      </c>
      <c r="B275">
        <v>2024</v>
      </c>
      <c r="C275" s="1">
        <v>45592</v>
      </c>
      <c r="D275" t="s">
        <v>825</v>
      </c>
      <c r="E275" t="s">
        <v>1061</v>
      </c>
      <c r="F275" t="s">
        <v>1640</v>
      </c>
      <c r="G275" t="s">
        <v>2167</v>
      </c>
      <c r="H275" t="s">
        <v>2192</v>
      </c>
      <c r="I275" t="s">
        <v>2207</v>
      </c>
      <c r="J275" t="s">
        <v>2210</v>
      </c>
      <c r="K275" t="s">
        <v>2217</v>
      </c>
      <c r="L275" t="s">
        <v>2244</v>
      </c>
      <c r="M275" t="s">
        <v>2248</v>
      </c>
      <c r="N275">
        <v>3</v>
      </c>
      <c r="O275">
        <f t="shared" si="20"/>
        <v>77440</v>
      </c>
      <c r="P275">
        <f t="shared" si="21"/>
        <v>232320</v>
      </c>
      <c r="Q275">
        <v>5</v>
      </c>
      <c r="R275">
        <f t="shared" si="22"/>
        <v>220704</v>
      </c>
      <c r="S275" t="s">
        <v>2263</v>
      </c>
      <c r="T275" t="s">
        <v>2265</v>
      </c>
      <c r="U275" s="1" t="str">
        <f t="shared" si="23"/>
        <v>Not Delivered</v>
      </c>
      <c r="V275">
        <f t="shared" si="24"/>
        <v>34848</v>
      </c>
    </row>
    <row r="276" spans="1:22" x14ac:dyDescent="0.3">
      <c r="A276" t="s">
        <v>294</v>
      </c>
      <c r="B276">
        <v>2025</v>
      </c>
      <c r="C276" s="1">
        <v>45786</v>
      </c>
      <c r="D276" t="s">
        <v>822</v>
      </c>
      <c r="E276" t="s">
        <v>1062</v>
      </c>
      <c r="F276" t="s">
        <v>1641</v>
      </c>
      <c r="G276" t="s">
        <v>2167</v>
      </c>
      <c r="H276" t="s">
        <v>2198</v>
      </c>
      <c r="I276" t="s">
        <v>2207</v>
      </c>
      <c r="J276" t="s">
        <v>2210</v>
      </c>
      <c r="K276" t="s">
        <v>2229</v>
      </c>
      <c r="L276" t="s">
        <v>2246</v>
      </c>
      <c r="M276" t="s">
        <v>2257</v>
      </c>
      <c r="N276">
        <v>3</v>
      </c>
      <c r="O276">
        <f t="shared" si="20"/>
        <v>77440</v>
      </c>
      <c r="P276">
        <f t="shared" si="21"/>
        <v>232320</v>
      </c>
      <c r="Q276">
        <v>15</v>
      </c>
      <c r="R276">
        <f t="shared" si="22"/>
        <v>197472</v>
      </c>
      <c r="S276" t="s">
        <v>2262</v>
      </c>
      <c r="T276" t="s">
        <v>2266</v>
      </c>
      <c r="U276" s="1">
        <f t="shared" si="23"/>
        <v>45793</v>
      </c>
      <c r="V276">
        <f t="shared" si="24"/>
        <v>34848</v>
      </c>
    </row>
    <row r="277" spans="1:22" x14ac:dyDescent="0.3">
      <c r="A277" t="s">
        <v>295</v>
      </c>
      <c r="B277">
        <v>2024</v>
      </c>
      <c r="C277" s="1">
        <v>45570</v>
      </c>
      <c r="D277" t="s">
        <v>827</v>
      </c>
      <c r="E277" t="s">
        <v>1063</v>
      </c>
      <c r="F277" t="s">
        <v>1642</v>
      </c>
      <c r="G277" t="s">
        <v>2167</v>
      </c>
      <c r="H277" t="s">
        <v>2168</v>
      </c>
      <c r="I277" t="s">
        <v>2200</v>
      </c>
      <c r="J277" t="s">
        <v>2211</v>
      </c>
      <c r="K277" t="s">
        <v>2216</v>
      </c>
      <c r="L277" t="s">
        <v>2242</v>
      </c>
      <c r="M277" t="s">
        <v>2251</v>
      </c>
      <c r="N277">
        <v>2</v>
      </c>
      <c r="O277">
        <f t="shared" si="20"/>
        <v>77440</v>
      </c>
      <c r="P277">
        <f t="shared" si="21"/>
        <v>154880</v>
      </c>
      <c r="Q277">
        <v>0</v>
      </c>
      <c r="R277">
        <f t="shared" si="22"/>
        <v>154880</v>
      </c>
      <c r="S277" t="s">
        <v>2262</v>
      </c>
      <c r="T277" t="s">
        <v>2266</v>
      </c>
      <c r="U277" s="1">
        <f t="shared" si="23"/>
        <v>45577</v>
      </c>
      <c r="V277">
        <f t="shared" si="24"/>
        <v>23232</v>
      </c>
    </row>
    <row r="278" spans="1:22" x14ac:dyDescent="0.3">
      <c r="A278" t="s">
        <v>296</v>
      </c>
      <c r="B278">
        <v>2024</v>
      </c>
      <c r="C278" s="1">
        <v>45646</v>
      </c>
      <c r="D278" t="s">
        <v>821</v>
      </c>
      <c r="E278" t="s">
        <v>1064</v>
      </c>
      <c r="F278" t="s">
        <v>1643</v>
      </c>
      <c r="G278" t="s">
        <v>2167</v>
      </c>
      <c r="H278" t="s">
        <v>2176</v>
      </c>
      <c r="I278" t="s">
        <v>2205</v>
      </c>
      <c r="J278" t="s">
        <v>2211</v>
      </c>
      <c r="K278" t="s">
        <v>2225</v>
      </c>
      <c r="L278" t="s">
        <v>2243</v>
      </c>
      <c r="M278" t="s">
        <v>2250</v>
      </c>
      <c r="N278">
        <v>4</v>
      </c>
      <c r="O278">
        <f t="shared" si="20"/>
        <v>77440</v>
      </c>
      <c r="P278">
        <f t="shared" si="21"/>
        <v>309760</v>
      </c>
      <c r="Q278">
        <v>10</v>
      </c>
      <c r="R278">
        <f t="shared" si="22"/>
        <v>278784</v>
      </c>
      <c r="S278" t="s">
        <v>2261</v>
      </c>
      <c r="T278" t="s">
        <v>2264</v>
      </c>
      <c r="U278" s="1" t="str">
        <f t="shared" si="23"/>
        <v>Not Delivered</v>
      </c>
      <c r="V278">
        <f t="shared" si="24"/>
        <v>46464</v>
      </c>
    </row>
    <row r="279" spans="1:22" x14ac:dyDescent="0.3">
      <c r="A279" t="s">
        <v>297</v>
      </c>
      <c r="B279">
        <v>2025</v>
      </c>
      <c r="C279" s="1">
        <v>45839</v>
      </c>
      <c r="D279" t="s">
        <v>822</v>
      </c>
      <c r="E279" t="s">
        <v>1065</v>
      </c>
      <c r="F279" t="s">
        <v>1644</v>
      </c>
      <c r="G279" t="s">
        <v>2167</v>
      </c>
      <c r="H279" t="s">
        <v>2184</v>
      </c>
      <c r="I279" t="s">
        <v>2202</v>
      </c>
      <c r="J279" t="s">
        <v>2211</v>
      </c>
      <c r="K279" t="s">
        <v>2218</v>
      </c>
      <c r="L279" t="s">
        <v>2242</v>
      </c>
      <c r="M279" t="s">
        <v>2256</v>
      </c>
      <c r="N279">
        <v>1</v>
      </c>
      <c r="O279">
        <f t="shared" si="20"/>
        <v>77440</v>
      </c>
      <c r="P279">
        <f t="shared" si="21"/>
        <v>77440</v>
      </c>
      <c r="Q279">
        <v>20</v>
      </c>
      <c r="R279">
        <f t="shared" si="22"/>
        <v>61952</v>
      </c>
      <c r="S279" t="s">
        <v>2261</v>
      </c>
      <c r="T279" t="s">
        <v>2264</v>
      </c>
      <c r="U279" s="1" t="str">
        <f t="shared" si="23"/>
        <v>Not Delivered</v>
      </c>
      <c r="V279">
        <f t="shared" si="24"/>
        <v>11616</v>
      </c>
    </row>
    <row r="280" spans="1:22" x14ac:dyDescent="0.3">
      <c r="A280" t="s">
        <v>298</v>
      </c>
      <c r="B280">
        <v>2024</v>
      </c>
      <c r="C280" s="1">
        <v>45387</v>
      </c>
      <c r="D280" t="s">
        <v>827</v>
      </c>
      <c r="E280" t="s">
        <v>1066</v>
      </c>
      <c r="F280" t="s">
        <v>1645</v>
      </c>
      <c r="G280" t="s">
        <v>2167</v>
      </c>
      <c r="H280" t="s">
        <v>2184</v>
      </c>
      <c r="I280" t="s">
        <v>2202</v>
      </c>
      <c r="J280" t="s">
        <v>2211</v>
      </c>
      <c r="K280" t="s">
        <v>2216</v>
      </c>
      <c r="L280" t="s">
        <v>2242</v>
      </c>
      <c r="M280" t="s">
        <v>2254</v>
      </c>
      <c r="N280">
        <v>2</v>
      </c>
      <c r="O280">
        <f t="shared" si="20"/>
        <v>77440</v>
      </c>
      <c r="P280">
        <f t="shared" si="21"/>
        <v>154880</v>
      </c>
      <c r="Q280">
        <v>0</v>
      </c>
      <c r="R280">
        <f t="shared" si="22"/>
        <v>154880</v>
      </c>
      <c r="S280" t="s">
        <v>2262</v>
      </c>
      <c r="T280" t="s">
        <v>2264</v>
      </c>
      <c r="U280" s="1" t="str">
        <f t="shared" si="23"/>
        <v>Not Delivered</v>
      </c>
      <c r="V280">
        <f t="shared" si="24"/>
        <v>23232</v>
      </c>
    </row>
    <row r="281" spans="1:22" x14ac:dyDescent="0.3">
      <c r="A281" t="s">
        <v>299</v>
      </c>
      <c r="B281">
        <v>2024</v>
      </c>
      <c r="C281" s="1">
        <v>45365</v>
      </c>
      <c r="D281" t="s">
        <v>821</v>
      </c>
      <c r="E281" t="s">
        <v>1067</v>
      </c>
      <c r="F281" t="s">
        <v>1646</v>
      </c>
      <c r="G281" t="s">
        <v>2167</v>
      </c>
      <c r="H281" t="s">
        <v>2168</v>
      </c>
      <c r="I281" t="s">
        <v>2200</v>
      </c>
      <c r="J281" t="s">
        <v>2211</v>
      </c>
      <c r="K281" t="s">
        <v>2217</v>
      </c>
      <c r="L281" t="s">
        <v>2244</v>
      </c>
      <c r="M281" t="s">
        <v>2253</v>
      </c>
      <c r="N281">
        <v>3</v>
      </c>
      <c r="O281">
        <f t="shared" si="20"/>
        <v>77440</v>
      </c>
      <c r="P281">
        <f t="shared" si="21"/>
        <v>232320</v>
      </c>
      <c r="Q281">
        <v>20</v>
      </c>
      <c r="R281">
        <f t="shared" si="22"/>
        <v>185856</v>
      </c>
      <c r="S281" t="s">
        <v>2262</v>
      </c>
      <c r="T281" t="s">
        <v>2266</v>
      </c>
      <c r="U281" s="1">
        <f t="shared" si="23"/>
        <v>45372</v>
      </c>
      <c r="V281">
        <f t="shared" si="24"/>
        <v>34848</v>
      </c>
    </row>
    <row r="282" spans="1:22" x14ac:dyDescent="0.3">
      <c r="A282" t="s">
        <v>300</v>
      </c>
      <c r="B282">
        <v>2025</v>
      </c>
      <c r="C282" s="1">
        <v>45861</v>
      </c>
      <c r="D282" t="s">
        <v>822</v>
      </c>
      <c r="E282" t="s">
        <v>1028</v>
      </c>
      <c r="F282" t="s">
        <v>1647</v>
      </c>
      <c r="G282" t="s">
        <v>2167</v>
      </c>
      <c r="H282" t="s">
        <v>2168</v>
      </c>
      <c r="I282" t="s">
        <v>2200</v>
      </c>
      <c r="J282" t="s">
        <v>2212</v>
      </c>
      <c r="K282" t="s">
        <v>2232</v>
      </c>
      <c r="L282" t="s">
        <v>2243</v>
      </c>
      <c r="M282" t="s">
        <v>2258</v>
      </c>
      <c r="N282">
        <v>1</v>
      </c>
      <c r="O282">
        <f t="shared" si="20"/>
        <v>77440</v>
      </c>
      <c r="P282">
        <f t="shared" si="21"/>
        <v>77440</v>
      </c>
      <c r="Q282">
        <v>5</v>
      </c>
      <c r="R282">
        <f t="shared" si="22"/>
        <v>73568</v>
      </c>
      <c r="S282" t="s">
        <v>2263</v>
      </c>
      <c r="T282" t="s">
        <v>2264</v>
      </c>
      <c r="U282" s="1" t="str">
        <f t="shared" si="23"/>
        <v>Not Delivered</v>
      </c>
      <c r="V282">
        <f t="shared" si="24"/>
        <v>11616</v>
      </c>
    </row>
    <row r="283" spans="1:22" x14ac:dyDescent="0.3">
      <c r="A283" t="s">
        <v>301</v>
      </c>
      <c r="B283">
        <v>2024</v>
      </c>
      <c r="C283" s="1">
        <v>45367</v>
      </c>
      <c r="D283" t="s">
        <v>823</v>
      </c>
      <c r="E283" t="s">
        <v>979</v>
      </c>
      <c r="F283" t="s">
        <v>1648</v>
      </c>
      <c r="G283" t="s">
        <v>2167</v>
      </c>
      <c r="H283" t="s">
        <v>2171</v>
      </c>
      <c r="I283" t="s">
        <v>2202</v>
      </c>
      <c r="J283" t="s">
        <v>2213</v>
      </c>
      <c r="K283" t="s">
        <v>2221</v>
      </c>
      <c r="L283" t="s">
        <v>2246</v>
      </c>
      <c r="M283" t="s">
        <v>2255</v>
      </c>
      <c r="N283">
        <v>3</v>
      </c>
      <c r="O283">
        <f t="shared" si="20"/>
        <v>77440</v>
      </c>
      <c r="P283">
        <f t="shared" si="21"/>
        <v>232320</v>
      </c>
      <c r="Q283">
        <v>20</v>
      </c>
      <c r="R283">
        <f t="shared" si="22"/>
        <v>185856</v>
      </c>
      <c r="S283" t="s">
        <v>2260</v>
      </c>
      <c r="T283" t="s">
        <v>2265</v>
      </c>
      <c r="U283" s="1" t="str">
        <f t="shared" si="23"/>
        <v>Not Delivered</v>
      </c>
      <c r="V283">
        <f t="shared" si="24"/>
        <v>34848</v>
      </c>
    </row>
    <row r="284" spans="1:22" x14ac:dyDescent="0.3">
      <c r="A284" t="s">
        <v>302</v>
      </c>
      <c r="B284">
        <v>2024</v>
      </c>
      <c r="C284" s="1">
        <v>45541</v>
      </c>
      <c r="D284" t="s">
        <v>828</v>
      </c>
      <c r="E284" t="s">
        <v>1068</v>
      </c>
      <c r="F284" t="s">
        <v>1649</v>
      </c>
      <c r="G284" t="s">
        <v>2167</v>
      </c>
      <c r="H284" t="s">
        <v>2178</v>
      </c>
      <c r="I284" t="s">
        <v>2207</v>
      </c>
      <c r="J284" t="s">
        <v>2213</v>
      </c>
      <c r="K284" t="s">
        <v>2234</v>
      </c>
      <c r="L284" t="s">
        <v>2244</v>
      </c>
      <c r="M284" t="s">
        <v>2258</v>
      </c>
      <c r="N284">
        <v>5</v>
      </c>
      <c r="O284">
        <f t="shared" si="20"/>
        <v>77440</v>
      </c>
      <c r="P284">
        <f t="shared" si="21"/>
        <v>387200</v>
      </c>
      <c r="Q284">
        <v>0</v>
      </c>
      <c r="R284">
        <f t="shared" si="22"/>
        <v>387200</v>
      </c>
      <c r="S284" t="s">
        <v>2260</v>
      </c>
      <c r="T284" t="s">
        <v>2264</v>
      </c>
      <c r="U284" s="1" t="str">
        <f t="shared" si="23"/>
        <v>Not Delivered</v>
      </c>
      <c r="V284">
        <f t="shared" si="24"/>
        <v>58080</v>
      </c>
    </row>
    <row r="285" spans="1:22" x14ac:dyDescent="0.3">
      <c r="A285" t="s">
        <v>303</v>
      </c>
      <c r="B285">
        <v>2025</v>
      </c>
      <c r="C285" s="1">
        <v>45812</v>
      </c>
      <c r="D285" t="s">
        <v>828</v>
      </c>
      <c r="E285" t="s">
        <v>1069</v>
      </c>
      <c r="F285" t="s">
        <v>1650</v>
      </c>
      <c r="G285" t="s">
        <v>2167</v>
      </c>
      <c r="H285" t="s">
        <v>2178</v>
      </c>
      <c r="I285" t="s">
        <v>2207</v>
      </c>
      <c r="J285" t="s">
        <v>2211</v>
      </c>
      <c r="K285" t="s">
        <v>2226</v>
      </c>
      <c r="L285" t="s">
        <v>2244</v>
      </c>
      <c r="M285" t="s">
        <v>2252</v>
      </c>
      <c r="N285">
        <v>5</v>
      </c>
      <c r="O285">
        <f t="shared" si="20"/>
        <v>77440</v>
      </c>
      <c r="P285">
        <f t="shared" si="21"/>
        <v>387200</v>
      </c>
      <c r="Q285">
        <v>5</v>
      </c>
      <c r="R285">
        <f t="shared" si="22"/>
        <v>367840</v>
      </c>
      <c r="S285" t="s">
        <v>2263</v>
      </c>
      <c r="T285" t="s">
        <v>2264</v>
      </c>
      <c r="U285" s="1" t="str">
        <f t="shared" si="23"/>
        <v>Not Delivered</v>
      </c>
      <c r="V285">
        <f t="shared" si="24"/>
        <v>58080</v>
      </c>
    </row>
    <row r="286" spans="1:22" x14ac:dyDescent="0.3">
      <c r="A286" t="s">
        <v>304</v>
      </c>
      <c r="B286">
        <v>2025</v>
      </c>
      <c r="C286" s="1">
        <v>45703</v>
      </c>
      <c r="D286" t="s">
        <v>824</v>
      </c>
      <c r="E286" t="s">
        <v>1070</v>
      </c>
      <c r="F286" t="s">
        <v>1651</v>
      </c>
      <c r="G286" t="s">
        <v>2167</v>
      </c>
      <c r="H286" t="s">
        <v>2175</v>
      </c>
      <c r="I286" t="s">
        <v>2203</v>
      </c>
      <c r="J286" t="s">
        <v>2212</v>
      </c>
      <c r="K286" t="s">
        <v>2231</v>
      </c>
      <c r="L286" t="s">
        <v>2244</v>
      </c>
      <c r="M286" t="s">
        <v>2256</v>
      </c>
      <c r="N286">
        <v>1</v>
      </c>
      <c r="O286">
        <f t="shared" si="20"/>
        <v>77440</v>
      </c>
      <c r="P286">
        <f t="shared" si="21"/>
        <v>77440</v>
      </c>
      <c r="Q286">
        <v>15</v>
      </c>
      <c r="R286">
        <f t="shared" si="22"/>
        <v>65824</v>
      </c>
      <c r="S286" t="s">
        <v>2263</v>
      </c>
      <c r="T286" t="s">
        <v>2266</v>
      </c>
      <c r="U286" s="1">
        <f t="shared" si="23"/>
        <v>45710</v>
      </c>
      <c r="V286">
        <f t="shared" si="24"/>
        <v>11616</v>
      </c>
    </row>
    <row r="287" spans="1:22" x14ac:dyDescent="0.3">
      <c r="A287" t="s">
        <v>305</v>
      </c>
      <c r="B287">
        <v>2024</v>
      </c>
      <c r="C287" s="1">
        <v>45629</v>
      </c>
      <c r="D287" t="s">
        <v>822</v>
      </c>
      <c r="E287" t="s">
        <v>1071</v>
      </c>
      <c r="F287" t="s">
        <v>1652</v>
      </c>
      <c r="G287" t="s">
        <v>2167</v>
      </c>
      <c r="H287" t="s">
        <v>2182</v>
      </c>
      <c r="I287" t="s">
        <v>2206</v>
      </c>
      <c r="J287" t="s">
        <v>2213</v>
      </c>
      <c r="K287" t="s">
        <v>2229</v>
      </c>
      <c r="L287" t="s">
        <v>2246</v>
      </c>
      <c r="M287" t="s">
        <v>2255</v>
      </c>
      <c r="N287">
        <v>2</v>
      </c>
      <c r="O287">
        <f t="shared" si="20"/>
        <v>77440</v>
      </c>
      <c r="P287">
        <f t="shared" si="21"/>
        <v>154880</v>
      </c>
      <c r="Q287">
        <v>15</v>
      </c>
      <c r="R287">
        <f t="shared" si="22"/>
        <v>131648</v>
      </c>
      <c r="S287" t="s">
        <v>2261</v>
      </c>
      <c r="T287" t="s">
        <v>2265</v>
      </c>
      <c r="U287" s="1" t="str">
        <f t="shared" si="23"/>
        <v>Not Delivered</v>
      </c>
      <c r="V287">
        <f t="shared" si="24"/>
        <v>23232</v>
      </c>
    </row>
    <row r="288" spans="1:22" x14ac:dyDescent="0.3">
      <c r="A288" t="s">
        <v>306</v>
      </c>
      <c r="B288">
        <v>2024</v>
      </c>
      <c r="C288" s="1">
        <v>45554</v>
      </c>
      <c r="D288" t="s">
        <v>822</v>
      </c>
      <c r="E288" t="s">
        <v>1072</v>
      </c>
      <c r="F288" t="s">
        <v>1653</v>
      </c>
      <c r="G288" t="s">
        <v>2167</v>
      </c>
      <c r="H288" t="s">
        <v>2185</v>
      </c>
      <c r="I288" t="s">
        <v>2204</v>
      </c>
      <c r="J288" t="s">
        <v>2212</v>
      </c>
      <c r="K288" t="s">
        <v>2239</v>
      </c>
      <c r="L288" t="s">
        <v>2245</v>
      </c>
      <c r="M288" t="s">
        <v>2248</v>
      </c>
      <c r="N288">
        <v>3</v>
      </c>
      <c r="O288">
        <f t="shared" si="20"/>
        <v>77440</v>
      </c>
      <c r="P288">
        <f t="shared" si="21"/>
        <v>232320</v>
      </c>
      <c r="Q288">
        <v>5</v>
      </c>
      <c r="R288">
        <f t="shared" si="22"/>
        <v>220704</v>
      </c>
      <c r="S288" t="s">
        <v>2263</v>
      </c>
      <c r="T288" t="s">
        <v>2266</v>
      </c>
      <c r="U288" s="1">
        <f t="shared" si="23"/>
        <v>45561</v>
      </c>
      <c r="V288">
        <f t="shared" si="24"/>
        <v>34848</v>
      </c>
    </row>
    <row r="289" spans="1:22" x14ac:dyDescent="0.3">
      <c r="A289" t="s">
        <v>307</v>
      </c>
      <c r="B289">
        <v>2024</v>
      </c>
      <c r="C289" s="1">
        <v>45429</v>
      </c>
      <c r="D289" t="s">
        <v>827</v>
      </c>
      <c r="E289" t="s">
        <v>1073</v>
      </c>
      <c r="F289" t="s">
        <v>1654</v>
      </c>
      <c r="G289" t="s">
        <v>2167</v>
      </c>
      <c r="H289" t="s">
        <v>2183</v>
      </c>
      <c r="I289" t="s">
        <v>2204</v>
      </c>
      <c r="J289" t="s">
        <v>2211</v>
      </c>
      <c r="K289" t="s">
        <v>2221</v>
      </c>
      <c r="L289" t="s">
        <v>2246</v>
      </c>
      <c r="M289" t="s">
        <v>2250</v>
      </c>
      <c r="N289">
        <v>4</v>
      </c>
      <c r="O289">
        <f t="shared" si="20"/>
        <v>77440</v>
      </c>
      <c r="P289">
        <f t="shared" si="21"/>
        <v>309760</v>
      </c>
      <c r="Q289">
        <v>10</v>
      </c>
      <c r="R289">
        <f t="shared" si="22"/>
        <v>278784</v>
      </c>
      <c r="S289" t="s">
        <v>2263</v>
      </c>
      <c r="T289" t="s">
        <v>2265</v>
      </c>
      <c r="U289" s="1" t="str">
        <f t="shared" si="23"/>
        <v>Not Delivered</v>
      </c>
      <c r="V289">
        <f t="shared" si="24"/>
        <v>46464</v>
      </c>
    </row>
    <row r="290" spans="1:22" x14ac:dyDescent="0.3">
      <c r="A290" t="s">
        <v>308</v>
      </c>
      <c r="B290">
        <v>2024</v>
      </c>
      <c r="C290" s="1">
        <v>45344</v>
      </c>
      <c r="D290" t="s">
        <v>822</v>
      </c>
      <c r="E290" t="s">
        <v>1074</v>
      </c>
      <c r="F290" t="s">
        <v>1655</v>
      </c>
      <c r="G290" t="s">
        <v>2167</v>
      </c>
      <c r="H290" t="s">
        <v>2168</v>
      </c>
      <c r="I290" t="s">
        <v>2200</v>
      </c>
      <c r="J290" t="s">
        <v>2212</v>
      </c>
      <c r="K290" t="s">
        <v>2238</v>
      </c>
      <c r="L290" t="s">
        <v>2246</v>
      </c>
      <c r="M290" t="s">
        <v>2248</v>
      </c>
      <c r="N290">
        <v>5</v>
      </c>
      <c r="O290">
        <f t="shared" si="20"/>
        <v>77440</v>
      </c>
      <c r="P290">
        <f t="shared" si="21"/>
        <v>387200</v>
      </c>
      <c r="Q290">
        <v>5</v>
      </c>
      <c r="R290">
        <f t="shared" si="22"/>
        <v>367840</v>
      </c>
      <c r="S290" t="s">
        <v>2263</v>
      </c>
      <c r="T290" t="s">
        <v>2265</v>
      </c>
      <c r="U290" s="1" t="str">
        <f t="shared" si="23"/>
        <v>Not Delivered</v>
      </c>
      <c r="V290">
        <f t="shared" si="24"/>
        <v>58080</v>
      </c>
    </row>
    <row r="291" spans="1:22" x14ac:dyDescent="0.3">
      <c r="A291" t="s">
        <v>309</v>
      </c>
      <c r="B291">
        <v>2025</v>
      </c>
      <c r="C291" s="1">
        <v>45772</v>
      </c>
      <c r="D291" t="s">
        <v>829</v>
      </c>
      <c r="E291" t="s">
        <v>1075</v>
      </c>
      <c r="F291" t="s">
        <v>1656</v>
      </c>
      <c r="G291" t="s">
        <v>2167</v>
      </c>
      <c r="H291" t="s">
        <v>2169</v>
      </c>
      <c r="I291" t="s">
        <v>2201</v>
      </c>
      <c r="J291" t="s">
        <v>2211</v>
      </c>
      <c r="K291" t="s">
        <v>2233</v>
      </c>
      <c r="L291" t="s">
        <v>2245</v>
      </c>
      <c r="M291" t="s">
        <v>2259</v>
      </c>
      <c r="N291">
        <v>2</v>
      </c>
      <c r="O291">
        <f t="shared" si="20"/>
        <v>77440</v>
      </c>
      <c r="P291">
        <f t="shared" si="21"/>
        <v>154880</v>
      </c>
      <c r="Q291">
        <v>15</v>
      </c>
      <c r="R291">
        <f t="shared" si="22"/>
        <v>131648</v>
      </c>
      <c r="S291" t="s">
        <v>2260</v>
      </c>
      <c r="T291" t="s">
        <v>2264</v>
      </c>
      <c r="U291" s="1" t="str">
        <f t="shared" si="23"/>
        <v>Not Delivered</v>
      </c>
      <c r="V291">
        <f t="shared" si="24"/>
        <v>23232</v>
      </c>
    </row>
    <row r="292" spans="1:22" x14ac:dyDescent="0.3">
      <c r="A292" t="s">
        <v>310</v>
      </c>
      <c r="B292">
        <v>2025</v>
      </c>
      <c r="C292" s="1">
        <v>45839</v>
      </c>
      <c r="D292" t="s">
        <v>825</v>
      </c>
      <c r="E292" t="s">
        <v>1076</v>
      </c>
      <c r="F292" t="s">
        <v>1657</v>
      </c>
      <c r="G292" t="s">
        <v>2167</v>
      </c>
      <c r="H292" t="s">
        <v>2187</v>
      </c>
      <c r="I292" t="s">
        <v>2209</v>
      </c>
      <c r="J292" t="s">
        <v>2212</v>
      </c>
      <c r="K292" t="s">
        <v>2234</v>
      </c>
      <c r="L292" t="s">
        <v>2244</v>
      </c>
      <c r="M292" t="s">
        <v>2250</v>
      </c>
      <c r="N292">
        <v>4</v>
      </c>
      <c r="O292">
        <f t="shared" si="20"/>
        <v>77440</v>
      </c>
      <c r="P292">
        <f t="shared" si="21"/>
        <v>309760</v>
      </c>
      <c r="Q292">
        <v>20</v>
      </c>
      <c r="R292">
        <f t="shared" si="22"/>
        <v>247808</v>
      </c>
      <c r="S292" t="s">
        <v>2262</v>
      </c>
      <c r="T292" t="s">
        <v>2266</v>
      </c>
      <c r="U292" s="1">
        <f t="shared" si="23"/>
        <v>45846</v>
      </c>
      <c r="V292">
        <f t="shared" si="24"/>
        <v>46464</v>
      </c>
    </row>
    <row r="293" spans="1:22" x14ac:dyDescent="0.3">
      <c r="A293" t="s">
        <v>311</v>
      </c>
      <c r="B293">
        <v>2024</v>
      </c>
      <c r="C293" s="1">
        <v>45465</v>
      </c>
      <c r="D293" t="s">
        <v>828</v>
      </c>
      <c r="E293" t="s">
        <v>1077</v>
      </c>
      <c r="F293" t="s">
        <v>1658</v>
      </c>
      <c r="G293" t="s">
        <v>2167</v>
      </c>
      <c r="H293" t="s">
        <v>2179</v>
      </c>
      <c r="I293" t="s">
        <v>2206</v>
      </c>
      <c r="J293" t="s">
        <v>2213</v>
      </c>
      <c r="K293" t="s">
        <v>2238</v>
      </c>
      <c r="L293" t="s">
        <v>2246</v>
      </c>
      <c r="M293" t="s">
        <v>2258</v>
      </c>
      <c r="N293">
        <v>3</v>
      </c>
      <c r="O293">
        <f t="shared" si="20"/>
        <v>77440</v>
      </c>
      <c r="P293">
        <f t="shared" si="21"/>
        <v>232320</v>
      </c>
      <c r="Q293">
        <v>15</v>
      </c>
      <c r="R293">
        <f t="shared" si="22"/>
        <v>197472</v>
      </c>
      <c r="S293" t="s">
        <v>2260</v>
      </c>
      <c r="T293" t="s">
        <v>2265</v>
      </c>
      <c r="U293" s="1" t="str">
        <f t="shared" si="23"/>
        <v>Not Delivered</v>
      </c>
      <c r="V293">
        <f t="shared" si="24"/>
        <v>34848</v>
      </c>
    </row>
    <row r="294" spans="1:22" x14ac:dyDescent="0.3">
      <c r="A294" t="s">
        <v>312</v>
      </c>
      <c r="B294">
        <v>2025</v>
      </c>
      <c r="C294" s="1">
        <v>45748</v>
      </c>
      <c r="D294" t="s">
        <v>820</v>
      </c>
      <c r="E294" t="s">
        <v>1078</v>
      </c>
      <c r="F294" t="s">
        <v>1659</v>
      </c>
      <c r="G294" t="s">
        <v>2167</v>
      </c>
      <c r="H294" t="s">
        <v>2195</v>
      </c>
      <c r="I294" t="s">
        <v>2206</v>
      </c>
      <c r="J294" t="s">
        <v>2210</v>
      </c>
      <c r="K294" t="s">
        <v>2237</v>
      </c>
      <c r="L294" t="s">
        <v>2246</v>
      </c>
      <c r="M294" t="s">
        <v>2250</v>
      </c>
      <c r="N294">
        <v>3</v>
      </c>
      <c r="O294">
        <f t="shared" si="20"/>
        <v>77440</v>
      </c>
      <c r="P294">
        <f t="shared" si="21"/>
        <v>232320</v>
      </c>
      <c r="Q294">
        <v>5</v>
      </c>
      <c r="R294">
        <f t="shared" si="22"/>
        <v>220704</v>
      </c>
      <c r="S294" t="s">
        <v>2263</v>
      </c>
      <c r="T294" t="s">
        <v>2264</v>
      </c>
      <c r="U294" s="1" t="str">
        <f t="shared" si="23"/>
        <v>Not Delivered</v>
      </c>
      <c r="V294">
        <f t="shared" si="24"/>
        <v>34848</v>
      </c>
    </row>
    <row r="295" spans="1:22" x14ac:dyDescent="0.3">
      <c r="A295" t="s">
        <v>313</v>
      </c>
      <c r="B295">
        <v>2025</v>
      </c>
      <c r="C295" s="1">
        <v>45866</v>
      </c>
      <c r="D295" t="s">
        <v>829</v>
      </c>
      <c r="E295" t="s">
        <v>974</v>
      </c>
      <c r="F295" t="s">
        <v>1660</v>
      </c>
      <c r="G295" t="s">
        <v>2167</v>
      </c>
      <c r="H295" t="s">
        <v>2179</v>
      </c>
      <c r="I295" t="s">
        <v>2206</v>
      </c>
      <c r="J295" t="s">
        <v>2213</v>
      </c>
      <c r="K295" t="s">
        <v>2230</v>
      </c>
      <c r="L295" t="s">
        <v>2247</v>
      </c>
      <c r="M295" t="s">
        <v>2252</v>
      </c>
      <c r="N295">
        <v>2</v>
      </c>
      <c r="O295">
        <f t="shared" si="20"/>
        <v>77440</v>
      </c>
      <c r="P295">
        <f t="shared" si="21"/>
        <v>154880</v>
      </c>
      <c r="Q295">
        <v>5</v>
      </c>
      <c r="R295">
        <f t="shared" si="22"/>
        <v>147136</v>
      </c>
      <c r="S295" t="s">
        <v>2260</v>
      </c>
      <c r="T295" t="s">
        <v>2265</v>
      </c>
      <c r="U295" s="1" t="str">
        <f t="shared" si="23"/>
        <v>Not Delivered</v>
      </c>
      <c r="V295">
        <f t="shared" si="24"/>
        <v>23232</v>
      </c>
    </row>
    <row r="296" spans="1:22" x14ac:dyDescent="0.3">
      <c r="A296" t="s">
        <v>314</v>
      </c>
      <c r="B296">
        <v>2025</v>
      </c>
      <c r="C296" s="1">
        <v>45711</v>
      </c>
      <c r="D296" t="s">
        <v>825</v>
      </c>
      <c r="E296" t="s">
        <v>1079</v>
      </c>
      <c r="F296" t="s">
        <v>1661</v>
      </c>
      <c r="G296" t="s">
        <v>2167</v>
      </c>
      <c r="H296" t="s">
        <v>2176</v>
      </c>
      <c r="I296" t="s">
        <v>2205</v>
      </c>
      <c r="J296" t="s">
        <v>2210</v>
      </c>
      <c r="K296" t="s">
        <v>2215</v>
      </c>
      <c r="L296" t="s">
        <v>2243</v>
      </c>
      <c r="M296" t="s">
        <v>2250</v>
      </c>
      <c r="N296">
        <v>3</v>
      </c>
      <c r="O296">
        <f t="shared" si="20"/>
        <v>77440</v>
      </c>
      <c r="P296">
        <f t="shared" si="21"/>
        <v>232320</v>
      </c>
      <c r="Q296">
        <v>15</v>
      </c>
      <c r="R296">
        <f t="shared" si="22"/>
        <v>197472</v>
      </c>
      <c r="S296" t="s">
        <v>2260</v>
      </c>
      <c r="T296" t="s">
        <v>2266</v>
      </c>
      <c r="U296" s="1">
        <f t="shared" si="23"/>
        <v>45718</v>
      </c>
      <c r="V296">
        <f t="shared" si="24"/>
        <v>34848</v>
      </c>
    </row>
    <row r="297" spans="1:22" x14ac:dyDescent="0.3">
      <c r="A297" t="s">
        <v>315</v>
      </c>
      <c r="B297">
        <v>2024</v>
      </c>
      <c r="C297" s="1">
        <v>45505</v>
      </c>
      <c r="D297" t="s">
        <v>822</v>
      </c>
      <c r="E297" t="s">
        <v>900</v>
      </c>
      <c r="F297" t="s">
        <v>1662</v>
      </c>
      <c r="G297" t="s">
        <v>2167</v>
      </c>
      <c r="H297" t="s">
        <v>2183</v>
      </c>
      <c r="I297" t="s">
        <v>2204</v>
      </c>
      <c r="J297" t="s">
        <v>2211</v>
      </c>
      <c r="K297" t="s">
        <v>2221</v>
      </c>
      <c r="L297" t="s">
        <v>2246</v>
      </c>
      <c r="M297" t="s">
        <v>2250</v>
      </c>
      <c r="N297">
        <v>2</v>
      </c>
      <c r="O297">
        <f t="shared" si="20"/>
        <v>77440</v>
      </c>
      <c r="P297">
        <f t="shared" si="21"/>
        <v>154880</v>
      </c>
      <c r="Q297">
        <v>0</v>
      </c>
      <c r="R297">
        <f t="shared" si="22"/>
        <v>154880</v>
      </c>
      <c r="S297" t="s">
        <v>2262</v>
      </c>
      <c r="T297" t="s">
        <v>2265</v>
      </c>
      <c r="U297" s="1" t="str">
        <f t="shared" si="23"/>
        <v>Not Delivered</v>
      </c>
      <c r="V297">
        <f t="shared" si="24"/>
        <v>23232</v>
      </c>
    </row>
    <row r="298" spans="1:22" x14ac:dyDescent="0.3">
      <c r="A298" t="s">
        <v>316</v>
      </c>
      <c r="B298">
        <v>2025</v>
      </c>
      <c r="C298" s="1">
        <v>45666</v>
      </c>
      <c r="D298" t="s">
        <v>821</v>
      </c>
      <c r="E298" t="s">
        <v>1080</v>
      </c>
      <c r="F298" t="s">
        <v>1663</v>
      </c>
      <c r="G298" t="s">
        <v>2167</v>
      </c>
      <c r="H298" t="s">
        <v>2188</v>
      </c>
      <c r="I298" t="s">
        <v>2208</v>
      </c>
      <c r="J298" t="s">
        <v>2212</v>
      </c>
      <c r="K298" t="s">
        <v>2221</v>
      </c>
      <c r="L298" t="s">
        <v>2246</v>
      </c>
      <c r="M298" t="s">
        <v>2255</v>
      </c>
      <c r="N298">
        <v>1</v>
      </c>
      <c r="O298">
        <f t="shared" si="20"/>
        <v>77440</v>
      </c>
      <c r="P298">
        <f t="shared" si="21"/>
        <v>77440</v>
      </c>
      <c r="Q298">
        <v>15</v>
      </c>
      <c r="R298">
        <f t="shared" si="22"/>
        <v>65824</v>
      </c>
      <c r="S298" t="s">
        <v>2260</v>
      </c>
      <c r="T298" t="s">
        <v>2266</v>
      </c>
      <c r="U298" s="1">
        <f t="shared" si="23"/>
        <v>45673</v>
      </c>
      <c r="V298">
        <f t="shared" si="24"/>
        <v>11616</v>
      </c>
    </row>
    <row r="299" spans="1:22" x14ac:dyDescent="0.3">
      <c r="A299" t="s">
        <v>317</v>
      </c>
      <c r="B299">
        <v>2025</v>
      </c>
      <c r="C299" s="1">
        <v>45799</v>
      </c>
      <c r="D299" t="s">
        <v>820</v>
      </c>
      <c r="E299" t="s">
        <v>1081</v>
      </c>
      <c r="F299" t="s">
        <v>1664</v>
      </c>
      <c r="G299" t="s">
        <v>2167</v>
      </c>
      <c r="H299" t="s">
        <v>2168</v>
      </c>
      <c r="I299" t="s">
        <v>2200</v>
      </c>
      <c r="J299" t="s">
        <v>2212</v>
      </c>
      <c r="K299" t="s">
        <v>2232</v>
      </c>
      <c r="L299" t="s">
        <v>2243</v>
      </c>
      <c r="M299" t="s">
        <v>2257</v>
      </c>
      <c r="N299">
        <v>4</v>
      </c>
      <c r="O299">
        <f t="shared" si="20"/>
        <v>77440</v>
      </c>
      <c r="P299">
        <f t="shared" si="21"/>
        <v>309760</v>
      </c>
      <c r="Q299">
        <v>20</v>
      </c>
      <c r="R299">
        <f t="shared" si="22"/>
        <v>247808</v>
      </c>
      <c r="S299" t="s">
        <v>2262</v>
      </c>
      <c r="T299" t="s">
        <v>2265</v>
      </c>
      <c r="U299" s="1" t="str">
        <f t="shared" si="23"/>
        <v>Not Delivered</v>
      </c>
      <c r="V299">
        <f t="shared" si="24"/>
        <v>46464</v>
      </c>
    </row>
    <row r="300" spans="1:22" x14ac:dyDescent="0.3">
      <c r="A300" t="s">
        <v>318</v>
      </c>
      <c r="B300">
        <v>2024</v>
      </c>
      <c r="C300" s="1">
        <v>45366</v>
      </c>
      <c r="D300" t="s">
        <v>826</v>
      </c>
      <c r="E300" t="s">
        <v>1082</v>
      </c>
      <c r="F300" t="s">
        <v>1665</v>
      </c>
      <c r="G300" t="s">
        <v>2167</v>
      </c>
      <c r="H300" t="s">
        <v>2189</v>
      </c>
      <c r="I300" t="s">
        <v>2202</v>
      </c>
      <c r="J300" t="s">
        <v>2212</v>
      </c>
      <c r="K300" t="s">
        <v>2235</v>
      </c>
      <c r="L300" t="s">
        <v>2247</v>
      </c>
      <c r="M300" t="s">
        <v>2254</v>
      </c>
      <c r="N300">
        <v>2</v>
      </c>
      <c r="O300">
        <f t="shared" si="20"/>
        <v>77440</v>
      </c>
      <c r="P300">
        <f t="shared" si="21"/>
        <v>154880</v>
      </c>
      <c r="Q300">
        <v>15</v>
      </c>
      <c r="R300">
        <f t="shared" si="22"/>
        <v>131648</v>
      </c>
      <c r="S300" t="s">
        <v>2263</v>
      </c>
      <c r="T300" t="s">
        <v>2266</v>
      </c>
      <c r="U300" s="1">
        <f t="shared" si="23"/>
        <v>45373</v>
      </c>
      <c r="V300">
        <f t="shared" si="24"/>
        <v>23232</v>
      </c>
    </row>
    <row r="301" spans="1:22" x14ac:dyDescent="0.3">
      <c r="A301" t="s">
        <v>319</v>
      </c>
      <c r="B301">
        <v>2024</v>
      </c>
      <c r="C301" s="1">
        <v>45537</v>
      </c>
      <c r="D301" t="s">
        <v>828</v>
      </c>
      <c r="E301" t="s">
        <v>843</v>
      </c>
      <c r="F301" t="s">
        <v>1666</v>
      </c>
      <c r="G301" t="s">
        <v>2167</v>
      </c>
      <c r="H301" t="s">
        <v>2172</v>
      </c>
      <c r="I301" t="s">
        <v>2203</v>
      </c>
      <c r="J301" t="s">
        <v>2213</v>
      </c>
      <c r="K301" t="s">
        <v>2218</v>
      </c>
      <c r="L301" t="s">
        <v>2242</v>
      </c>
      <c r="M301" t="s">
        <v>2256</v>
      </c>
      <c r="N301">
        <v>4</v>
      </c>
      <c r="O301">
        <f t="shared" si="20"/>
        <v>77440</v>
      </c>
      <c r="P301">
        <f t="shared" si="21"/>
        <v>309760</v>
      </c>
      <c r="Q301">
        <v>10</v>
      </c>
      <c r="R301">
        <f t="shared" si="22"/>
        <v>278784</v>
      </c>
      <c r="S301" t="s">
        <v>2262</v>
      </c>
      <c r="T301" t="s">
        <v>2264</v>
      </c>
      <c r="U301" s="1" t="str">
        <f t="shared" si="23"/>
        <v>Not Delivered</v>
      </c>
      <c r="V301">
        <f t="shared" si="24"/>
        <v>46464</v>
      </c>
    </row>
    <row r="302" spans="1:22" x14ac:dyDescent="0.3">
      <c r="A302" t="s">
        <v>320</v>
      </c>
      <c r="B302">
        <v>2024</v>
      </c>
      <c r="C302" s="1">
        <v>45353</v>
      </c>
      <c r="D302" t="s">
        <v>828</v>
      </c>
      <c r="E302" t="s">
        <v>1083</v>
      </c>
      <c r="F302" t="s">
        <v>1667</v>
      </c>
      <c r="G302" t="s">
        <v>2167</v>
      </c>
      <c r="H302" t="s">
        <v>2199</v>
      </c>
      <c r="I302" t="s">
        <v>2205</v>
      </c>
      <c r="J302" t="s">
        <v>2213</v>
      </c>
      <c r="K302" t="s">
        <v>2222</v>
      </c>
      <c r="L302" t="s">
        <v>2247</v>
      </c>
      <c r="M302" t="s">
        <v>2256</v>
      </c>
      <c r="N302">
        <v>2</v>
      </c>
      <c r="O302">
        <f t="shared" si="20"/>
        <v>77440</v>
      </c>
      <c r="P302">
        <f t="shared" si="21"/>
        <v>154880</v>
      </c>
      <c r="Q302">
        <v>5</v>
      </c>
      <c r="R302">
        <f t="shared" si="22"/>
        <v>147136</v>
      </c>
      <c r="S302" t="s">
        <v>2261</v>
      </c>
      <c r="T302" t="s">
        <v>2265</v>
      </c>
      <c r="U302" s="1" t="str">
        <f t="shared" si="23"/>
        <v>Not Delivered</v>
      </c>
      <c r="V302">
        <f t="shared" si="24"/>
        <v>23232</v>
      </c>
    </row>
    <row r="303" spans="1:22" x14ac:dyDescent="0.3">
      <c r="A303" t="s">
        <v>321</v>
      </c>
      <c r="B303">
        <v>2024</v>
      </c>
      <c r="C303" s="1">
        <v>45510</v>
      </c>
      <c r="D303" t="s">
        <v>828</v>
      </c>
      <c r="E303" t="s">
        <v>999</v>
      </c>
      <c r="F303" t="s">
        <v>1668</v>
      </c>
      <c r="G303" t="s">
        <v>2167</v>
      </c>
      <c r="H303" t="s">
        <v>2178</v>
      </c>
      <c r="I303" t="s">
        <v>2207</v>
      </c>
      <c r="J303" t="s">
        <v>2212</v>
      </c>
      <c r="K303" t="s">
        <v>2227</v>
      </c>
      <c r="L303" t="s">
        <v>2247</v>
      </c>
      <c r="M303" t="s">
        <v>2257</v>
      </c>
      <c r="N303">
        <v>3</v>
      </c>
      <c r="O303">
        <f t="shared" si="20"/>
        <v>77440</v>
      </c>
      <c r="P303">
        <f t="shared" si="21"/>
        <v>232320</v>
      </c>
      <c r="Q303">
        <v>15</v>
      </c>
      <c r="R303">
        <f t="shared" si="22"/>
        <v>197472</v>
      </c>
      <c r="S303" t="s">
        <v>2261</v>
      </c>
      <c r="T303" t="s">
        <v>2265</v>
      </c>
      <c r="U303" s="1" t="str">
        <f t="shared" si="23"/>
        <v>Not Delivered</v>
      </c>
      <c r="V303">
        <f t="shared" si="24"/>
        <v>34848</v>
      </c>
    </row>
    <row r="304" spans="1:22" x14ac:dyDescent="0.3">
      <c r="A304" t="s">
        <v>322</v>
      </c>
      <c r="B304">
        <v>2025</v>
      </c>
      <c r="C304" s="1">
        <v>45677</v>
      </c>
      <c r="D304" t="s">
        <v>825</v>
      </c>
      <c r="E304" t="s">
        <v>1084</v>
      </c>
      <c r="F304" t="s">
        <v>1669</v>
      </c>
      <c r="G304" t="s">
        <v>2167</v>
      </c>
      <c r="H304" t="s">
        <v>2171</v>
      </c>
      <c r="I304" t="s">
        <v>2202</v>
      </c>
      <c r="J304" t="s">
        <v>2211</v>
      </c>
      <c r="K304" t="s">
        <v>2223</v>
      </c>
      <c r="L304" t="s">
        <v>2245</v>
      </c>
      <c r="M304" t="s">
        <v>2249</v>
      </c>
      <c r="N304">
        <v>3</v>
      </c>
      <c r="O304">
        <f t="shared" si="20"/>
        <v>77440</v>
      </c>
      <c r="P304">
        <f t="shared" si="21"/>
        <v>232320</v>
      </c>
      <c r="Q304">
        <v>10</v>
      </c>
      <c r="R304">
        <f t="shared" si="22"/>
        <v>209088</v>
      </c>
      <c r="S304" t="s">
        <v>2261</v>
      </c>
      <c r="T304" t="s">
        <v>2266</v>
      </c>
      <c r="U304" s="1">
        <f t="shared" si="23"/>
        <v>45684</v>
      </c>
      <c r="V304">
        <f t="shared" si="24"/>
        <v>34848</v>
      </c>
    </row>
    <row r="305" spans="1:22" x14ac:dyDescent="0.3">
      <c r="A305" t="s">
        <v>323</v>
      </c>
      <c r="B305">
        <v>2024</v>
      </c>
      <c r="C305" s="1">
        <v>45648</v>
      </c>
      <c r="D305" t="s">
        <v>821</v>
      </c>
      <c r="E305" t="s">
        <v>1085</v>
      </c>
      <c r="F305" t="s">
        <v>1670</v>
      </c>
      <c r="G305" t="s">
        <v>2167</v>
      </c>
      <c r="H305" t="s">
        <v>2188</v>
      </c>
      <c r="I305" t="s">
        <v>2208</v>
      </c>
      <c r="J305" t="s">
        <v>2212</v>
      </c>
      <c r="K305" t="s">
        <v>2228</v>
      </c>
      <c r="L305" t="s">
        <v>2243</v>
      </c>
      <c r="M305" t="s">
        <v>2256</v>
      </c>
      <c r="N305">
        <v>2</v>
      </c>
      <c r="O305">
        <f t="shared" si="20"/>
        <v>77440</v>
      </c>
      <c r="P305">
        <f t="shared" si="21"/>
        <v>154880</v>
      </c>
      <c r="Q305">
        <v>5</v>
      </c>
      <c r="R305">
        <f t="shared" si="22"/>
        <v>147136</v>
      </c>
      <c r="S305" t="s">
        <v>2263</v>
      </c>
      <c r="T305" t="s">
        <v>2265</v>
      </c>
      <c r="U305" s="1" t="str">
        <f t="shared" si="23"/>
        <v>Not Delivered</v>
      </c>
      <c r="V305">
        <f t="shared" si="24"/>
        <v>23232</v>
      </c>
    </row>
    <row r="306" spans="1:22" x14ac:dyDescent="0.3">
      <c r="A306" t="s">
        <v>324</v>
      </c>
      <c r="B306">
        <v>2025</v>
      </c>
      <c r="C306" s="1">
        <v>45722</v>
      </c>
      <c r="D306" t="s">
        <v>820</v>
      </c>
      <c r="E306" t="s">
        <v>913</v>
      </c>
      <c r="F306" t="s">
        <v>1671</v>
      </c>
      <c r="G306" t="s">
        <v>2167</v>
      </c>
      <c r="H306" t="s">
        <v>2186</v>
      </c>
      <c r="I306" t="s">
        <v>2201</v>
      </c>
      <c r="J306" t="s">
        <v>2213</v>
      </c>
      <c r="K306" t="s">
        <v>2223</v>
      </c>
      <c r="L306" t="s">
        <v>2245</v>
      </c>
      <c r="M306" t="s">
        <v>2259</v>
      </c>
      <c r="N306">
        <v>5</v>
      </c>
      <c r="O306">
        <f t="shared" si="20"/>
        <v>77440</v>
      </c>
      <c r="P306">
        <f t="shared" si="21"/>
        <v>387200</v>
      </c>
      <c r="Q306">
        <v>0</v>
      </c>
      <c r="R306">
        <f t="shared" si="22"/>
        <v>387200</v>
      </c>
      <c r="S306" t="s">
        <v>2261</v>
      </c>
      <c r="T306" t="s">
        <v>2265</v>
      </c>
      <c r="U306" s="1" t="str">
        <f t="shared" si="23"/>
        <v>Not Delivered</v>
      </c>
      <c r="V306">
        <f t="shared" si="24"/>
        <v>58080</v>
      </c>
    </row>
    <row r="307" spans="1:22" x14ac:dyDescent="0.3">
      <c r="A307" t="s">
        <v>325</v>
      </c>
      <c r="B307">
        <v>2024</v>
      </c>
      <c r="C307" s="1">
        <v>45514</v>
      </c>
      <c r="D307" t="s">
        <v>820</v>
      </c>
      <c r="E307" t="s">
        <v>845</v>
      </c>
      <c r="F307" t="s">
        <v>1672</v>
      </c>
      <c r="G307" t="s">
        <v>2167</v>
      </c>
      <c r="H307" t="s">
        <v>2182</v>
      </c>
      <c r="I307" t="s">
        <v>2206</v>
      </c>
      <c r="J307" t="s">
        <v>2211</v>
      </c>
      <c r="K307" t="s">
        <v>2235</v>
      </c>
      <c r="L307" t="s">
        <v>2247</v>
      </c>
      <c r="M307" t="s">
        <v>2254</v>
      </c>
      <c r="N307">
        <v>3</v>
      </c>
      <c r="O307">
        <f t="shared" si="20"/>
        <v>77440</v>
      </c>
      <c r="P307">
        <f t="shared" si="21"/>
        <v>232320</v>
      </c>
      <c r="Q307">
        <v>20</v>
      </c>
      <c r="R307">
        <f t="shared" si="22"/>
        <v>185856</v>
      </c>
      <c r="S307" t="s">
        <v>2262</v>
      </c>
      <c r="T307" t="s">
        <v>2266</v>
      </c>
      <c r="U307" s="1">
        <f t="shared" si="23"/>
        <v>45521</v>
      </c>
      <c r="V307">
        <f t="shared" si="24"/>
        <v>34848</v>
      </c>
    </row>
    <row r="308" spans="1:22" x14ac:dyDescent="0.3">
      <c r="A308" t="s">
        <v>326</v>
      </c>
      <c r="B308">
        <v>2024</v>
      </c>
      <c r="C308" s="1">
        <v>45469</v>
      </c>
      <c r="D308" t="s">
        <v>828</v>
      </c>
      <c r="E308" t="s">
        <v>904</v>
      </c>
      <c r="F308" t="s">
        <v>1673</v>
      </c>
      <c r="G308" t="s">
        <v>2167</v>
      </c>
      <c r="H308" t="s">
        <v>2183</v>
      </c>
      <c r="I308" t="s">
        <v>2204</v>
      </c>
      <c r="J308" t="s">
        <v>2210</v>
      </c>
      <c r="K308" t="s">
        <v>2227</v>
      </c>
      <c r="L308" t="s">
        <v>2247</v>
      </c>
      <c r="M308" t="s">
        <v>2248</v>
      </c>
      <c r="N308">
        <v>4</v>
      </c>
      <c r="O308">
        <f t="shared" si="20"/>
        <v>77440</v>
      </c>
      <c r="P308">
        <f t="shared" si="21"/>
        <v>309760</v>
      </c>
      <c r="Q308">
        <v>15</v>
      </c>
      <c r="R308">
        <f t="shared" si="22"/>
        <v>263296</v>
      </c>
      <c r="S308" t="s">
        <v>2260</v>
      </c>
      <c r="T308" t="s">
        <v>2264</v>
      </c>
      <c r="U308" s="1" t="str">
        <f t="shared" si="23"/>
        <v>Not Delivered</v>
      </c>
      <c r="V308">
        <f t="shared" si="24"/>
        <v>46464</v>
      </c>
    </row>
    <row r="309" spans="1:22" x14ac:dyDescent="0.3">
      <c r="A309" t="s">
        <v>327</v>
      </c>
      <c r="B309">
        <v>2025</v>
      </c>
      <c r="C309" s="1">
        <v>45702</v>
      </c>
      <c r="D309" t="s">
        <v>829</v>
      </c>
      <c r="E309" t="s">
        <v>1086</v>
      </c>
      <c r="F309" t="s">
        <v>1674</v>
      </c>
      <c r="G309" t="s">
        <v>2167</v>
      </c>
      <c r="H309" t="s">
        <v>2192</v>
      </c>
      <c r="I309" t="s">
        <v>2207</v>
      </c>
      <c r="J309" t="s">
        <v>2211</v>
      </c>
      <c r="K309" t="s">
        <v>2231</v>
      </c>
      <c r="L309" t="s">
        <v>2244</v>
      </c>
      <c r="M309" t="s">
        <v>2251</v>
      </c>
      <c r="N309">
        <v>5</v>
      </c>
      <c r="O309">
        <f t="shared" si="20"/>
        <v>77440</v>
      </c>
      <c r="P309">
        <f t="shared" si="21"/>
        <v>387200</v>
      </c>
      <c r="Q309">
        <v>0</v>
      </c>
      <c r="R309">
        <f t="shared" si="22"/>
        <v>387200</v>
      </c>
      <c r="S309" t="s">
        <v>2263</v>
      </c>
      <c r="T309" t="s">
        <v>2266</v>
      </c>
      <c r="U309" s="1">
        <f t="shared" si="23"/>
        <v>45709</v>
      </c>
      <c r="V309">
        <f t="shared" si="24"/>
        <v>58080</v>
      </c>
    </row>
    <row r="310" spans="1:22" x14ac:dyDescent="0.3">
      <c r="A310" t="s">
        <v>328</v>
      </c>
      <c r="B310">
        <v>2025</v>
      </c>
      <c r="C310" s="1">
        <v>45729</v>
      </c>
      <c r="D310" t="s">
        <v>828</v>
      </c>
      <c r="E310" t="s">
        <v>1087</v>
      </c>
      <c r="F310" t="s">
        <v>1675</v>
      </c>
      <c r="G310" t="s">
        <v>2167</v>
      </c>
      <c r="H310" t="s">
        <v>2197</v>
      </c>
      <c r="I310" t="s">
        <v>2209</v>
      </c>
      <c r="J310" t="s">
        <v>2213</v>
      </c>
      <c r="K310" t="s">
        <v>2239</v>
      </c>
      <c r="L310" t="s">
        <v>2245</v>
      </c>
      <c r="M310" t="s">
        <v>2252</v>
      </c>
      <c r="N310">
        <v>2</v>
      </c>
      <c r="O310">
        <f t="shared" si="20"/>
        <v>77440</v>
      </c>
      <c r="P310">
        <f t="shared" si="21"/>
        <v>154880</v>
      </c>
      <c r="Q310">
        <v>0</v>
      </c>
      <c r="R310">
        <f t="shared" si="22"/>
        <v>154880</v>
      </c>
      <c r="S310" t="s">
        <v>2260</v>
      </c>
      <c r="T310" t="s">
        <v>2264</v>
      </c>
      <c r="U310" s="1" t="str">
        <f t="shared" si="23"/>
        <v>Not Delivered</v>
      </c>
      <c r="V310">
        <f t="shared" si="24"/>
        <v>23232</v>
      </c>
    </row>
    <row r="311" spans="1:22" x14ac:dyDescent="0.3">
      <c r="A311" t="s">
        <v>329</v>
      </c>
      <c r="B311">
        <v>2025</v>
      </c>
      <c r="C311" s="1">
        <v>45666</v>
      </c>
      <c r="D311" t="s">
        <v>823</v>
      </c>
      <c r="E311" t="s">
        <v>835</v>
      </c>
      <c r="F311" t="s">
        <v>1676</v>
      </c>
      <c r="G311" t="s">
        <v>2167</v>
      </c>
      <c r="H311" t="s">
        <v>2171</v>
      </c>
      <c r="I311" t="s">
        <v>2202</v>
      </c>
      <c r="J311" t="s">
        <v>2213</v>
      </c>
      <c r="K311" t="s">
        <v>2240</v>
      </c>
      <c r="L311" t="s">
        <v>2246</v>
      </c>
      <c r="M311" t="s">
        <v>2252</v>
      </c>
      <c r="N311">
        <v>3</v>
      </c>
      <c r="O311">
        <f t="shared" si="20"/>
        <v>77440</v>
      </c>
      <c r="P311">
        <f t="shared" si="21"/>
        <v>232320</v>
      </c>
      <c r="Q311">
        <v>0</v>
      </c>
      <c r="R311">
        <f t="shared" si="22"/>
        <v>232320</v>
      </c>
      <c r="S311" t="s">
        <v>2261</v>
      </c>
      <c r="T311" t="s">
        <v>2265</v>
      </c>
      <c r="U311" s="1" t="str">
        <f t="shared" si="23"/>
        <v>Not Delivered</v>
      </c>
      <c r="V311">
        <f t="shared" si="24"/>
        <v>34848</v>
      </c>
    </row>
    <row r="312" spans="1:22" x14ac:dyDescent="0.3">
      <c r="A312" t="s">
        <v>330</v>
      </c>
      <c r="B312">
        <v>2024</v>
      </c>
      <c r="C312" s="1">
        <v>45559</v>
      </c>
      <c r="D312" t="s">
        <v>828</v>
      </c>
      <c r="E312" t="s">
        <v>1088</v>
      </c>
      <c r="F312" t="s">
        <v>1677</v>
      </c>
      <c r="G312" t="s">
        <v>2167</v>
      </c>
      <c r="H312" t="s">
        <v>2168</v>
      </c>
      <c r="I312" t="s">
        <v>2200</v>
      </c>
      <c r="J312" t="s">
        <v>2211</v>
      </c>
      <c r="K312" t="s">
        <v>2235</v>
      </c>
      <c r="L312" t="s">
        <v>2247</v>
      </c>
      <c r="M312" t="s">
        <v>2257</v>
      </c>
      <c r="N312">
        <v>4</v>
      </c>
      <c r="O312">
        <f t="shared" si="20"/>
        <v>77440</v>
      </c>
      <c r="P312">
        <f t="shared" si="21"/>
        <v>309760</v>
      </c>
      <c r="Q312">
        <v>15</v>
      </c>
      <c r="R312">
        <f t="shared" si="22"/>
        <v>263296</v>
      </c>
      <c r="S312" t="s">
        <v>2260</v>
      </c>
      <c r="T312" t="s">
        <v>2264</v>
      </c>
      <c r="U312" s="1" t="str">
        <f t="shared" si="23"/>
        <v>Not Delivered</v>
      </c>
      <c r="V312">
        <f t="shared" si="24"/>
        <v>46464</v>
      </c>
    </row>
    <row r="313" spans="1:22" x14ac:dyDescent="0.3">
      <c r="A313" t="s">
        <v>331</v>
      </c>
      <c r="B313">
        <v>2024</v>
      </c>
      <c r="C313" s="1">
        <v>45650</v>
      </c>
      <c r="D313" t="s">
        <v>829</v>
      </c>
      <c r="E313" t="s">
        <v>1089</v>
      </c>
      <c r="F313" t="s">
        <v>1678</v>
      </c>
      <c r="G313" t="s">
        <v>2167</v>
      </c>
      <c r="H313" t="s">
        <v>2170</v>
      </c>
      <c r="I313" t="s">
        <v>2201</v>
      </c>
      <c r="J313" t="s">
        <v>2210</v>
      </c>
      <c r="K313" t="s">
        <v>2233</v>
      </c>
      <c r="L313" t="s">
        <v>2245</v>
      </c>
      <c r="M313" t="s">
        <v>2259</v>
      </c>
      <c r="N313">
        <v>2</v>
      </c>
      <c r="O313">
        <f t="shared" si="20"/>
        <v>77440</v>
      </c>
      <c r="P313">
        <f t="shared" si="21"/>
        <v>154880</v>
      </c>
      <c r="Q313">
        <v>10</v>
      </c>
      <c r="R313">
        <f t="shared" si="22"/>
        <v>139392</v>
      </c>
      <c r="S313" t="s">
        <v>2263</v>
      </c>
      <c r="T313" t="s">
        <v>2266</v>
      </c>
      <c r="U313" s="1">
        <f t="shared" si="23"/>
        <v>45657</v>
      </c>
      <c r="V313">
        <f t="shared" si="24"/>
        <v>23232</v>
      </c>
    </row>
    <row r="314" spans="1:22" x14ac:dyDescent="0.3">
      <c r="A314" t="s">
        <v>332</v>
      </c>
      <c r="B314">
        <v>2024</v>
      </c>
      <c r="C314" s="1">
        <v>45478</v>
      </c>
      <c r="D314" t="s">
        <v>829</v>
      </c>
      <c r="E314" t="s">
        <v>1066</v>
      </c>
      <c r="F314" t="s">
        <v>1679</v>
      </c>
      <c r="G314" t="s">
        <v>2167</v>
      </c>
      <c r="H314" t="s">
        <v>2189</v>
      </c>
      <c r="I314" t="s">
        <v>2202</v>
      </c>
      <c r="J314" t="s">
        <v>2211</v>
      </c>
      <c r="K314" t="s">
        <v>2230</v>
      </c>
      <c r="L314" t="s">
        <v>2247</v>
      </c>
      <c r="M314" t="s">
        <v>2249</v>
      </c>
      <c r="N314">
        <v>5</v>
      </c>
      <c r="O314">
        <f t="shared" si="20"/>
        <v>77440</v>
      </c>
      <c r="P314">
        <f t="shared" si="21"/>
        <v>387200</v>
      </c>
      <c r="Q314">
        <v>20</v>
      </c>
      <c r="R314">
        <f t="shared" si="22"/>
        <v>309760</v>
      </c>
      <c r="S314" t="s">
        <v>2260</v>
      </c>
      <c r="T314" t="s">
        <v>2265</v>
      </c>
      <c r="U314" s="1" t="str">
        <f t="shared" si="23"/>
        <v>Not Delivered</v>
      </c>
      <c r="V314">
        <f t="shared" si="24"/>
        <v>58080</v>
      </c>
    </row>
    <row r="315" spans="1:22" x14ac:dyDescent="0.3">
      <c r="A315" t="s">
        <v>333</v>
      </c>
      <c r="B315">
        <v>2024</v>
      </c>
      <c r="C315" s="1">
        <v>45622</v>
      </c>
      <c r="D315" t="s">
        <v>829</v>
      </c>
      <c r="E315" t="s">
        <v>1090</v>
      </c>
      <c r="F315" t="s">
        <v>1680</v>
      </c>
      <c r="G315" t="s">
        <v>2167</v>
      </c>
      <c r="H315" t="s">
        <v>2170</v>
      </c>
      <c r="I315" t="s">
        <v>2201</v>
      </c>
      <c r="J315" t="s">
        <v>2211</v>
      </c>
      <c r="K315" t="s">
        <v>2227</v>
      </c>
      <c r="L315" t="s">
        <v>2247</v>
      </c>
      <c r="M315" t="s">
        <v>2253</v>
      </c>
      <c r="N315">
        <v>5</v>
      </c>
      <c r="O315">
        <f t="shared" si="20"/>
        <v>77440</v>
      </c>
      <c r="P315">
        <f t="shared" si="21"/>
        <v>387200</v>
      </c>
      <c r="Q315">
        <v>10</v>
      </c>
      <c r="R315">
        <f t="shared" si="22"/>
        <v>348480</v>
      </c>
      <c r="S315" t="s">
        <v>2260</v>
      </c>
      <c r="T315" t="s">
        <v>2264</v>
      </c>
      <c r="U315" s="1" t="str">
        <f t="shared" si="23"/>
        <v>Not Delivered</v>
      </c>
      <c r="V315">
        <f t="shared" si="24"/>
        <v>58080</v>
      </c>
    </row>
    <row r="316" spans="1:22" x14ac:dyDescent="0.3">
      <c r="A316" t="s">
        <v>334</v>
      </c>
      <c r="B316">
        <v>2024</v>
      </c>
      <c r="C316" s="1">
        <v>45403</v>
      </c>
      <c r="D316" t="s">
        <v>827</v>
      </c>
      <c r="E316" t="s">
        <v>1091</v>
      </c>
      <c r="F316" t="s">
        <v>1681</v>
      </c>
      <c r="G316" t="s">
        <v>2167</v>
      </c>
      <c r="H316" t="s">
        <v>2177</v>
      </c>
      <c r="I316" t="s">
        <v>2206</v>
      </c>
      <c r="J316" t="s">
        <v>2211</v>
      </c>
      <c r="K316" t="s">
        <v>2219</v>
      </c>
      <c r="L316" t="s">
        <v>2243</v>
      </c>
      <c r="M316" t="s">
        <v>2255</v>
      </c>
      <c r="N316">
        <v>3</v>
      </c>
      <c r="O316">
        <f t="shared" si="20"/>
        <v>77440</v>
      </c>
      <c r="P316">
        <f t="shared" si="21"/>
        <v>232320</v>
      </c>
      <c r="Q316">
        <v>0</v>
      </c>
      <c r="R316">
        <f t="shared" si="22"/>
        <v>232320</v>
      </c>
      <c r="S316" t="s">
        <v>2262</v>
      </c>
      <c r="T316" t="s">
        <v>2264</v>
      </c>
      <c r="U316" s="1" t="str">
        <f t="shared" si="23"/>
        <v>Not Delivered</v>
      </c>
      <c r="V316">
        <f t="shared" si="24"/>
        <v>34848</v>
      </c>
    </row>
    <row r="317" spans="1:22" x14ac:dyDescent="0.3">
      <c r="A317" t="s">
        <v>335</v>
      </c>
      <c r="B317">
        <v>2025</v>
      </c>
      <c r="C317" s="1">
        <v>45823</v>
      </c>
      <c r="D317" t="s">
        <v>824</v>
      </c>
      <c r="E317" t="s">
        <v>1092</v>
      </c>
      <c r="F317" t="s">
        <v>1682</v>
      </c>
      <c r="G317" t="s">
        <v>2167</v>
      </c>
      <c r="H317" t="s">
        <v>2179</v>
      </c>
      <c r="I317" t="s">
        <v>2206</v>
      </c>
      <c r="J317" t="s">
        <v>2211</v>
      </c>
      <c r="K317" t="s">
        <v>2237</v>
      </c>
      <c r="L317" t="s">
        <v>2246</v>
      </c>
      <c r="M317" t="s">
        <v>2248</v>
      </c>
      <c r="N317">
        <v>2</v>
      </c>
      <c r="O317">
        <f t="shared" si="20"/>
        <v>77440</v>
      </c>
      <c r="P317">
        <f t="shared" si="21"/>
        <v>154880</v>
      </c>
      <c r="Q317">
        <v>5</v>
      </c>
      <c r="R317">
        <f t="shared" si="22"/>
        <v>147136</v>
      </c>
      <c r="S317" t="s">
        <v>2260</v>
      </c>
      <c r="T317" t="s">
        <v>2264</v>
      </c>
      <c r="U317" s="1" t="str">
        <f t="shared" si="23"/>
        <v>Not Delivered</v>
      </c>
      <c r="V317">
        <f t="shared" si="24"/>
        <v>23232</v>
      </c>
    </row>
    <row r="318" spans="1:22" x14ac:dyDescent="0.3">
      <c r="A318" t="s">
        <v>336</v>
      </c>
      <c r="B318">
        <v>2024</v>
      </c>
      <c r="C318" s="1">
        <v>45444</v>
      </c>
      <c r="D318" t="s">
        <v>822</v>
      </c>
      <c r="E318" t="s">
        <v>1093</v>
      </c>
      <c r="F318" t="s">
        <v>1683</v>
      </c>
      <c r="G318" t="s">
        <v>2167</v>
      </c>
      <c r="H318" t="s">
        <v>2184</v>
      </c>
      <c r="I318" t="s">
        <v>2202</v>
      </c>
      <c r="J318" t="s">
        <v>2210</v>
      </c>
      <c r="K318" t="s">
        <v>2220</v>
      </c>
      <c r="L318" t="s">
        <v>2245</v>
      </c>
      <c r="M318" t="s">
        <v>2254</v>
      </c>
      <c r="N318">
        <v>2</v>
      </c>
      <c r="O318">
        <f t="shared" si="20"/>
        <v>77440</v>
      </c>
      <c r="P318">
        <f t="shared" si="21"/>
        <v>154880</v>
      </c>
      <c r="Q318">
        <v>0</v>
      </c>
      <c r="R318">
        <f t="shared" si="22"/>
        <v>154880</v>
      </c>
      <c r="S318" t="s">
        <v>2262</v>
      </c>
      <c r="T318" t="s">
        <v>2266</v>
      </c>
      <c r="U318" s="1">
        <f t="shared" si="23"/>
        <v>45451</v>
      </c>
      <c r="V318">
        <f t="shared" si="24"/>
        <v>23232</v>
      </c>
    </row>
    <row r="319" spans="1:22" x14ac:dyDescent="0.3">
      <c r="A319" t="s">
        <v>337</v>
      </c>
      <c r="B319">
        <v>2025</v>
      </c>
      <c r="C319" s="1">
        <v>45743</v>
      </c>
      <c r="D319" t="s">
        <v>826</v>
      </c>
      <c r="E319" t="s">
        <v>1017</v>
      </c>
      <c r="F319" t="s">
        <v>1684</v>
      </c>
      <c r="G319" t="s">
        <v>2167</v>
      </c>
      <c r="H319" t="s">
        <v>2170</v>
      </c>
      <c r="I319" t="s">
        <v>2201</v>
      </c>
      <c r="J319" t="s">
        <v>2210</v>
      </c>
      <c r="K319" t="s">
        <v>2231</v>
      </c>
      <c r="L319" t="s">
        <v>2244</v>
      </c>
      <c r="M319" t="s">
        <v>2252</v>
      </c>
      <c r="N319">
        <v>2</v>
      </c>
      <c r="O319">
        <f t="shared" si="20"/>
        <v>77440</v>
      </c>
      <c r="P319">
        <f t="shared" si="21"/>
        <v>154880</v>
      </c>
      <c r="Q319">
        <v>10</v>
      </c>
      <c r="R319">
        <f t="shared" si="22"/>
        <v>139392</v>
      </c>
      <c r="S319" t="s">
        <v>2263</v>
      </c>
      <c r="T319" t="s">
        <v>2265</v>
      </c>
      <c r="U319" s="1" t="str">
        <f t="shared" si="23"/>
        <v>Not Delivered</v>
      </c>
      <c r="V319">
        <f t="shared" si="24"/>
        <v>23232</v>
      </c>
    </row>
    <row r="320" spans="1:22" x14ac:dyDescent="0.3">
      <c r="A320" t="s">
        <v>338</v>
      </c>
      <c r="B320">
        <v>2024</v>
      </c>
      <c r="C320" s="1">
        <v>45417</v>
      </c>
      <c r="D320" t="s">
        <v>825</v>
      </c>
      <c r="E320" t="s">
        <v>1094</v>
      </c>
      <c r="F320" t="s">
        <v>1685</v>
      </c>
      <c r="G320" t="s">
        <v>2167</v>
      </c>
      <c r="H320" t="s">
        <v>2180</v>
      </c>
      <c r="I320" t="s">
        <v>2208</v>
      </c>
      <c r="J320" t="s">
        <v>2212</v>
      </c>
      <c r="K320" t="s">
        <v>2240</v>
      </c>
      <c r="L320" t="s">
        <v>2246</v>
      </c>
      <c r="M320" t="s">
        <v>2251</v>
      </c>
      <c r="N320">
        <v>5</v>
      </c>
      <c r="O320">
        <f t="shared" si="20"/>
        <v>77440</v>
      </c>
      <c r="P320">
        <f t="shared" si="21"/>
        <v>387200</v>
      </c>
      <c r="Q320">
        <v>5</v>
      </c>
      <c r="R320">
        <f t="shared" si="22"/>
        <v>367840</v>
      </c>
      <c r="S320" t="s">
        <v>2263</v>
      </c>
      <c r="T320" t="s">
        <v>2266</v>
      </c>
      <c r="U320" s="1">
        <f t="shared" si="23"/>
        <v>45424</v>
      </c>
      <c r="V320">
        <f t="shared" si="24"/>
        <v>58080</v>
      </c>
    </row>
    <row r="321" spans="1:22" x14ac:dyDescent="0.3">
      <c r="A321" t="s">
        <v>339</v>
      </c>
      <c r="B321">
        <v>2025</v>
      </c>
      <c r="C321" s="1">
        <v>45695</v>
      </c>
      <c r="D321" t="s">
        <v>823</v>
      </c>
      <c r="E321" t="s">
        <v>880</v>
      </c>
      <c r="F321" t="s">
        <v>1686</v>
      </c>
      <c r="G321" t="s">
        <v>2167</v>
      </c>
      <c r="H321" t="s">
        <v>2192</v>
      </c>
      <c r="I321" t="s">
        <v>2207</v>
      </c>
      <c r="J321" t="s">
        <v>2210</v>
      </c>
      <c r="K321" t="s">
        <v>2222</v>
      </c>
      <c r="L321" t="s">
        <v>2247</v>
      </c>
      <c r="M321" t="s">
        <v>2250</v>
      </c>
      <c r="N321">
        <v>5</v>
      </c>
      <c r="O321">
        <f t="shared" si="20"/>
        <v>77440</v>
      </c>
      <c r="P321">
        <f t="shared" si="21"/>
        <v>387200</v>
      </c>
      <c r="Q321">
        <v>15</v>
      </c>
      <c r="R321">
        <f t="shared" si="22"/>
        <v>329120</v>
      </c>
      <c r="S321" t="s">
        <v>2263</v>
      </c>
      <c r="T321" t="s">
        <v>2266</v>
      </c>
      <c r="U321" s="1">
        <f t="shared" si="23"/>
        <v>45702</v>
      </c>
      <c r="V321">
        <f t="shared" si="24"/>
        <v>58080</v>
      </c>
    </row>
    <row r="322" spans="1:22" x14ac:dyDescent="0.3">
      <c r="A322" t="s">
        <v>340</v>
      </c>
      <c r="B322">
        <v>2024</v>
      </c>
      <c r="C322" s="1">
        <v>45460</v>
      </c>
      <c r="D322" t="s">
        <v>825</v>
      </c>
      <c r="E322" t="s">
        <v>1095</v>
      </c>
      <c r="F322" t="s">
        <v>1687</v>
      </c>
      <c r="G322" t="s">
        <v>2167</v>
      </c>
      <c r="H322" t="s">
        <v>2175</v>
      </c>
      <c r="I322" t="s">
        <v>2203</v>
      </c>
      <c r="J322" t="s">
        <v>2211</v>
      </c>
      <c r="K322" t="s">
        <v>2223</v>
      </c>
      <c r="L322" t="s">
        <v>2245</v>
      </c>
      <c r="M322" t="s">
        <v>2254</v>
      </c>
      <c r="N322">
        <v>2</v>
      </c>
      <c r="O322">
        <f t="shared" si="20"/>
        <v>77440</v>
      </c>
      <c r="P322">
        <f t="shared" si="21"/>
        <v>154880</v>
      </c>
      <c r="Q322">
        <v>15</v>
      </c>
      <c r="R322">
        <f t="shared" si="22"/>
        <v>131648</v>
      </c>
      <c r="S322" t="s">
        <v>2260</v>
      </c>
      <c r="T322" t="s">
        <v>2264</v>
      </c>
      <c r="U322" s="1" t="str">
        <f t="shared" si="23"/>
        <v>Not Delivered</v>
      </c>
      <c r="V322">
        <f t="shared" si="24"/>
        <v>23232</v>
      </c>
    </row>
    <row r="323" spans="1:22" x14ac:dyDescent="0.3">
      <c r="A323" t="s">
        <v>341</v>
      </c>
      <c r="B323">
        <v>2024</v>
      </c>
      <c r="C323" s="1">
        <v>45450</v>
      </c>
      <c r="D323" t="s">
        <v>823</v>
      </c>
      <c r="E323" t="s">
        <v>1092</v>
      </c>
      <c r="F323" t="s">
        <v>1688</v>
      </c>
      <c r="G323" t="s">
        <v>2167</v>
      </c>
      <c r="H323" t="s">
        <v>2168</v>
      </c>
      <c r="I323" t="s">
        <v>2200</v>
      </c>
      <c r="J323" t="s">
        <v>2213</v>
      </c>
      <c r="K323" t="s">
        <v>2227</v>
      </c>
      <c r="L323" t="s">
        <v>2247</v>
      </c>
      <c r="M323" t="s">
        <v>2255</v>
      </c>
      <c r="N323">
        <v>5</v>
      </c>
      <c r="O323">
        <f t="shared" ref="O323:O386" si="25">ROUNDUP((77431.41),-1)</f>
        <v>77440</v>
      </c>
      <c r="P323">
        <f t="shared" ref="P323:P386" si="26">O323*N323</f>
        <v>387200</v>
      </c>
      <c r="Q323">
        <v>15</v>
      </c>
      <c r="R323">
        <f t="shared" ref="R323:R386" si="27">P323*(1-Q323/100)</f>
        <v>329120</v>
      </c>
      <c r="S323" t="s">
        <v>2263</v>
      </c>
      <c r="T323" t="s">
        <v>2264</v>
      </c>
      <c r="U323" s="1" t="str">
        <f t="shared" ref="U323:U386" si="28">IF(T323="Delivered", C323 + 7, "Not Delivered")</f>
        <v>Not Delivered</v>
      </c>
      <c r="V323">
        <f t="shared" ref="V323:V386" si="29">P323*15%</f>
        <v>58080</v>
      </c>
    </row>
    <row r="324" spans="1:22" x14ac:dyDescent="0.3">
      <c r="A324" t="s">
        <v>342</v>
      </c>
      <c r="B324">
        <v>2024</v>
      </c>
      <c r="C324" s="1">
        <v>45517</v>
      </c>
      <c r="D324" t="s">
        <v>822</v>
      </c>
      <c r="E324" t="s">
        <v>1096</v>
      </c>
      <c r="F324" t="s">
        <v>1689</v>
      </c>
      <c r="G324" t="s">
        <v>2167</v>
      </c>
      <c r="H324" t="s">
        <v>2199</v>
      </c>
      <c r="I324" t="s">
        <v>2205</v>
      </c>
      <c r="J324" t="s">
        <v>2211</v>
      </c>
      <c r="K324" t="s">
        <v>2240</v>
      </c>
      <c r="L324" t="s">
        <v>2246</v>
      </c>
      <c r="M324" t="s">
        <v>2248</v>
      </c>
      <c r="N324">
        <v>5</v>
      </c>
      <c r="O324">
        <f t="shared" si="25"/>
        <v>77440</v>
      </c>
      <c r="P324">
        <f t="shared" si="26"/>
        <v>387200</v>
      </c>
      <c r="Q324">
        <v>10</v>
      </c>
      <c r="R324">
        <f t="shared" si="27"/>
        <v>348480</v>
      </c>
      <c r="S324" t="s">
        <v>2262</v>
      </c>
      <c r="T324" t="s">
        <v>2265</v>
      </c>
      <c r="U324" s="1" t="str">
        <f t="shared" si="28"/>
        <v>Not Delivered</v>
      </c>
      <c r="V324">
        <f t="shared" si="29"/>
        <v>58080</v>
      </c>
    </row>
    <row r="325" spans="1:22" x14ac:dyDescent="0.3">
      <c r="A325" t="s">
        <v>343</v>
      </c>
      <c r="B325">
        <v>2024</v>
      </c>
      <c r="C325" s="1">
        <v>45524</v>
      </c>
      <c r="D325" t="s">
        <v>823</v>
      </c>
      <c r="E325" t="s">
        <v>1097</v>
      </c>
      <c r="F325" t="s">
        <v>1690</v>
      </c>
      <c r="G325" t="s">
        <v>2167</v>
      </c>
      <c r="H325" t="s">
        <v>2181</v>
      </c>
      <c r="I325" t="s">
        <v>2209</v>
      </c>
      <c r="J325" t="s">
        <v>2210</v>
      </c>
      <c r="K325" t="s">
        <v>2237</v>
      </c>
      <c r="L325" t="s">
        <v>2246</v>
      </c>
      <c r="M325" t="s">
        <v>2250</v>
      </c>
      <c r="N325">
        <v>5</v>
      </c>
      <c r="O325">
        <f t="shared" si="25"/>
        <v>77440</v>
      </c>
      <c r="P325">
        <f t="shared" si="26"/>
        <v>387200</v>
      </c>
      <c r="Q325">
        <v>20</v>
      </c>
      <c r="R325">
        <f t="shared" si="27"/>
        <v>309760</v>
      </c>
      <c r="S325" t="s">
        <v>2263</v>
      </c>
      <c r="T325" t="s">
        <v>2264</v>
      </c>
      <c r="U325" s="1" t="str">
        <f t="shared" si="28"/>
        <v>Not Delivered</v>
      </c>
      <c r="V325">
        <f t="shared" si="29"/>
        <v>58080</v>
      </c>
    </row>
    <row r="326" spans="1:22" x14ac:dyDescent="0.3">
      <c r="A326" t="s">
        <v>344</v>
      </c>
      <c r="B326">
        <v>2024</v>
      </c>
      <c r="C326" s="1">
        <v>45630</v>
      </c>
      <c r="D326" t="s">
        <v>821</v>
      </c>
      <c r="E326" t="s">
        <v>1098</v>
      </c>
      <c r="F326" t="s">
        <v>1691</v>
      </c>
      <c r="G326" t="s">
        <v>2167</v>
      </c>
      <c r="H326" t="s">
        <v>2183</v>
      </c>
      <c r="I326" t="s">
        <v>2204</v>
      </c>
      <c r="J326" t="s">
        <v>2212</v>
      </c>
      <c r="K326" t="s">
        <v>2229</v>
      </c>
      <c r="L326" t="s">
        <v>2246</v>
      </c>
      <c r="M326" t="s">
        <v>2253</v>
      </c>
      <c r="N326">
        <v>2</v>
      </c>
      <c r="O326">
        <f t="shared" si="25"/>
        <v>77440</v>
      </c>
      <c r="P326">
        <f t="shared" si="26"/>
        <v>154880</v>
      </c>
      <c r="Q326">
        <v>10</v>
      </c>
      <c r="R326">
        <f t="shared" si="27"/>
        <v>139392</v>
      </c>
      <c r="S326" t="s">
        <v>2263</v>
      </c>
      <c r="T326" t="s">
        <v>2266</v>
      </c>
      <c r="U326" s="1">
        <f t="shared" si="28"/>
        <v>45637</v>
      </c>
      <c r="V326">
        <f t="shared" si="29"/>
        <v>23232</v>
      </c>
    </row>
    <row r="327" spans="1:22" x14ac:dyDescent="0.3">
      <c r="A327" t="s">
        <v>345</v>
      </c>
      <c r="B327">
        <v>2025</v>
      </c>
      <c r="C327" s="1">
        <v>45728</v>
      </c>
      <c r="D327" t="s">
        <v>824</v>
      </c>
      <c r="E327" t="s">
        <v>890</v>
      </c>
      <c r="F327" t="s">
        <v>1692</v>
      </c>
      <c r="G327" t="s">
        <v>2167</v>
      </c>
      <c r="H327" t="s">
        <v>2174</v>
      </c>
      <c r="I327" t="s">
        <v>2205</v>
      </c>
      <c r="J327" t="s">
        <v>2213</v>
      </c>
      <c r="K327" t="s">
        <v>2214</v>
      </c>
      <c r="L327" t="s">
        <v>2242</v>
      </c>
      <c r="M327" t="s">
        <v>2257</v>
      </c>
      <c r="N327">
        <v>4</v>
      </c>
      <c r="O327">
        <f t="shared" si="25"/>
        <v>77440</v>
      </c>
      <c r="P327">
        <f t="shared" si="26"/>
        <v>309760</v>
      </c>
      <c r="Q327">
        <v>20</v>
      </c>
      <c r="R327">
        <f t="shared" si="27"/>
        <v>247808</v>
      </c>
      <c r="S327" t="s">
        <v>2260</v>
      </c>
      <c r="T327" t="s">
        <v>2264</v>
      </c>
      <c r="U327" s="1" t="str">
        <f t="shared" si="28"/>
        <v>Not Delivered</v>
      </c>
      <c r="V327">
        <f t="shared" si="29"/>
        <v>46464</v>
      </c>
    </row>
    <row r="328" spans="1:22" x14ac:dyDescent="0.3">
      <c r="A328" t="s">
        <v>346</v>
      </c>
      <c r="B328">
        <v>2024</v>
      </c>
      <c r="C328" s="1">
        <v>45598</v>
      </c>
      <c r="D328" t="s">
        <v>823</v>
      </c>
      <c r="E328" t="s">
        <v>1099</v>
      </c>
      <c r="F328" t="s">
        <v>1693</v>
      </c>
      <c r="G328" t="s">
        <v>2167</v>
      </c>
      <c r="H328" t="s">
        <v>2194</v>
      </c>
      <c r="I328" t="s">
        <v>2201</v>
      </c>
      <c r="J328" t="s">
        <v>2212</v>
      </c>
      <c r="K328" t="s">
        <v>2214</v>
      </c>
      <c r="L328" t="s">
        <v>2242</v>
      </c>
      <c r="M328" t="s">
        <v>2255</v>
      </c>
      <c r="N328">
        <v>2</v>
      </c>
      <c r="O328">
        <f t="shared" si="25"/>
        <v>77440</v>
      </c>
      <c r="P328">
        <f t="shared" si="26"/>
        <v>154880</v>
      </c>
      <c r="Q328">
        <v>20</v>
      </c>
      <c r="R328">
        <f t="shared" si="27"/>
        <v>123904</v>
      </c>
      <c r="S328" t="s">
        <v>2262</v>
      </c>
      <c r="T328" t="s">
        <v>2264</v>
      </c>
      <c r="U328" s="1" t="str">
        <f t="shared" si="28"/>
        <v>Not Delivered</v>
      </c>
      <c r="V328">
        <f t="shared" si="29"/>
        <v>23232</v>
      </c>
    </row>
    <row r="329" spans="1:22" x14ac:dyDescent="0.3">
      <c r="A329" t="s">
        <v>347</v>
      </c>
      <c r="B329">
        <v>2025</v>
      </c>
      <c r="C329" s="1">
        <v>45811</v>
      </c>
      <c r="D329" t="s">
        <v>829</v>
      </c>
      <c r="E329" t="s">
        <v>854</v>
      </c>
      <c r="F329" t="s">
        <v>1694</v>
      </c>
      <c r="G329" t="s">
        <v>2167</v>
      </c>
      <c r="H329" t="s">
        <v>2197</v>
      </c>
      <c r="I329" t="s">
        <v>2209</v>
      </c>
      <c r="J329" t="s">
        <v>2212</v>
      </c>
      <c r="K329" t="s">
        <v>2237</v>
      </c>
      <c r="L329" t="s">
        <v>2246</v>
      </c>
      <c r="M329" t="s">
        <v>2252</v>
      </c>
      <c r="N329">
        <v>2</v>
      </c>
      <c r="O329">
        <f t="shared" si="25"/>
        <v>77440</v>
      </c>
      <c r="P329">
        <f t="shared" si="26"/>
        <v>154880</v>
      </c>
      <c r="Q329">
        <v>10</v>
      </c>
      <c r="R329">
        <f t="shared" si="27"/>
        <v>139392</v>
      </c>
      <c r="S329" t="s">
        <v>2261</v>
      </c>
      <c r="T329" t="s">
        <v>2264</v>
      </c>
      <c r="U329" s="1" t="str">
        <f t="shared" si="28"/>
        <v>Not Delivered</v>
      </c>
      <c r="V329">
        <f t="shared" si="29"/>
        <v>23232</v>
      </c>
    </row>
    <row r="330" spans="1:22" x14ac:dyDescent="0.3">
      <c r="A330" t="s">
        <v>348</v>
      </c>
      <c r="B330">
        <v>2024</v>
      </c>
      <c r="C330" s="1">
        <v>45336</v>
      </c>
      <c r="D330" t="s">
        <v>822</v>
      </c>
      <c r="E330" t="s">
        <v>1100</v>
      </c>
      <c r="F330" t="s">
        <v>1695</v>
      </c>
      <c r="G330" t="s">
        <v>2167</v>
      </c>
      <c r="H330" t="s">
        <v>2189</v>
      </c>
      <c r="I330" t="s">
        <v>2202</v>
      </c>
      <c r="J330" t="s">
        <v>2210</v>
      </c>
      <c r="K330" t="s">
        <v>2224</v>
      </c>
      <c r="L330" t="s">
        <v>2245</v>
      </c>
      <c r="M330" t="s">
        <v>2254</v>
      </c>
      <c r="N330">
        <v>4</v>
      </c>
      <c r="O330">
        <f t="shared" si="25"/>
        <v>77440</v>
      </c>
      <c r="P330">
        <f t="shared" si="26"/>
        <v>309760</v>
      </c>
      <c r="Q330">
        <v>0</v>
      </c>
      <c r="R330">
        <f t="shared" si="27"/>
        <v>309760</v>
      </c>
      <c r="S330" t="s">
        <v>2263</v>
      </c>
      <c r="T330" t="s">
        <v>2265</v>
      </c>
      <c r="U330" s="1" t="str">
        <f t="shared" si="28"/>
        <v>Not Delivered</v>
      </c>
      <c r="V330">
        <f t="shared" si="29"/>
        <v>46464</v>
      </c>
    </row>
    <row r="331" spans="1:22" x14ac:dyDescent="0.3">
      <c r="A331" t="s">
        <v>349</v>
      </c>
      <c r="B331">
        <v>2024</v>
      </c>
      <c r="C331" s="1">
        <v>45581</v>
      </c>
      <c r="D331" t="s">
        <v>829</v>
      </c>
      <c r="E331" t="s">
        <v>1101</v>
      </c>
      <c r="F331" t="s">
        <v>1696</v>
      </c>
      <c r="G331" t="s">
        <v>2167</v>
      </c>
      <c r="H331" t="s">
        <v>2168</v>
      </c>
      <c r="I331" t="s">
        <v>2200</v>
      </c>
      <c r="J331" t="s">
        <v>2212</v>
      </c>
      <c r="K331" t="s">
        <v>2228</v>
      </c>
      <c r="L331" t="s">
        <v>2243</v>
      </c>
      <c r="M331" t="s">
        <v>2250</v>
      </c>
      <c r="N331">
        <v>5</v>
      </c>
      <c r="O331">
        <f t="shared" si="25"/>
        <v>77440</v>
      </c>
      <c r="P331">
        <f t="shared" si="26"/>
        <v>387200</v>
      </c>
      <c r="Q331">
        <v>10</v>
      </c>
      <c r="R331">
        <f t="shared" si="27"/>
        <v>348480</v>
      </c>
      <c r="S331" t="s">
        <v>2263</v>
      </c>
      <c r="T331" t="s">
        <v>2265</v>
      </c>
      <c r="U331" s="1" t="str">
        <f t="shared" si="28"/>
        <v>Not Delivered</v>
      </c>
      <c r="V331">
        <f t="shared" si="29"/>
        <v>58080</v>
      </c>
    </row>
    <row r="332" spans="1:22" x14ac:dyDescent="0.3">
      <c r="A332" t="s">
        <v>350</v>
      </c>
      <c r="B332">
        <v>2025</v>
      </c>
      <c r="C332" s="1">
        <v>45768</v>
      </c>
      <c r="D332" t="s">
        <v>824</v>
      </c>
      <c r="E332" t="s">
        <v>1102</v>
      </c>
      <c r="F332" t="s">
        <v>1697</v>
      </c>
      <c r="G332" t="s">
        <v>2167</v>
      </c>
      <c r="H332" t="s">
        <v>2196</v>
      </c>
      <c r="I332" t="s">
        <v>2205</v>
      </c>
      <c r="J332" t="s">
        <v>2212</v>
      </c>
      <c r="K332" t="s">
        <v>2237</v>
      </c>
      <c r="L332" t="s">
        <v>2246</v>
      </c>
      <c r="M332" t="s">
        <v>2257</v>
      </c>
      <c r="N332">
        <v>2</v>
      </c>
      <c r="O332">
        <f t="shared" si="25"/>
        <v>77440</v>
      </c>
      <c r="P332">
        <f t="shared" si="26"/>
        <v>154880</v>
      </c>
      <c r="Q332">
        <v>20</v>
      </c>
      <c r="R332">
        <f t="shared" si="27"/>
        <v>123904</v>
      </c>
      <c r="S332" t="s">
        <v>2263</v>
      </c>
      <c r="T332" t="s">
        <v>2265</v>
      </c>
      <c r="U332" s="1" t="str">
        <f t="shared" si="28"/>
        <v>Not Delivered</v>
      </c>
      <c r="V332">
        <f t="shared" si="29"/>
        <v>23232</v>
      </c>
    </row>
    <row r="333" spans="1:22" x14ac:dyDescent="0.3">
      <c r="A333" t="s">
        <v>351</v>
      </c>
      <c r="B333">
        <v>2025</v>
      </c>
      <c r="C333" s="1">
        <v>45698</v>
      </c>
      <c r="D333" t="s">
        <v>828</v>
      </c>
      <c r="E333" t="s">
        <v>1103</v>
      </c>
      <c r="F333" t="s">
        <v>1698</v>
      </c>
      <c r="G333" t="s">
        <v>2167</v>
      </c>
      <c r="H333" t="s">
        <v>2193</v>
      </c>
      <c r="I333" t="s">
        <v>2206</v>
      </c>
      <c r="J333" t="s">
        <v>2211</v>
      </c>
      <c r="K333" t="s">
        <v>2222</v>
      </c>
      <c r="L333" t="s">
        <v>2247</v>
      </c>
      <c r="M333" t="s">
        <v>2253</v>
      </c>
      <c r="N333">
        <v>2</v>
      </c>
      <c r="O333">
        <f t="shared" si="25"/>
        <v>77440</v>
      </c>
      <c r="P333">
        <f t="shared" si="26"/>
        <v>154880</v>
      </c>
      <c r="Q333">
        <v>10</v>
      </c>
      <c r="R333">
        <f t="shared" si="27"/>
        <v>139392</v>
      </c>
      <c r="S333" t="s">
        <v>2261</v>
      </c>
      <c r="T333" t="s">
        <v>2266</v>
      </c>
      <c r="U333" s="1">
        <f t="shared" si="28"/>
        <v>45705</v>
      </c>
      <c r="V333">
        <f t="shared" si="29"/>
        <v>23232</v>
      </c>
    </row>
    <row r="334" spans="1:22" x14ac:dyDescent="0.3">
      <c r="A334" t="s">
        <v>352</v>
      </c>
      <c r="B334">
        <v>2024</v>
      </c>
      <c r="C334" s="1">
        <v>45445</v>
      </c>
      <c r="D334" t="s">
        <v>827</v>
      </c>
      <c r="E334" t="s">
        <v>1104</v>
      </c>
      <c r="F334" t="s">
        <v>1699</v>
      </c>
      <c r="G334" t="s">
        <v>2167</v>
      </c>
      <c r="H334" t="s">
        <v>2168</v>
      </c>
      <c r="I334" t="s">
        <v>2200</v>
      </c>
      <c r="J334" t="s">
        <v>2210</v>
      </c>
      <c r="K334" t="s">
        <v>2222</v>
      </c>
      <c r="L334" t="s">
        <v>2247</v>
      </c>
      <c r="M334" t="s">
        <v>2248</v>
      </c>
      <c r="N334">
        <v>4</v>
      </c>
      <c r="O334">
        <f t="shared" si="25"/>
        <v>77440</v>
      </c>
      <c r="P334">
        <f t="shared" si="26"/>
        <v>309760</v>
      </c>
      <c r="Q334">
        <v>15</v>
      </c>
      <c r="R334">
        <f t="shared" si="27"/>
        <v>263296</v>
      </c>
      <c r="S334" t="s">
        <v>2263</v>
      </c>
      <c r="T334" t="s">
        <v>2266</v>
      </c>
      <c r="U334" s="1">
        <f t="shared" si="28"/>
        <v>45452</v>
      </c>
      <c r="V334">
        <f t="shared" si="29"/>
        <v>46464</v>
      </c>
    </row>
    <row r="335" spans="1:22" x14ac:dyDescent="0.3">
      <c r="A335" t="s">
        <v>353</v>
      </c>
      <c r="B335">
        <v>2024</v>
      </c>
      <c r="C335" s="1">
        <v>45444</v>
      </c>
      <c r="D335" t="s">
        <v>825</v>
      </c>
      <c r="E335" t="s">
        <v>1105</v>
      </c>
      <c r="F335" t="s">
        <v>1700</v>
      </c>
      <c r="G335" t="s">
        <v>2167</v>
      </c>
      <c r="H335" t="s">
        <v>2193</v>
      </c>
      <c r="I335" t="s">
        <v>2206</v>
      </c>
      <c r="J335" t="s">
        <v>2212</v>
      </c>
      <c r="K335" t="s">
        <v>2241</v>
      </c>
      <c r="L335" t="s">
        <v>2247</v>
      </c>
      <c r="M335" t="s">
        <v>2248</v>
      </c>
      <c r="N335">
        <v>5</v>
      </c>
      <c r="O335">
        <f t="shared" si="25"/>
        <v>77440</v>
      </c>
      <c r="P335">
        <f t="shared" si="26"/>
        <v>387200</v>
      </c>
      <c r="Q335">
        <v>0</v>
      </c>
      <c r="R335">
        <f t="shared" si="27"/>
        <v>387200</v>
      </c>
      <c r="S335" t="s">
        <v>2260</v>
      </c>
      <c r="T335" t="s">
        <v>2265</v>
      </c>
      <c r="U335" s="1" t="str">
        <f t="shared" si="28"/>
        <v>Not Delivered</v>
      </c>
      <c r="V335">
        <f t="shared" si="29"/>
        <v>58080</v>
      </c>
    </row>
    <row r="336" spans="1:22" x14ac:dyDescent="0.3">
      <c r="A336" t="s">
        <v>354</v>
      </c>
      <c r="B336">
        <v>2024</v>
      </c>
      <c r="C336" s="1">
        <v>45538</v>
      </c>
      <c r="D336" t="s">
        <v>827</v>
      </c>
      <c r="E336" t="s">
        <v>874</v>
      </c>
      <c r="F336" t="s">
        <v>1701</v>
      </c>
      <c r="G336" t="s">
        <v>2167</v>
      </c>
      <c r="H336" t="s">
        <v>2168</v>
      </c>
      <c r="I336" t="s">
        <v>2200</v>
      </c>
      <c r="J336" t="s">
        <v>2211</v>
      </c>
      <c r="K336" t="s">
        <v>2216</v>
      </c>
      <c r="L336" t="s">
        <v>2242</v>
      </c>
      <c r="M336" t="s">
        <v>2258</v>
      </c>
      <c r="N336">
        <v>3</v>
      </c>
      <c r="O336">
        <f t="shared" si="25"/>
        <v>77440</v>
      </c>
      <c r="P336">
        <f t="shared" si="26"/>
        <v>232320</v>
      </c>
      <c r="Q336">
        <v>10</v>
      </c>
      <c r="R336">
        <f t="shared" si="27"/>
        <v>209088</v>
      </c>
      <c r="S336" t="s">
        <v>2262</v>
      </c>
      <c r="T336" t="s">
        <v>2265</v>
      </c>
      <c r="U336" s="1" t="str">
        <f t="shared" si="28"/>
        <v>Not Delivered</v>
      </c>
      <c r="V336">
        <f t="shared" si="29"/>
        <v>34848</v>
      </c>
    </row>
    <row r="337" spans="1:22" x14ac:dyDescent="0.3">
      <c r="A337" t="s">
        <v>355</v>
      </c>
      <c r="B337">
        <v>2025</v>
      </c>
      <c r="C337" s="1">
        <v>45728</v>
      </c>
      <c r="D337" t="s">
        <v>829</v>
      </c>
      <c r="E337" t="s">
        <v>1106</v>
      </c>
      <c r="F337" t="s">
        <v>1702</v>
      </c>
      <c r="G337" t="s">
        <v>2167</v>
      </c>
      <c r="H337" t="s">
        <v>2187</v>
      </c>
      <c r="I337" t="s">
        <v>2209</v>
      </c>
      <c r="J337" t="s">
        <v>2213</v>
      </c>
      <c r="K337" t="s">
        <v>2218</v>
      </c>
      <c r="L337" t="s">
        <v>2242</v>
      </c>
      <c r="M337" t="s">
        <v>2250</v>
      </c>
      <c r="N337">
        <v>4</v>
      </c>
      <c r="O337">
        <f t="shared" si="25"/>
        <v>77440</v>
      </c>
      <c r="P337">
        <f t="shared" si="26"/>
        <v>309760</v>
      </c>
      <c r="Q337">
        <v>10</v>
      </c>
      <c r="R337">
        <f t="shared" si="27"/>
        <v>278784</v>
      </c>
      <c r="S337" t="s">
        <v>2261</v>
      </c>
      <c r="T337" t="s">
        <v>2266</v>
      </c>
      <c r="U337" s="1">
        <f t="shared" si="28"/>
        <v>45735</v>
      </c>
      <c r="V337">
        <f t="shared" si="29"/>
        <v>46464</v>
      </c>
    </row>
    <row r="338" spans="1:22" x14ac:dyDescent="0.3">
      <c r="A338" t="s">
        <v>356</v>
      </c>
      <c r="B338">
        <v>2024</v>
      </c>
      <c r="C338" s="1">
        <v>45503</v>
      </c>
      <c r="D338" t="s">
        <v>826</v>
      </c>
      <c r="E338" t="s">
        <v>1107</v>
      </c>
      <c r="F338" t="s">
        <v>1703</v>
      </c>
      <c r="G338" t="s">
        <v>2167</v>
      </c>
      <c r="H338" t="s">
        <v>2168</v>
      </c>
      <c r="I338" t="s">
        <v>2200</v>
      </c>
      <c r="J338" t="s">
        <v>2213</v>
      </c>
      <c r="K338" t="s">
        <v>2231</v>
      </c>
      <c r="L338" t="s">
        <v>2244</v>
      </c>
      <c r="M338" t="s">
        <v>2257</v>
      </c>
      <c r="N338">
        <v>4</v>
      </c>
      <c r="O338">
        <f t="shared" si="25"/>
        <v>77440</v>
      </c>
      <c r="P338">
        <f t="shared" si="26"/>
        <v>309760</v>
      </c>
      <c r="Q338">
        <v>20</v>
      </c>
      <c r="R338">
        <f t="shared" si="27"/>
        <v>247808</v>
      </c>
      <c r="S338" t="s">
        <v>2263</v>
      </c>
      <c r="T338" t="s">
        <v>2265</v>
      </c>
      <c r="U338" s="1" t="str">
        <f t="shared" si="28"/>
        <v>Not Delivered</v>
      </c>
      <c r="V338">
        <f t="shared" si="29"/>
        <v>46464</v>
      </c>
    </row>
    <row r="339" spans="1:22" x14ac:dyDescent="0.3">
      <c r="A339" t="s">
        <v>357</v>
      </c>
      <c r="B339">
        <v>2025</v>
      </c>
      <c r="C339" s="1">
        <v>45665</v>
      </c>
      <c r="D339" t="s">
        <v>822</v>
      </c>
      <c r="E339" t="s">
        <v>869</v>
      </c>
      <c r="F339" t="s">
        <v>1704</v>
      </c>
      <c r="G339" t="s">
        <v>2167</v>
      </c>
      <c r="H339" t="s">
        <v>2188</v>
      </c>
      <c r="I339" t="s">
        <v>2208</v>
      </c>
      <c r="J339" t="s">
        <v>2211</v>
      </c>
      <c r="K339" t="s">
        <v>2234</v>
      </c>
      <c r="L339" t="s">
        <v>2244</v>
      </c>
      <c r="M339" t="s">
        <v>2248</v>
      </c>
      <c r="N339">
        <v>5</v>
      </c>
      <c r="O339">
        <f t="shared" si="25"/>
        <v>77440</v>
      </c>
      <c r="P339">
        <f t="shared" si="26"/>
        <v>387200</v>
      </c>
      <c r="Q339">
        <v>20</v>
      </c>
      <c r="R339">
        <f t="shared" si="27"/>
        <v>309760</v>
      </c>
      <c r="S339" t="s">
        <v>2263</v>
      </c>
      <c r="T339" t="s">
        <v>2266</v>
      </c>
      <c r="U339" s="1">
        <f t="shared" si="28"/>
        <v>45672</v>
      </c>
      <c r="V339">
        <f t="shared" si="29"/>
        <v>58080</v>
      </c>
    </row>
    <row r="340" spans="1:22" x14ac:dyDescent="0.3">
      <c r="A340" t="s">
        <v>358</v>
      </c>
      <c r="B340">
        <v>2024</v>
      </c>
      <c r="C340" s="1">
        <v>45500</v>
      </c>
      <c r="D340" t="s">
        <v>829</v>
      </c>
      <c r="E340" t="s">
        <v>965</v>
      </c>
      <c r="F340" t="s">
        <v>1705</v>
      </c>
      <c r="G340" t="s">
        <v>2167</v>
      </c>
      <c r="H340" t="s">
        <v>2170</v>
      </c>
      <c r="I340" t="s">
        <v>2201</v>
      </c>
      <c r="J340" t="s">
        <v>2211</v>
      </c>
      <c r="K340" t="s">
        <v>2234</v>
      </c>
      <c r="L340" t="s">
        <v>2244</v>
      </c>
      <c r="M340" t="s">
        <v>2252</v>
      </c>
      <c r="N340">
        <v>4</v>
      </c>
      <c r="O340">
        <f t="shared" si="25"/>
        <v>77440</v>
      </c>
      <c r="P340">
        <f t="shared" si="26"/>
        <v>309760</v>
      </c>
      <c r="Q340">
        <v>0</v>
      </c>
      <c r="R340">
        <f t="shared" si="27"/>
        <v>309760</v>
      </c>
      <c r="S340" t="s">
        <v>2261</v>
      </c>
      <c r="T340" t="s">
        <v>2264</v>
      </c>
      <c r="U340" s="1" t="str">
        <f t="shared" si="28"/>
        <v>Not Delivered</v>
      </c>
      <c r="V340">
        <f t="shared" si="29"/>
        <v>46464</v>
      </c>
    </row>
    <row r="341" spans="1:22" x14ac:dyDescent="0.3">
      <c r="A341" t="s">
        <v>359</v>
      </c>
      <c r="B341">
        <v>2025</v>
      </c>
      <c r="C341" s="1">
        <v>45846</v>
      </c>
      <c r="D341" t="s">
        <v>820</v>
      </c>
      <c r="E341" t="s">
        <v>976</v>
      </c>
      <c r="F341" t="s">
        <v>1706</v>
      </c>
      <c r="G341" t="s">
        <v>2167</v>
      </c>
      <c r="H341" t="s">
        <v>2187</v>
      </c>
      <c r="I341" t="s">
        <v>2209</v>
      </c>
      <c r="J341" t="s">
        <v>2211</v>
      </c>
      <c r="K341" t="s">
        <v>2230</v>
      </c>
      <c r="L341" t="s">
        <v>2247</v>
      </c>
      <c r="M341" t="s">
        <v>2252</v>
      </c>
      <c r="N341">
        <v>4</v>
      </c>
      <c r="O341">
        <f t="shared" si="25"/>
        <v>77440</v>
      </c>
      <c r="P341">
        <f t="shared" si="26"/>
        <v>309760</v>
      </c>
      <c r="Q341">
        <v>20</v>
      </c>
      <c r="R341">
        <f t="shared" si="27"/>
        <v>247808</v>
      </c>
      <c r="S341" t="s">
        <v>2263</v>
      </c>
      <c r="T341" t="s">
        <v>2266</v>
      </c>
      <c r="U341" s="1">
        <f t="shared" si="28"/>
        <v>45853</v>
      </c>
      <c r="V341">
        <f t="shared" si="29"/>
        <v>46464</v>
      </c>
    </row>
    <row r="342" spans="1:22" x14ac:dyDescent="0.3">
      <c r="A342" t="s">
        <v>360</v>
      </c>
      <c r="B342">
        <v>2024</v>
      </c>
      <c r="C342" s="1">
        <v>45366</v>
      </c>
      <c r="D342" t="s">
        <v>820</v>
      </c>
      <c r="E342" t="s">
        <v>1070</v>
      </c>
      <c r="F342" t="s">
        <v>1707</v>
      </c>
      <c r="G342" t="s">
        <v>2167</v>
      </c>
      <c r="H342" t="s">
        <v>2175</v>
      </c>
      <c r="I342" t="s">
        <v>2203</v>
      </c>
      <c r="J342" t="s">
        <v>2212</v>
      </c>
      <c r="K342" t="s">
        <v>2241</v>
      </c>
      <c r="L342" t="s">
        <v>2247</v>
      </c>
      <c r="M342" t="s">
        <v>2255</v>
      </c>
      <c r="N342">
        <v>5</v>
      </c>
      <c r="O342">
        <f t="shared" si="25"/>
        <v>77440</v>
      </c>
      <c r="P342">
        <f t="shared" si="26"/>
        <v>387200</v>
      </c>
      <c r="Q342">
        <v>10</v>
      </c>
      <c r="R342">
        <f t="shared" si="27"/>
        <v>348480</v>
      </c>
      <c r="S342" t="s">
        <v>2260</v>
      </c>
      <c r="T342" t="s">
        <v>2264</v>
      </c>
      <c r="U342" s="1" t="str">
        <f t="shared" si="28"/>
        <v>Not Delivered</v>
      </c>
      <c r="V342">
        <f t="shared" si="29"/>
        <v>58080</v>
      </c>
    </row>
    <row r="343" spans="1:22" x14ac:dyDescent="0.3">
      <c r="A343" t="s">
        <v>361</v>
      </c>
      <c r="B343">
        <v>2024</v>
      </c>
      <c r="C343" s="1">
        <v>45492</v>
      </c>
      <c r="D343" t="s">
        <v>823</v>
      </c>
      <c r="E343" t="s">
        <v>905</v>
      </c>
      <c r="F343" t="s">
        <v>1708</v>
      </c>
      <c r="G343" t="s">
        <v>2167</v>
      </c>
      <c r="H343" t="s">
        <v>2185</v>
      </c>
      <c r="I343" t="s">
        <v>2204</v>
      </c>
      <c r="J343" t="s">
        <v>2210</v>
      </c>
      <c r="K343" t="s">
        <v>2234</v>
      </c>
      <c r="L343" t="s">
        <v>2244</v>
      </c>
      <c r="M343" t="s">
        <v>2255</v>
      </c>
      <c r="N343">
        <v>4</v>
      </c>
      <c r="O343">
        <f t="shared" si="25"/>
        <v>77440</v>
      </c>
      <c r="P343">
        <f t="shared" si="26"/>
        <v>309760</v>
      </c>
      <c r="Q343">
        <v>10</v>
      </c>
      <c r="R343">
        <f t="shared" si="27"/>
        <v>278784</v>
      </c>
      <c r="S343" t="s">
        <v>2263</v>
      </c>
      <c r="T343" t="s">
        <v>2265</v>
      </c>
      <c r="U343" s="1" t="str">
        <f t="shared" si="28"/>
        <v>Not Delivered</v>
      </c>
      <c r="V343">
        <f t="shared" si="29"/>
        <v>46464</v>
      </c>
    </row>
    <row r="344" spans="1:22" x14ac:dyDescent="0.3">
      <c r="A344" t="s">
        <v>362</v>
      </c>
      <c r="B344">
        <v>2024</v>
      </c>
      <c r="C344" s="1">
        <v>45357</v>
      </c>
      <c r="D344" t="s">
        <v>823</v>
      </c>
      <c r="E344" t="s">
        <v>1108</v>
      </c>
      <c r="F344" t="s">
        <v>1709</v>
      </c>
      <c r="G344" t="s">
        <v>2167</v>
      </c>
      <c r="H344" t="s">
        <v>2169</v>
      </c>
      <c r="I344" t="s">
        <v>2201</v>
      </c>
      <c r="J344" t="s">
        <v>2211</v>
      </c>
      <c r="K344" t="s">
        <v>2214</v>
      </c>
      <c r="L344" t="s">
        <v>2242</v>
      </c>
      <c r="M344" t="s">
        <v>2252</v>
      </c>
      <c r="N344">
        <v>2</v>
      </c>
      <c r="O344">
        <f t="shared" si="25"/>
        <v>77440</v>
      </c>
      <c r="P344">
        <f t="shared" si="26"/>
        <v>154880</v>
      </c>
      <c r="Q344">
        <v>15</v>
      </c>
      <c r="R344">
        <f t="shared" si="27"/>
        <v>131648</v>
      </c>
      <c r="S344" t="s">
        <v>2261</v>
      </c>
      <c r="T344" t="s">
        <v>2265</v>
      </c>
      <c r="U344" s="1" t="str">
        <f t="shared" si="28"/>
        <v>Not Delivered</v>
      </c>
      <c r="V344">
        <f t="shared" si="29"/>
        <v>23232</v>
      </c>
    </row>
    <row r="345" spans="1:22" x14ac:dyDescent="0.3">
      <c r="A345" t="s">
        <v>363</v>
      </c>
      <c r="B345">
        <v>2024</v>
      </c>
      <c r="C345" s="1">
        <v>45510</v>
      </c>
      <c r="D345" t="s">
        <v>820</v>
      </c>
      <c r="E345" t="s">
        <v>1109</v>
      </c>
      <c r="F345" t="s">
        <v>1710</v>
      </c>
      <c r="G345" t="s">
        <v>2167</v>
      </c>
      <c r="H345" t="s">
        <v>2179</v>
      </c>
      <c r="I345" t="s">
        <v>2206</v>
      </c>
      <c r="J345" t="s">
        <v>2213</v>
      </c>
      <c r="K345" t="s">
        <v>2214</v>
      </c>
      <c r="L345" t="s">
        <v>2242</v>
      </c>
      <c r="M345" t="s">
        <v>2251</v>
      </c>
      <c r="N345">
        <v>5</v>
      </c>
      <c r="O345">
        <f t="shared" si="25"/>
        <v>77440</v>
      </c>
      <c r="P345">
        <f t="shared" si="26"/>
        <v>387200</v>
      </c>
      <c r="Q345">
        <v>20</v>
      </c>
      <c r="R345">
        <f t="shared" si="27"/>
        <v>309760</v>
      </c>
      <c r="S345" t="s">
        <v>2260</v>
      </c>
      <c r="T345" t="s">
        <v>2264</v>
      </c>
      <c r="U345" s="1" t="str">
        <f t="shared" si="28"/>
        <v>Not Delivered</v>
      </c>
      <c r="V345">
        <f t="shared" si="29"/>
        <v>58080</v>
      </c>
    </row>
    <row r="346" spans="1:22" x14ac:dyDescent="0.3">
      <c r="A346" t="s">
        <v>364</v>
      </c>
      <c r="B346">
        <v>2025</v>
      </c>
      <c r="C346" s="1">
        <v>45834</v>
      </c>
      <c r="D346" t="s">
        <v>822</v>
      </c>
      <c r="E346" t="s">
        <v>1110</v>
      </c>
      <c r="F346" t="s">
        <v>1711</v>
      </c>
      <c r="G346" t="s">
        <v>2167</v>
      </c>
      <c r="H346" t="s">
        <v>2190</v>
      </c>
      <c r="I346" t="s">
        <v>2208</v>
      </c>
      <c r="J346" t="s">
        <v>2210</v>
      </c>
      <c r="K346" t="s">
        <v>2241</v>
      </c>
      <c r="L346" t="s">
        <v>2247</v>
      </c>
      <c r="M346" t="s">
        <v>2251</v>
      </c>
      <c r="N346">
        <v>4</v>
      </c>
      <c r="O346">
        <f t="shared" si="25"/>
        <v>77440</v>
      </c>
      <c r="P346">
        <f t="shared" si="26"/>
        <v>309760</v>
      </c>
      <c r="Q346">
        <v>20</v>
      </c>
      <c r="R346">
        <f t="shared" si="27"/>
        <v>247808</v>
      </c>
      <c r="S346" t="s">
        <v>2260</v>
      </c>
      <c r="T346" t="s">
        <v>2264</v>
      </c>
      <c r="U346" s="1" t="str">
        <f t="shared" si="28"/>
        <v>Not Delivered</v>
      </c>
      <c r="V346">
        <f t="shared" si="29"/>
        <v>46464</v>
      </c>
    </row>
    <row r="347" spans="1:22" x14ac:dyDescent="0.3">
      <c r="A347" t="s">
        <v>365</v>
      </c>
      <c r="B347">
        <v>2024</v>
      </c>
      <c r="C347" s="1">
        <v>45458</v>
      </c>
      <c r="D347" t="s">
        <v>828</v>
      </c>
      <c r="E347" t="s">
        <v>1111</v>
      </c>
      <c r="F347" t="s">
        <v>1712</v>
      </c>
      <c r="G347" t="s">
        <v>2167</v>
      </c>
      <c r="H347" t="s">
        <v>2194</v>
      </c>
      <c r="I347" t="s">
        <v>2201</v>
      </c>
      <c r="J347" t="s">
        <v>2211</v>
      </c>
      <c r="K347" t="s">
        <v>2230</v>
      </c>
      <c r="L347" t="s">
        <v>2247</v>
      </c>
      <c r="M347" t="s">
        <v>2252</v>
      </c>
      <c r="N347">
        <v>1</v>
      </c>
      <c r="O347">
        <f t="shared" si="25"/>
        <v>77440</v>
      </c>
      <c r="P347">
        <f t="shared" si="26"/>
        <v>77440</v>
      </c>
      <c r="Q347">
        <v>0</v>
      </c>
      <c r="R347">
        <f t="shared" si="27"/>
        <v>77440</v>
      </c>
      <c r="S347" t="s">
        <v>2261</v>
      </c>
      <c r="T347" t="s">
        <v>2266</v>
      </c>
      <c r="U347" s="1">
        <f t="shared" si="28"/>
        <v>45465</v>
      </c>
      <c r="V347">
        <f t="shared" si="29"/>
        <v>11616</v>
      </c>
    </row>
    <row r="348" spans="1:22" x14ac:dyDescent="0.3">
      <c r="A348" t="s">
        <v>366</v>
      </c>
      <c r="B348">
        <v>2025</v>
      </c>
      <c r="C348" s="1">
        <v>45771</v>
      </c>
      <c r="D348" t="s">
        <v>828</v>
      </c>
      <c r="E348" t="s">
        <v>1112</v>
      </c>
      <c r="F348" t="s">
        <v>1713</v>
      </c>
      <c r="G348" t="s">
        <v>2167</v>
      </c>
      <c r="H348" t="s">
        <v>2180</v>
      </c>
      <c r="I348" t="s">
        <v>2208</v>
      </c>
      <c r="J348" t="s">
        <v>2210</v>
      </c>
      <c r="K348" t="s">
        <v>2226</v>
      </c>
      <c r="L348" t="s">
        <v>2244</v>
      </c>
      <c r="M348" t="s">
        <v>2257</v>
      </c>
      <c r="N348">
        <v>2</v>
      </c>
      <c r="O348">
        <f t="shared" si="25"/>
        <v>77440</v>
      </c>
      <c r="P348">
        <f t="shared" si="26"/>
        <v>154880</v>
      </c>
      <c r="Q348">
        <v>15</v>
      </c>
      <c r="R348">
        <f t="shared" si="27"/>
        <v>131648</v>
      </c>
      <c r="S348" t="s">
        <v>2262</v>
      </c>
      <c r="T348" t="s">
        <v>2265</v>
      </c>
      <c r="U348" s="1" t="str">
        <f t="shared" si="28"/>
        <v>Not Delivered</v>
      </c>
      <c r="V348">
        <f t="shared" si="29"/>
        <v>23232</v>
      </c>
    </row>
    <row r="349" spans="1:22" x14ac:dyDescent="0.3">
      <c r="A349" t="s">
        <v>367</v>
      </c>
      <c r="B349">
        <v>2025</v>
      </c>
      <c r="C349" s="1">
        <v>45857</v>
      </c>
      <c r="D349" t="s">
        <v>825</v>
      </c>
      <c r="E349" t="s">
        <v>1113</v>
      </c>
      <c r="F349" t="s">
        <v>1714</v>
      </c>
      <c r="G349" t="s">
        <v>2167</v>
      </c>
      <c r="H349" t="s">
        <v>2184</v>
      </c>
      <c r="I349" t="s">
        <v>2202</v>
      </c>
      <c r="J349" t="s">
        <v>2212</v>
      </c>
      <c r="K349" t="s">
        <v>2226</v>
      </c>
      <c r="L349" t="s">
        <v>2244</v>
      </c>
      <c r="M349" t="s">
        <v>2249</v>
      </c>
      <c r="N349">
        <v>2</v>
      </c>
      <c r="O349">
        <f t="shared" si="25"/>
        <v>77440</v>
      </c>
      <c r="P349">
        <f t="shared" si="26"/>
        <v>154880</v>
      </c>
      <c r="Q349">
        <v>5</v>
      </c>
      <c r="R349">
        <f t="shared" si="27"/>
        <v>147136</v>
      </c>
      <c r="S349" t="s">
        <v>2260</v>
      </c>
      <c r="T349" t="s">
        <v>2264</v>
      </c>
      <c r="U349" s="1" t="str">
        <f t="shared" si="28"/>
        <v>Not Delivered</v>
      </c>
      <c r="V349">
        <f t="shared" si="29"/>
        <v>23232</v>
      </c>
    </row>
    <row r="350" spans="1:22" x14ac:dyDescent="0.3">
      <c r="A350" t="s">
        <v>368</v>
      </c>
      <c r="B350">
        <v>2024</v>
      </c>
      <c r="C350" s="1">
        <v>45610</v>
      </c>
      <c r="D350" t="s">
        <v>829</v>
      </c>
      <c r="E350" t="s">
        <v>1114</v>
      </c>
      <c r="F350" t="s">
        <v>1715</v>
      </c>
      <c r="G350" t="s">
        <v>2167</v>
      </c>
      <c r="H350" t="s">
        <v>2197</v>
      </c>
      <c r="I350" t="s">
        <v>2209</v>
      </c>
      <c r="J350" t="s">
        <v>2211</v>
      </c>
      <c r="K350" t="s">
        <v>2236</v>
      </c>
      <c r="L350" t="s">
        <v>2242</v>
      </c>
      <c r="M350" t="s">
        <v>2250</v>
      </c>
      <c r="N350">
        <v>4</v>
      </c>
      <c r="O350">
        <f t="shared" si="25"/>
        <v>77440</v>
      </c>
      <c r="P350">
        <f t="shared" si="26"/>
        <v>309760</v>
      </c>
      <c r="Q350">
        <v>20</v>
      </c>
      <c r="R350">
        <f t="shared" si="27"/>
        <v>247808</v>
      </c>
      <c r="S350" t="s">
        <v>2262</v>
      </c>
      <c r="T350" t="s">
        <v>2264</v>
      </c>
      <c r="U350" s="1" t="str">
        <f t="shared" si="28"/>
        <v>Not Delivered</v>
      </c>
      <c r="V350">
        <f t="shared" si="29"/>
        <v>46464</v>
      </c>
    </row>
    <row r="351" spans="1:22" x14ac:dyDescent="0.3">
      <c r="A351" t="s">
        <v>369</v>
      </c>
      <c r="B351">
        <v>2025</v>
      </c>
      <c r="C351" s="1">
        <v>45759</v>
      </c>
      <c r="D351" t="s">
        <v>823</v>
      </c>
      <c r="E351" t="s">
        <v>1115</v>
      </c>
      <c r="F351" t="s">
        <v>1716</v>
      </c>
      <c r="G351" t="s">
        <v>2167</v>
      </c>
      <c r="H351" t="s">
        <v>2197</v>
      </c>
      <c r="I351" t="s">
        <v>2209</v>
      </c>
      <c r="J351" t="s">
        <v>2213</v>
      </c>
      <c r="K351" t="s">
        <v>2235</v>
      </c>
      <c r="L351" t="s">
        <v>2247</v>
      </c>
      <c r="M351" t="s">
        <v>2256</v>
      </c>
      <c r="N351">
        <v>4</v>
      </c>
      <c r="O351">
        <f t="shared" si="25"/>
        <v>77440</v>
      </c>
      <c r="P351">
        <f t="shared" si="26"/>
        <v>309760</v>
      </c>
      <c r="Q351">
        <v>0</v>
      </c>
      <c r="R351">
        <f t="shared" si="27"/>
        <v>309760</v>
      </c>
      <c r="S351" t="s">
        <v>2261</v>
      </c>
      <c r="T351" t="s">
        <v>2264</v>
      </c>
      <c r="U351" s="1" t="str">
        <f t="shared" si="28"/>
        <v>Not Delivered</v>
      </c>
      <c r="V351">
        <f t="shared" si="29"/>
        <v>46464</v>
      </c>
    </row>
    <row r="352" spans="1:22" x14ac:dyDescent="0.3">
      <c r="A352" t="s">
        <v>370</v>
      </c>
      <c r="B352">
        <v>2025</v>
      </c>
      <c r="C352" s="1">
        <v>45865</v>
      </c>
      <c r="D352" t="s">
        <v>821</v>
      </c>
      <c r="E352" t="s">
        <v>1116</v>
      </c>
      <c r="F352" t="s">
        <v>1717</v>
      </c>
      <c r="G352" t="s">
        <v>2167</v>
      </c>
      <c r="H352" t="s">
        <v>2184</v>
      </c>
      <c r="I352" t="s">
        <v>2202</v>
      </c>
      <c r="J352" t="s">
        <v>2212</v>
      </c>
      <c r="K352" t="s">
        <v>2228</v>
      </c>
      <c r="L352" t="s">
        <v>2243</v>
      </c>
      <c r="M352" t="s">
        <v>2258</v>
      </c>
      <c r="N352">
        <v>3</v>
      </c>
      <c r="O352">
        <f t="shared" si="25"/>
        <v>77440</v>
      </c>
      <c r="P352">
        <f t="shared" si="26"/>
        <v>232320</v>
      </c>
      <c r="Q352">
        <v>20</v>
      </c>
      <c r="R352">
        <f t="shared" si="27"/>
        <v>185856</v>
      </c>
      <c r="S352" t="s">
        <v>2261</v>
      </c>
      <c r="T352" t="s">
        <v>2265</v>
      </c>
      <c r="U352" s="1" t="str">
        <f t="shared" si="28"/>
        <v>Not Delivered</v>
      </c>
      <c r="V352">
        <f t="shared" si="29"/>
        <v>34848</v>
      </c>
    </row>
    <row r="353" spans="1:22" x14ac:dyDescent="0.3">
      <c r="A353" t="s">
        <v>371</v>
      </c>
      <c r="B353">
        <v>2025</v>
      </c>
      <c r="C353" s="1">
        <v>45723</v>
      </c>
      <c r="D353" t="s">
        <v>823</v>
      </c>
      <c r="E353" t="s">
        <v>1117</v>
      </c>
      <c r="F353" t="s">
        <v>1718</v>
      </c>
      <c r="G353" t="s">
        <v>2167</v>
      </c>
      <c r="H353" t="s">
        <v>2181</v>
      </c>
      <c r="I353" t="s">
        <v>2209</v>
      </c>
      <c r="J353" t="s">
        <v>2210</v>
      </c>
      <c r="K353" t="s">
        <v>2227</v>
      </c>
      <c r="L353" t="s">
        <v>2247</v>
      </c>
      <c r="M353" t="s">
        <v>2250</v>
      </c>
      <c r="N353">
        <v>3</v>
      </c>
      <c r="O353">
        <f t="shared" si="25"/>
        <v>77440</v>
      </c>
      <c r="P353">
        <f t="shared" si="26"/>
        <v>232320</v>
      </c>
      <c r="Q353">
        <v>5</v>
      </c>
      <c r="R353">
        <f t="shared" si="27"/>
        <v>220704</v>
      </c>
      <c r="S353" t="s">
        <v>2262</v>
      </c>
      <c r="T353" t="s">
        <v>2266</v>
      </c>
      <c r="U353" s="1">
        <f t="shared" si="28"/>
        <v>45730</v>
      </c>
      <c r="V353">
        <f t="shared" si="29"/>
        <v>34848</v>
      </c>
    </row>
    <row r="354" spans="1:22" x14ac:dyDescent="0.3">
      <c r="A354" t="s">
        <v>372</v>
      </c>
      <c r="B354">
        <v>2025</v>
      </c>
      <c r="C354" s="1">
        <v>45767</v>
      </c>
      <c r="D354" t="s">
        <v>825</v>
      </c>
      <c r="E354" t="s">
        <v>990</v>
      </c>
      <c r="F354" t="s">
        <v>1719</v>
      </c>
      <c r="G354" t="s">
        <v>2167</v>
      </c>
      <c r="H354" t="s">
        <v>2194</v>
      </c>
      <c r="I354" t="s">
        <v>2201</v>
      </c>
      <c r="J354" t="s">
        <v>2211</v>
      </c>
      <c r="K354" t="s">
        <v>2235</v>
      </c>
      <c r="L354" t="s">
        <v>2247</v>
      </c>
      <c r="M354" t="s">
        <v>2252</v>
      </c>
      <c r="N354">
        <v>5</v>
      </c>
      <c r="O354">
        <f t="shared" si="25"/>
        <v>77440</v>
      </c>
      <c r="P354">
        <f t="shared" si="26"/>
        <v>387200</v>
      </c>
      <c r="Q354">
        <v>10</v>
      </c>
      <c r="R354">
        <f t="shared" si="27"/>
        <v>348480</v>
      </c>
      <c r="S354" t="s">
        <v>2262</v>
      </c>
      <c r="T354" t="s">
        <v>2266</v>
      </c>
      <c r="U354" s="1">
        <f t="shared" si="28"/>
        <v>45774</v>
      </c>
      <c r="V354">
        <f t="shared" si="29"/>
        <v>58080</v>
      </c>
    </row>
    <row r="355" spans="1:22" x14ac:dyDescent="0.3">
      <c r="A355" t="s">
        <v>373</v>
      </c>
      <c r="B355">
        <v>2024</v>
      </c>
      <c r="C355" s="1">
        <v>45376</v>
      </c>
      <c r="D355" t="s">
        <v>827</v>
      </c>
      <c r="E355" t="s">
        <v>1099</v>
      </c>
      <c r="F355" t="s">
        <v>1720</v>
      </c>
      <c r="G355" t="s">
        <v>2167</v>
      </c>
      <c r="H355" t="s">
        <v>2174</v>
      </c>
      <c r="I355" t="s">
        <v>2205</v>
      </c>
      <c r="J355" t="s">
        <v>2212</v>
      </c>
      <c r="K355" t="s">
        <v>2234</v>
      </c>
      <c r="L355" t="s">
        <v>2244</v>
      </c>
      <c r="M355" t="s">
        <v>2256</v>
      </c>
      <c r="N355">
        <v>4</v>
      </c>
      <c r="O355">
        <f t="shared" si="25"/>
        <v>77440</v>
      </c>
      <c r="P355">
        <f t="shared" si="26"/>
        <v>309760</v>
      </c>
      <c r="Q355">
        <v>20</v>
      </c>
      <c r="R355">
        <f t="shared" si="27"/>
        <v>247808</v>
      </c>
      <c r="S355" t="s">
        <v>2260</v>
      </c>
      <c r="T355" t="s">
        <v>2264</v>
      </c>
      <c r="U355" s="1" t="str">
        <f t="shared" si="28"/>
        <v>Not Delivered</v>
      </c>
      <c r="V355">
        <f t="shared" si="29"/>
        <v>46464</v>
      </c>
    </row>
    <row r="356" spans="1:22" x14ac:dyDescent="0.3">
      <c r="A356" t="s">
        <v>374</v>
      </c>
      <c r="B356">
        <v>2025</v>
      </c>
      <c r="C356" s="1">
        <v>45810</v>
      </c>
      <c r="D356" t="s">
        <v>827</v>
      </c>
      <c r="E356" t="s">
        <v>941</v>
      </c>
      <c r="F356" t="s">
        <v>1721</v>
      </c>
      <c r="G356" t="s">
        <v>2167</v>
      </c>
      <c r="H356" t="s">
        <v>2168</v>
      </c>
      <c r="I356" t="s">
        <v>2200</v>
      </c>
      <c r="J356" t="s">
        <v>2210</v>
      </c>
      <c r="K356" t="s">
        <v>2232</v>
      </c>
      <c r="L356" t="s">
        <v>2243</v>
      </c>
      <c r="M356" t="s">
        <v>2249</v>
      </c>
      <c r="N356">
        <v>4</v>
      </c>
      <c r="O356">
        <f t="shared" si="25"/>
        <v>77440</v>
      </c>
      <c r="P356">
        <f t="shared" si="26"/>
        <v>309760</v>
      </c>
      <c r="Q356">
        <v>15</v>
      </c>
      <c r="R356">
        <f t="shared" si="27"/>
        <v>263296</v>
      </c>
      <c r="S356" t="s">
        <v>2260</v>
      </c>
      <c r="T356" t="s">
        <v>2265</v>
      </c>
      <c r="U356" s="1" t="str">
        <f t="shared" si="28"/>
        <v>Not Delivered</v>
      </c>
      <c r="V356">
        <f t="shared" si="29"/>
        <v>46464</v>
      </c>
    </row>
    <row r="357" spans="1:22" x14ac:dyDescent="0.3">
      <c r="A357" t="s">
        <v>375</v>
      </c>
      <c r="B357">
        <v>2024</v>
      </c>
      <c r="C357" s="1">
        <v>45606</v>
      </c>
      <c r="D357" t="s">
        <v>828</v>
      </c>
      <c r="E357" t="s">
        <v>1118</v>
      </c>
      <c r="F357" t="s">
        <v>1722</v>
      </c>
      <c r="G357" t="s">
        <v>2167</v>
      </c>
      <c r="H357" t="s">
        <v>2179</v>
      </c>
      <c r="I357" t="s">
        <v>2206</v>
      </c>
      <c r="J357" t="s">
        <v>2213</v>
      </c>
      <c r="K357" t="s">
        <v>2228</v>
      </c>
      <c r="L357" t="s">
        <v>2243</v>
      </c>
      <c r="M357" t="s">
        <v>2254</v>
      </c>
      <c r="N357">
        <v>3</v>
      </c>
      <c r="O357">
        <f t="shared" si="25"/>
        <v>77440</v>
      </c>
      <c r="P357">
        <f t="shared" si="26"/>
        <v>232320</v>
      </c>
      <c r="Q357">
        <v>20</v>
      </c>
      <c r="R357">
        <f t="shared" si="27"/>
        <v>185856</v>
      </c>
      <c r="S357" t="s">
        <v>2262</v>
      </c>
      <c r="T357" t="s">
        <v>2264</v>
      </c>
      <c r="U357" s="1" t="str">
        <f t="shared" si="28"/>
        <v>Not Delivered</v>
      </c>
      <c r="V357">
        <f t="shared" si="29"/>
        <v>34848</v>
      </c>
    </row>
    <row r="358" spans="1:22" x14ac:dyDescent="0.3">
      <c r="A358" t="s">
        <v>376</v>
      </c>
      <c r="B358">
        <v>2024</v>
      </c>
      <c r="C358" s="1">
        <v>45589</v>
      </c>
      <c r="D358" t="s">
        <v>828</v>
      </c>
      <c r="E358" t="s">
        <v>1119</v>
      </c>
      <c r="F358" t="s">
        <v>1723</v>
      </c>
      <c r="G358" t="s">
        <v>2167</v>
      </c>
      <c r="H358" t="s">
        <v>2172</v>
      </c>
      <c r="I358" t="s">
        <v>2203</v>
      </c>
      <c r="J358" t="s">
        <v>2210</v>
      </c>
      <c r="K358" t="s">
        <v>2233</v>
      </c>
      <c r="L358" t="s">
        <v>2245</v>
      </c>
      <c r="M358" t="s">
        <v>2249</v>
      </c>
      <c r="N358">
        <v>2</v>
      </c>
      <c r="O358">
        <f t="shared" si="25"/>
        <v>77440</v>
      </c>
      <c r="P358">
        <f t="shared" si="26"/>
        <v>154880</v>
      </c>
      <c r="Q358">
        <v>5</v>
      </c>
      <c r="R358">
        <f t="shared" si="27"/>
        <v>147136</v>
      </c>
      <c r="S358" t="s">
        <v>2263</v>
      </c>
      <c r="T358" t="s">
        <v>2265</v>
      </c>
      <c r="U358" s="1" t="str">
        <f t="shared" si="28"/>
        <v>Not Delivered</v>
      </c>
      <c r="V358">
        <f t="shared" si="29"/>
        <v>23232</v>
      </c>
    </row>
    <row r="359" spans="1:22" x14ac:dyDescent="0.3">
      <c r="A359" t="s">
        <v>377</v>
      </c>
      <c r="B359">
        <v>2025</v>
      </c>
      <c r="C359" s="1">
        <v>45764</v>
      </c>
      <c r="D359" t="s">
        <v>821</v>
      </c>
      <c r="E359" t="s">
        <v>1120</v>
      </c>
      <c r="F359" t="s">
        <v>1724</v>
      </c>
      <c r="G359" t="s">
        <v>2167</v>
      </c>
      <c r="H359" t="s">
        <v>2184</v>
      </c>
      <c r="I359" t="s">
        <v>2202</v>
      </c>
      <c r="J359" t="s">
        <v>2212</v>
      </c>
      <c r="K359" t="s">
        <v>2228</v>
      </c>
      <c r="L359" t="s">
        <v>2243</v>
      </c>
      <c r="M359" t="s">
        <v>2255</v>
      </c>
      <c r="N359">
        <v>4</v>
      </c>
      <c r="O359">
        <f t="shared" si="25"/>
        <v>77440</v>
      </c>
      <c r="P359">
        <f t="shared" si="26"/>
        <v>309760</v>
      </c>
      <c r="Q359">
        <v>0</v>
      </c>
      <c r="R359">
        <f t="shared" si="27"/>
        <v>309760</v>
      </c>
      <c r="S359" t="s">
        <v>2263</v>
      </c>
      <c r="T359" t="s">
        <v>2266</v>
      </c>
      <c r="U359" s="1">
        <f t="shared" si="28"/>
        <v>45771</v>
      </c>
      <c r="V359">
        <f t="shared" si="29"/>
        <v>46464</v>
      </c>
    </row>
    <row r="360" spans="1:22" x14ac:dyDescent="0.3">
      <c r="A360" t="s">
        <v>378</v>
      </c>
      <c r="B360">
        <v>2025</v>
      </c>
      <c r="C360" s="1">
        <v>45844</v>
      </c>
      <c r="D360" t="s">
        <v>826</v>
      </c>
      <c r="E360" t="s">
        <v>1006</v>
      </c>
      <c r="F360" t="s">
        <v>1725</v>
      </c>
      <c r="G360" t="s">
        <v>2167</v>
      </c>
      <c r="H360" t="s">
        <v>2181</v>
      </c>
      <c r="I360" t="s">
        <v>2209</v>
      </c>
      <c r="J360" t="s">
        <v>2213</v>
      </c>
      <c r="K360" t="s">
        <v>2227</v>
      </c>
      <c r="L360" t="s">
        <v>2247</v>
      </c>
      <c r="M360" t="s">
        <v>2250</v>
      </c>
      <c r="N360">
        <v>2</v>
      </c>
      <c r="O360">
        <f t="shared" si="25"/>
        <v>77440</v>
      </c>
      <c r="P360">
        <f t="shared" si="26"/>
        <v>154880</v>
      </c>
      <c r="Q360">
        <v>5</v>
      </c>
      <c r="R360">
        <f t="shared" si="27"/>
        <v>147136</v>
      </c>
      <c r="S360" t="s">
        <v>2261</v>
      </c>
      <c r="T360" t="s">
        <v>2264</v>
      </c>
      <c r="U360" s="1" t="str">
        <f t="shared" si="28"/>
        <v>Not Delivered</v>
      </c>
      <c r="V360">
        <f t="shared" si="29"/>
        <v>23232</v>
      </c>
    </row>
    <row r="361" spans="1:22" x14ac:dyDescent="0.3">
      <c r="A361" t="s">
        <v>379</v>
      </c>
      <c r="B361">
        <v>2024</v>
      </c>
      <c r="C361" s="1">
        <v>45536</v>
      </c>
      <c r="D361" t="s">
        <v>825</v>
      </c>
      <c r="E361" t="s">
        <v>1121</v>
      </c>
      <c r="F361" t="s">
        <v>1726</v>
      </c>
      <c r="G361" t="s">
        <v>2167</v>
      </c>
      <c r="H361" t="s">
        <v>2169</v>
      </c>
      <c r="I361" t="s">
        <v>2201</v>
      </c>
      <c r="J361" t="s">
        <v>2211</v>
      </c>
      <c r="K361" t="s">
        <v>2221</v>
      </c>
      <c r="L361" t="s">
        <v>2246</v>
      </c>
      <c r="M361" t="s">
        <v>2248</v>
      </c>
      <c r="N361">
        <v>2</v>
      </c>
      <c r="O361">
        <f t="shared" si="25"/>
        <v>77440</v>
      </c>
      <c r="P361">
        <f t="shared" si="26"/>
        <v>154880</v>
      </c>
      <c r="Q361">
        <v>20</v>
      </c>
      <c r="R361">
        <f t="shared" si="27"/>
        <v>123904</v>
      </c>
      <c r="S361" t="s">
        <v>2263</v>
      </c>
      <c r="T361" t="s">
        <v>2264</v>
      </c>
      <c r="U361" s="1" t="str">
        <f t="shared" si="28"/>
        <v>Not Delivered</v>
      </c>
      <c r="V361">
        <f t="shared" si="29"/>
        <v>23232</v>
      </c>
    </row>
    <row r="362" spans="1:22" x14ac:dyDescent="0.3">
      <c r="A362" t="s">
        <v>380</v>
      </c>
      <c r="B362">
        <v>2024</v>
      </c>
      <c r="C362" s="1">
        <v>45564</v>
      </c>
      <c r="D362" t="s">
        <v>820</v>
      </c>
      <c r="E362" t="s">
        <v>1122</v>
      </c>
      <c r="F362" t="s">
        <v>1727</v>
      </c>
      <c r="G362" t="s">
        <v>2167</v>
      </c>
      <c r="H362" t="s">
        <v>2191</v>
      </c>
      <c r="I362" t="s">
        <v>2203</v>
      </c>
      <c r="J362" t="s">
        <v>2210</v>
      </c>
      <c r="K362" t="s">
        <v>2226</v>
      </c>
      <c r="L362" t="s">
        <v>2244</v>
      </c>
      <c r="M362" t="s">
        <v>2256</v>
      </c>
      <c r="N362">
        <v>3</v>
      </c>
      <c r="O362">
        <f t="shared" si="25"/>
        <v>77440</v>
      </c>
      <c r="P362">
        <f t="shared" si="26"/>
        <v>232320</v>
      </c>
      <c r="Q362">
        <v>5</v>
      </c>
      <c r="R362">
        <f t="shared" si="27"/>
        <v>220704</v>
      </c>
      <c r="S362" t="s">
        <v>2261</v>
      </c>
      <c r="T362" t="s">
        <v>2264</v>
      </c>
      <c r="U362" s="1" t="str">
        <f t="shared" si="28"/>
        <v>Not Delivered</v>
      </c>
      <c r="V362">
        <f t="shared" si="29"/>
        <v>34848</v>
      </c>
    </row>
    <row r="363" spans="1:22" x14ac:dyDescent="0.3">
      <c r="A363" t="s">
        <v>381</v>
      </c>
      <c r="B363">
        <v>2024</v>
      </c>
      <c r="C363" s="1">
        <v>45538</v>
      </c>
      <c r="D363" t="s">
        <v>822</v>
      </c>
      <c r="E363" t="s">
        <v>1120</v>
      </c>
      <c r="F363" t="s">
        <v>1728</v>
      </c>
      <c r="G363" t="s">
        <v>2167</v>
      </c>
      <c r="H363" t="s">
        <v>2171</v>
      </c>
      <c r="I363" t="s">
        <v>2202</v>
      </c>
      <c r="J363" t="s">
        <v>2211</v>
      </c>
      <c r="K363" t="s">
        <v>2215</v>
      </c>
      <c r="L363" t="s">
        <v>2243</v>
      </c>
      <c r="M363" t="s">
        <v>2255</v>
      </c>
      <c r="N363">
        <v>1</v>
      </c>
      <c r="O363">
        <f t="shared" si="25"/>
        <v>77440</v>
      </c>
      <c r="P363">
        <f t="shared" si="26"/>
        <v>77440</v>
      </c>
      <c r="Q363">
        <v>5</v>
      </c>
      <c r="R363">
        <f t="shared" si="27"/>
        <v>73568</v>
      </c>
      <c r="S363" t="s">
        <v>2263</v>
      </c>
      <c r="T363" t="s">
        <v>2266</v>
      </c>
      <c r="U363" s="1">
        <f t="shared" si="28"/>
        <v>45545</v>
      </c>
      <c r="V363">
        <f t="shared" si="29"/>
        <v>11616</v>
      </c>
    </row>
    <row r="364" spans="1:22" x14ac:dyDescent="0.3">
      <c r="A364" t="s">
        <v>382</v>
      </c>
      <c r="B364">
        <v>2024</v>
      </c>
      <c r="C364" s="1">
        <v>45499</v>
      </c>
      <c r="D364" t="s">
        <v>820</v>
      </c>
      <c r="E364" t="s">
        <v>1123</v>
      </c>
      <c r="F364" t="s">
        <v>1729</v>
      </c>
      <c r="G364" t="s">
        <v>2167</v>
      </c>
      <c r="H364" t="s">
        <v>2193</v>
      </c>
      <c r="I364" t="s">
        <v>2206</v>
      </c>
      <c r="J364" t="s">
        <v>2211</v>
      </c>
      <c r="K364" t="s">
        <v>2215</v>
      </c>
      <c r="L364" t="s">
        <v>2243</v>
      </c>
      <c r="M364" t="s">
        <v>2254</v>
      </c>
      <c r="N364">
        <v>2</v>
      </c>
      <c r="O364">
        <f t="shared" si="25"/>
        <v>77440</v>
      </c>
      <c r="P364">
        <f t="shared" si="26"/>
        <v>154880</v>
      </c>
      <c r="Q364">
        <v>20</v>
      </c>
      <c r="R364">
        <f t="shared" si="27"/>
        <v>123904</v>
      </c>
      <c r="S364" t="s">
        <v>2263</v>
      </c>
      <c r="T364" t="s">
        <v>2266</v>
      </c>
      <c r="U364" s="1">
        <f t="shared" si="28"/>
        <v>45506</v>
      </c>
      <c r="V364">
        <f t="shared" si="29"/>
        <v>23232</v>
      </c>
    </row>
    <row r="365" spans="1:22" x14ac:dyDescent="0.3">
      <c r="A365" t="s">
        <v>383</v>
      </c>
      <c r="B365">
        <v>2024</v>
      </c>
      <c r="C365" s="1">
        <v>45576</v>
      </c>
      <c r="D365" t="s">
        <v>820</v>
      </c>
      <c r="E365" t="s">
        <v>1124</v>
      </c>
      <c r="F365" t="s">
        <v>1730</v>
      </c>
      <c r="G365" t="s">
        <v>2167</v>
      </c>
      <c r="H365" t="s">
        <v>2180</v>
      </c>
      <c r="I365" t="s">
        <v>2208</v>
      </c>
      <c r="J365" t="s">
        <v>2211</v>
      </c>
      <c r="K365" t="s">
        <v>2220</v>
      </c>
      <c r="L365" t="s">
        <v>2245</v>
      </c>
      <c r="M365" t="s">
        <v>2256</v>
      </c>
      <c r="N365">
        <v>2</v>
      </c>
      <c r="O365">
        <f t="shared" si="25"/>
        <v>77440</v>
      </c>
      <c r="P365">
        <f t="shared" si="26"/>
        <v>154880</v>
      </c>
      <c r="Q365">
        <v>20</v>
      </c>
      <c r="R365">
        <f t="shared" si="27"/>
        <v>123904</v>
      </c>
      <c r="S365" t="s">
        <v>2262</v>
      </c>
      <c r="T365" t="s">
        <v>2265</v>
      </c>
      <c r="U365" s="1" t="str">
        <f t="shared" si="28"/>
        <v>Not Delivered</v>
      </c>
      <c r="V365">
        <f t="shared" si="29"/>
        <v>23232</v>
      </c>
    </row>
    <row r="366" spans="1:22" x14ac:dyDescent="0.3">
      <c r="A366" t="s">
        <v>384</v>
      </c>
      <c r="B366">
        <v>2024</v>
      </c>
      <c r="C366" s="1">
        <v>45451</v>
      </c>
      <c r="D366" t="s">
        <v>828</v>
      </c>
      <c r="E366" t="s">
        <v>1125</v>
      </c>
      <c r="F366" t="s">
        <v>1731</v>
      </c>
      <c r="G366" t="s">
        <v>2167</v>
      </c>
      <c r="H366" t="s">
        <v>2171</v>
      </c>
      <c r="I366" t="s">
        <v>2202</v>
      </c>
      <c r="J366" t="s">
        <v>2210</v>
      </c>
      <c r="K366" t="s">
        <v>2220</v>
      </c>
      <c r="L366" t="s">
        <v>2245</v>
      </c>
      <c r="M366" t="s">
        <v>2255</v>
      </c>
      <c r="N366">
        <v>3</v>
      </c>
      <c r="O366">
        <f t="shared" si="25"/>
        <v>77440</v>
      </c>
      <c r="P366">
        <f t="shared" si="26"/>
        <v>232320</v>
      </c>
      <c r="Q366">
        <v>0</v>
      </c>
      <c r="R366">
        <f t="shared" si="27"/>
        <v>232320</v>
      </c>
      <c r="S366" t="s">
        <v>2261</v>
      </c>
      <c r="T366" t="s">
        <v>2264</v>
      </c>
      <c r="U366" s="1" t="str">
        <f t="shared" si="28"/>
        <v>Not Delivered</v>
      </c>
      <c r="V366">
        <f t="shared" si="29"/>
        <v>34848</v>
      </c>
    </row>
    <row r="367" spans="1:22" x14ac:dyDescent="0.3">
      <c r="A367" t="s">
        <v>385</v>
      </c>
      <c r="B367">
        <v>2025</v>
      </c>
      <c r="C367" s="1">
        <v>45870</v>
      </c>
      <c r="D367" t="s">
        <v>823</v>
      </c>
      <c r="E367" t="s">
        <v>1126</v>
      </c>
      <c r="F367" t="s">
        <v>1732</v>
      </c>
      <c r="G367" t="s">
        <v>2167</v>
      </c>
      <c r="H367" t="s">
        <v>2179</v>
      </c>
      <c r="I367" t="s">
        <v>2206</v>
      </c>
      <c r="J367" t="s">
        <v>2213</v>
      </c>
      <c r="K367" t="s">
        <v>2216</v>
      </c>
      <c r="L367" t="s">
        <v>2242</v>
      </c>
      <c r="M367" t="s">
        <v>2249</v>
      </c>
      <c r="N367">
        <v>3</v>
      </c>
      <c r="O367">
        <f t="shared" si="25"/>
        <v>77440</v>
      </c>
      <c r="P367">
        <f t="shared" si="26"/>
        <v>232320</v>
      </c>
      <c r="Q367">
        <v>15</v>
      </c>
      <c r="R367">
        <f t="shared" si="27"/>
        <v>197472</v>
      </c>
      <c r="S367" t="s">
        <v>2261</v>
      </c>
      <c r="T367" t="s">
        <v>2265</v>
      </c>
      <c r="U367" s="1" t="str">
        <f t="shared" si="28"/>
        <v>Not Delivered</v>
      </c>
      <c r="V367">
        <f t="shared" si="29"/>
        <v>34848</v>
      </c>
    </row>
    <row r="368" spans="1:22" x14ac:dyDescent="0.3">
      <c r="A368" t="s">
        <v>386</v>
      </c>
      <c r="B368">
        <v>2024</v>
      </c>
      <c r="C368" s="1">
        <v>45363</v>
      </c>
      <c r="D368" t="s">
        <v>821</v>
      </c>
      <c r="E368" t="s">
        <v>1127</v>
      </c>
      <c r="F368" t="s">
        <v>1733</v>
      </c>
      <c r="G368" t="s">
        <v>2167</v>
      </c>
      <c r="H368" t="s">
        <v>2168</v>
      </c>
      <c r="I368" t="s">
        <v>2200</v>
      </c>
      <c r="J368" t="s">
        <v>2211</v>
      </c>
      <c r="K368" t="s">
        <v>2238</v>
      </c>
      <c r="L368" t="s">
        <v>2246</v>
      </c>
      <c r="M368" t="s">
        <v>2250</v>
      </c>
      <c r="N368">
        <v>5</v>
      </c>
      <c r="O368">
        <f t="shared" si="25"/>
        <v>77440</v>
      </c>
      <c r="P368">
        <f t="shared" si="26"/>
        <v>387200</v>
      </c>
      <c r="Q368">
        <v>15</v>
      </c>
      <c r="R368">
        <f t="shared" si="27"/>
        <v>329120</v>
      </c>
      <c r="S368" t="s">
        <v>2262</v>
      </c>
      <c r="T368" t="s">
        <v>2265</v>
      </c>
      <c r="U368" s="1" t="str">
        <f t="shared" si="28"/>
        <v>Not Delivered</v>
      </c>
      <c r="V368">
        <f t="shared" si="29"/>
        <v>58080</v>
      </c>
    </row>
    <row r="369" spans="1:22" x14ac:dyDescent="0.3">
      <c r="A369" t="s">
        <v>387</v>
      </c>
      <c r="B369">
        <v>2024</v>
      </c>
      <c r="C369" s="1">
        <v>45636</v>
      </c>
      <c r="D369" t="s">
        <v>829</v>
      </c>
      <c r="E369" t="s">
        <v>840</v>
      </c>
      <c r="F369" t="s">
        <v>1734</v>
      </c>
      <c r="G369" t="s">
        <v>2167</v>
      </c>
      <c r="H369" t="s">
        <v>2191</v>
      </c>
      <c r="I369" t="s">
        <v>2203</v>
      </c>
      <c r="J369" t="s">
        <v>2210</v>
      </c>
      <c r="K369" t="s">
        <v>2234</v>
      </c>
      <c r="L369" t="s">
        <v>2244</v>
      </c>
      <c r="M369" t="s">
        <v>2250</v>
      </c>
      <c r="N369">
        <v>3</v>
      </c>
      <c r="O369">
        <f t="shared" si="25"/>
        <v>77440</v>
      </c>
      <c r="P369">
        <f t="shared" si="26"/>
        <v>232320</v>
      </c>
      <c r="Q369">
        <v>0</v>
      </c>
      <c r="R369">
        <f t="shared" si="27"/>
        <v>232320</v>
      </c>
      <c r="S369" t="s">
        <v>2261</v>
      </c>
      <c r="T369" t="s">
        <v>2266</v>
      </c>
      <c r="U369" s="1">
        <f t="shared" si="28"/>
        <v>45643</v>
      </c>
      <c r="V369">
        <f t="shared" si="29"/>
        <v>34848</v>
      </c>
    </row>
    <row r="370" spans="1:22" x14ac:dyDescent="0.3">
      <c r="A370" t="s">
        <v>388</v>
      </c>
      <c r="B370">
        <v>2025</v>
      </c>
      <c r="C370" s="1">
        <v>45685</v>
      </c>
      <c r="D370" t="s">
        <v>824</v>
      </c>
      <c r="E370" t="s">
        <v>1128</v>
      </c>
      <c r="F370" t="s">
        <v>1735</v>
      </c>
      <c r="G370" t="s">
        <v>2167</v>
      </c>
      <c r="H370" t="s">
        <v>2196</v>
      </c>
      <c r="I370" t="s">
        <v>2205</v>
      </c>
      <c r="J370" t="s">
        <v>2213</v>
      </c>
      <c r="K370" t="s">
        <v>2215</v>
      </c>
      <c r="L370" t="s">
        <v>2243</v>
      </c>
      <c r="M370" t="s">
        <v>2251</v>
      </c>
      <c r="N370">
        <v>4</v>
      </c>
      <c r="O370">
        <f t="shared" si="25"/>
        <v>77440</v>
      </c>
      <c r="P370">
        <f t="shared" si="26"/>
        <v>309760</v>
      </c>
      <c r="Q370">
        <v>10</v>
      </c>
      <c r="R370">
        <f t="shared" si="27"/>
        <v>278784</v>
      </c>
      <c r="S370" t="s">
        <v>2260</v>
      </c>
      <c r="T370" t="s">
        <v>2264</v>
      </c>
      <c r="U370" s="1" t="str">
        <f t="shared" si="28"/>
        <v>Not Delivered</v>
      </c>
      <c r="V370">
        <f t="shared" si="29"/>
        <v>46464</v>
      </c>
    </row>
    <row r="371" spans="1:22" x14ac:dyDescent="0.3">
      <c r="A371" t="s">
        <v>389</v>
      </c>
      <c r="B371">
        <v>2025</v>
      </c>
      <c r="C371" s="1">
        <v>45862</v>
      </c>
      <c r="D371" t="s">
        <v>827</v>
      </c>
      <c r="E371" t="s">
        <v>1129</v>
      </c>
      <c r="F371" t="s">
        <v>1736</v>
      </c>
      <c r="G371" t="s">
        <v>2167</v>
      </c>
      <c r="H371" t="s">
        <v>2175</v>
      </c>
      <c r="I371" t="s">
        <v>2203</v>
      </c>
      <c r="J371" t="s">
        <v>2213</v>
      </c>
      <c r="K371" t="s">
        <v>2214</v>
      </c>
      <c r="L371" t="s">
        <v>2242</v>
      </c>
      <c r="M371" t="s">
        <v>2255</v>
      </c>
      <c r="N371">
        <v>2</v>
      </c>
      <c r="O371">
        <f t="shared" si="25"/>
        <v>77440</v>
      </c>
      <c r="P371">
        <f t="shared" si="26"/>
        <v>154880</v>
      </c>
      <c r="Q371">
        <v>0</v>
      </c>
      <c r="R371">
        <f t="shared" si="27"/>
        <v>154880</v>
      </c>
      <c r="S371" t="s">
        <v>2261</v>
      </c>
      <c r="T371" t="s">
        <v>2265</v>
      </c>
      <c r="U371" s="1" t="str">
        <f t="shared" si="28"/>
        <v>Not Delivered</v>
      </c>
      <c r="V371">
        <f t="shared" si="29"/>
        <v>23232</v>
      </c>
    </row>
    <row r="372" spans="1:22" x14ac:dyDescent="0.3">
      <c r="A372" t="s">
        <v>390</v>
      </c>
      <c r="B372">
        <v>2025</v>
      </c>
      <c r="C372" s="1">
        <v>45802</v>
      </c>
      <c r="D372" t="s">
        <v>820</v>
      </c>
      <c r="E372" t="s">
        <v>1130</v>
      </c>
      <c r="F372" t="s">
        <v>1737</v>
      </c>
      <c r="G372" t="s">
        <v>2167</v>
      </c>
      <c r="H372" t="s">
        <v>2192</v>
      </c>
      <c r="I372" t="s">
        <v>2207</v>
      </c>
      <c r="J372" t="s">
        <v>2212</v>
      </c>
      <c r="K372" t="s">
        <v>2237</v>
      </c>
      <c r="L372" t="s">
        <v>2246</v>
      </c>
      <c r="M372" t="s">
        <v>2256</v>
      </c>
      <c r="N372">
        <v>4</v>
      </c>
      <c r="O372">
        <f t="shared" si="25"/>
        <v>77440</v>
      </c>
      <c r="P372">
        <f t="shared" si="26"/>
        <v>309760</v>
      </c>
      <c r="Q372">
        <v>0</v>
      </c>
      <c r="R372">
        <f t="shared" si="27"/>
        <v>309760</v>
      </c>
      <c r="S372" t="s">
        <v>2260</v>
      </c>
      <c r="T372" t="s">
        <v>2266</v>
      </c>
      <c r="U372" s="1">
        <f t="shared" si="28"/>
        <v>45809</v>
      </c>
      <c r="V372">
        <f t="shared" si="29"/>
        <v>46464</v>
      </c>
    </row>
    <row r="373" spans="1:22" x14ac:dyDescent="0.3">
      <c r="A373" t="s">
        <v>391</v>
      </c>
      <c r="B373">
        <v>2024</v>
      </c>
      <c r="C373" s="1">
        <v>45462</v>
      </c>
      <c r="D373" t="s">
        <v>825</v>
      </c>
      <c r="E373" t="s">
        <v>1131</v>
      </c>
      <c r="F373" t="s">
        <v>1738</v>
      </c>
      <c r="G373" t="s">
        <v>2167</v>
      </c>
      <c r="H373" t="s">
        <v>2192</v>
      </c>
      <c r="I373" t="s">
        <v>2207</v>
      </c>
      <c r="J373" t="s">
        <v>2210</v>
      </c>
      <c r="K373" t="s">
        <v>2239</v>
      </c>
      <c r="L373" t="s">
        <v>2245</v>
      </c>
      <c r="M373" t="s">
        <v>2252</v>
      </c>
      <c r="N373">
        <v>1</v>
      </c>
      <c r="O373">
        <f t="shared" si="25"/>
        <v>77440</v>
      </c>
      <c r="P373">
        <f t="shared" si="26"/>
        <v>77440</v>
      </c>
      <c r="Q373">
        <v>5</v>
      </c>
      <c r="R373">
        <f t="shared" si="27"/>
        <v>73568</v>
      </c>
      <c r="S373" t="s">
        <v>2263</v>
      </c>
      <c r="T373" t="s">
        <v>2266</v>
      </c>
      <c r="U373" s="1">
        <f t="shared" si="28"/>
        <v>45469</v>
      </c>
      <c r="V373">
        <f t="shared" si="29"/>
        <v>11616</v>
      </c>
    </row>
    <row r="374" spans="1:22" x14ac:dyDescent="0.3">
      <c r="A374" t="s">
        <v>392</v>
      </c>
      <c r="B374">
        <v>2024</v>
      </c>
      <c r="C374" s="1">
        <v>45401</v>
      </c>
      <c r="D374" t="s">
        <v>822</v>
      </c>
      <c r="E374" t="s">
        <v>1132</v>
      </c>
      <c r="F374" t="s">
        <v>1739</v>
      </c>
      <c r="G374" t="s">
        <v>2167</v>
      </c>
      <c r="H374" t="s">
        <v>2170</v>
      </c>
      <c r="I374" t="s">
        <v>2201</v>
      </c>
      <c r="J374" t="s">
        <v>2210</v>
      </c>
      <c r="K374" t="s">
        <v>2221</v>
      </c>
      <c r="L374" t="s">
        <v>2246</v>
      </c>
      <c r="M374" t="s">
        <v>2258</v>
      </c>
      <c r="N374">
        <v>1</v>
      </c>
      <c r="O374">
        <f t="shared" si="25"/>
        <v>77440</v>
      </c>
      <c r="P374">
        <f t="shared" si="26"/>
        <v>77440</v>
      </c>
      <c r="Q374">
        <v>10</v>
      </c>
      <c r="R374">
        <f t="shared" si="27"/>
        <v>69696</v>
      </c>
      <c r="S374" t="s">
        <v>2261</v>
      </c>
      <c r="T374" t="s">
        <v>2265</v>
      </c>
      <c r="U374" s="1" t="str">
        <f t="shared" si="28"/>
        <v>Not Delivered</v>
      </c>
      <c r="V374">
        <f t="shared" si="29"/>
        <v>11616</v>
      </c>
    </row>
    <row r="375" spans="1:22" x14ac:dyDescent="0.3">
      <c r="A375" t="s">
        <v>393</v>
      </c>
      <c r="B375">
        <v>2024</v>
      </c>
      <c r="C375" s="1">
        <v>45405</v>
      </c>
      <c r="D375" t="s">
        <v>823</v>
      </c>
      <c r="E375" t="s">
        <v>1133</v>
      </c>
      <c r="F375" t="s">
        <v>1740</v>
      </c>
      <c r="G375" t="s">
        <v>2167</v>
      </c>
      <c r="H375" t="s">
        <v>2192</v>
      </c>
      <c r="I375" t="s">
        <v>2207</v>
      </c>
      <c r="J375" t="s">
        <v>2211</v>
      </c>
      <c r="K375" t="s">
        <v>2241</v>
      </c>
      <c r="L375" t="s">
        <v>2247</v>
      </c>
      <c r="M375" t="s">
        <v>2250</v>
      </c>
      <c r="N375">
        <v>3</v>
      </c>
      <c r="O375">
        <f t="shared" si="25"/>
        <v>77440</v>
      </c>
      <c r="P375">
        <f t="shared" si="26"/>
        <v>232320</v>
      </c>
      <c r="Q375">
        <v>10</v>
      </c>
      <c r="R375">
        <f t="shared" si="27"/>
        <v>209088</v>
      </c>
      <c r="S375" t="s">
        <v>2261</v>
      </c>
      <c r="T375" t="s">
        <v>2266</v>
      </c>
      <c r="U375" s="1">
        <f t="shared" si="28"/>
        <v>45412</v>
      </c>
      <c r="V375">
        <f t="shared" si="29"/>
        <v>34848</v>
      </c>
    </row>
    <row r="376" spans="1:22" x14ac:dyDescent="0.3">
      <c r="A376" t="s">
        <v>394</v>
      </c>
      <c r="B376">
        <v>2025</v>
      </c>
      <c r="C376" s="1">
        <v>45721</v>
      </c>
      <c r="D376" t="s">
        <v>829</v>
      </c>
      <c r="E376" t="s">
        <v>1005</v>
      </c>
      <c r="F376" t="s">
        <v>1741</v>
      </c>
      <c r="G376" t="s">
        <v>2167</v>
      </c>
      <c r="H376" t="s">
        <v>2175</v>
      </c>
      <c r="I376" t="s">
        <v>2203</v>
      </c>
      <c r="J376" t="s">
        <v>2210</v>
      </c>
      <c r="K376" t="s">
        <v>2240</v>
      </c>
      <c r="L376" t="s">
        <v>2246</v>
      </c>
      <c r="M376" t="s">
        <v>2258</v>
      </c>
      <c r="N376">
        <v>5</v>
      </c>
      <c r="O376">
        <f t="shared" si="25"/>
        <v>77440</v>
      </c>
      <c r="P376">
        <f t="shared" si="26"/>
        <v>387200</v>
      </c>
      <c r="Q376">
        <v>5</v>
      </c>
      <c r="R376">
        <f t="shared" si="27"/>
        <v>367840</v>
      </c>
      <c r="S376" t="s">
        <v>2263</v>
      </c>
      <c r="T376" t="s">
        <v>2265</v>
      </c>
      <c r="U376" s="1" t="str">
        <f t="shared" si="28"/>
        <v>Not Delivered</v>
      </c>
      <c r="V376">
        <f t="shared" si="29"/>
        <v>58080</v>
      </c>
    </row>
    <row r="377" spans="1:22" x14ac:dyDescent="0.3">
      <c r="A377" t="s">
        <v>395</v>
      </c>
      <c r="B377">
        <v>2024</v>
      </c>
      <c r="C377" s="1">
        <v>45302</v>
      </c>
      <c r="D377" t="s">
        <v>827</v>
      </c>
      <c r="E377" t="s">
        <v>1134</v>
      </c>
      <c r="F377" t="s">
        <v>1742</v>
      </c>
      <c r="G377" t="s">
        <v>2167</v>
      </c>
      <c r="H377" t="s">
        <v>2185</v>
      </c>
      <c r="I377" t="s">
        <v>2204</v>
      </c>
      <c r="J377" t="s">
        <v>2212</v>
      </c>
      <c r="K377" t="s">
        <v>2238</v>
      </c>
      <c r="L377" t="s">
        <v>2246</v>
      </c>
      <c r="M377" t="s">
        <v>2252</v>
      </c>
      <c r="N377">
        <v>1</v>
      </c>
      <c r="O377">
        <f t="shared" si="25"/>
        <v>77440</v>
      </c>
      <c r="P377">
        <f t="shared" si="26"/>
        <v>77440</v>
      </c>
      <c r="Q377">
        <v>0</v>
      </c>
      <c r="R377">
        <f t="shared" si="27"/>
        <v>77440</v>
      </c>
      <c r="S377" t="s">
        <v>2263</v>
      </c>
      <c r="T377" t="s">
        <v>2264</v>
      </c>
      <c r="U377" s="1" t="str">
        <f t="shared" si="28"/>
        <v>Not Delivered</v>
      </c>
      <c r="V377">
        <f t="shared" si="29"/>
        <v>11616</v>
      </c>
    </row>
    <row r="378" spans="1:22" x14ac:dyDescent="0.3">
      <c r="A378" t="s">
        <v>396</v>
      </c>
      <c r="B378">
        <v>2024</v>
      </c>
      <c r="C378" s="1">
        <v>45493</v>
      </c>
      <c r="D378" t="s">
        <v>824</v>
      </c>
      <c r="E378" t="s">
        <v>1135</v>
      </c>
      <c r="F378" t="s">
        <v>1743</v>
      </c>
      <c r="G378" t="s">
        <v>2167</v>
      </c>
      <c r="H378" t="s">
        <v>2175</v>
      </c>
      <c r="I378" t="s">
        <v>2203</v>
      </c>
      <c r="J378" t="s">
        <v>2210</v>
      </c>
      <c r="K378" t="s">
        <v>2238</v>
      </c>
      <c r="L378" t="s">
        <v>2246</v>
      </c>
      <c r="M378" t="s">
        <v>2251</v>
      </c>
      <c r="N378">
        <v>4</v>
      </c>
      <c r="O378">
        <f t="shared" si="25"/>
        <v>77440</v>
      </c>
      <c r="P378">
        <f t="shared" si="26"/>
        <v>309760</v>
      </c>
      <c r="Q378">
        <v>20</v>
      </c>
      <c r="R378">
        <f t="shared" si="27"/>
        <v>247808</v>
      </c>
      <c r="S378" t="s">
        <v>2260</v>
      </c>
      <c r="T378" t="s">
        <v>2266</v>
      </c>
      <c r="U378" s="1">
        <f t="shared" si="28"/>
        <v>45500</v>
      </c>
      <c r="V378">
        <f t="shared" si="29"/>
        <v>46464</v>
      </c>
    </row>
    <row r="379" spans="1:22" x14ac:dyDescent="0.3">
      <c r="A379" t="s">
        <v>397</v>
      </c>
      <c r="B379">
        <v>2024</v>
      </c>
      <c r="C379" s="1">
        <v>45378</v>
      </c>
      <c r="D379" t="s">
        <v>822</v>
      </c>
      <c r="E379" t="s">
        <v>876</v>
      </c>
      <c r="F379" t="s">
        <v>1744</v>
      </c>
      <c r="G379" t="s">
        <v>2167</v>
      </c>
      <c r="H379" t="s">
        <v>2198</v>
      </c>
      <c r="I379" t="s">
        <v>2207</v>
      </c>
      <c r="J379" t="s">
        <v>2211</v>
      </c>
      <c r="K379" t="s">
        <v>2225</v>
      </c>
      <c r="L379" t="s">
        <v>2243</v>
      </c>
      <c r="M379" t="s">
        <v>2258</v>
      </c>
      <c r="N379">
        <v>1</v>
      </c>
      <c r="O379">
        <f t="shared" si="25"/>
        <v>77440</v>
      </c>
      <c r="P379">
        <f t="shared" si="26"/>
        <v>77440</v>
      </c>
      <c r="Q379">
        <v>5</v>
      </c>
      <c r="R379">
        <f t="shared" si="27"/>
        <v>73568</v>
      </c>
      <c r="S379" t="s">
        <v>2263</v>
      </c>
      <c r="T379" t="s">
        <v>2266</v>
      </c>
      <c r="U379" s="1">
        <f t="shared" si="28"/>
        <v>45385</v>
      </c>
      <c r="V379">
        <f t="shared" si="29"/>
        <v>11616</v>
      </c>
    </row>
    <row r="380" spans="1:22" x14ac:dyDescent="0.3">
      <c r="A380" t="s">
        <v>398</v>
      </c>
      <c r="B380">
        <v>2024</v>
      </c>
      <c r="C380" s="1">
        <v>45311</v>
      </c>
      <c r="D380" t="s">
        <v>820</v>
      </c>
      <c r="E380" t="s">
        <v>1136</v>
      </c>
      <c r="F380" t="s">
        <v>1745</v>
      </c>
      <c r="G380" t="s">
        <v>2167</v>
      </c>
      <c r="H380" t="s">
        <v>2197</v>
      </c>
      <c r="I380" t="s">
        <v>2209</v>
      </c>
      <c r="J380" t="s">
        <v>2210</v>
      </c>
      <c r="K380" t="s">
        <v>2234</v>
      </c>
      <c r="L380" t="s">
        <v>2244</v>
      </c>
      <c r="M380" t="s">
        <v>2253</v>
      </c>
      <c r="N380">
        <v>1</v>
      </c>
      <c r="O380">
        <f t="shared" si="25"/>
        <v>77440</v>
      </c>
      <c r="P380">
        <f t="shared" si="26"/>
        <v>77440</v>
      </c>
      <c r="Q380">
        <v>15</v>
      </c>
      <c r="R380">
        <f t="shared" si="27"/>
        <v>65824</v>
      </c>
      <c r="S380" t="s">
        <v>2263</v>
      </c>
      <c r="T380" t="s">
        <v>2264</v>
      </c>
      <c r="U380" s="1" t="str">
        <f t="shared" si="28"/>
        <v>Not Delivered</v>
      </c>
      <c r="V380">
        <f t="shared" si="29"/>
        <v>11616</v>
      </c>
    </row>
    <row r="381" spans="1:22" x14ac:dyDescent="0.3">
      <c r="A381" t="s">
        <v>399</v>
      </c>
      <c r="B381">
        <v>2024</v>
      </c>
      <c r="C381" s="1">
        <v>45535</v>
      </c>
      <c r="D381" t="s">
        <v>823</v>
      </c>
      <c r="E381" t="s">
        <v>1113</v>
      </c>
      <c r="F381" t="s">
        <v>1746</v>
      </c>
      <c r="G381" t="s">
        <v>2167</v>
      </c>
      <c r="H381" t="s">
        <v>2192</v>
      </c>
      <c r="I381" t="s">
        <v>2207</v>
      </c>
      <c r="J381" t="s">
        <v>2211</v>
      </c>
      <c r="K381" t="s">
        <v>2230</v>
      </c>
      <c r="L381" t="s">
        <v>2247</v>
      </c>
      <c r="M381" t="s">
        <v>2259</v>
      </c>
      <c r="N381">
        <v>4</v>
      </c>
      <c r="O381">
        <f t="shared" si="25"/>
        <v>77440</v>
      </c>
      <c r="P381">
        <f t="shared" si="26"/>
        <v>309760</v>
      </c>
      <c r="Q381">
        <v>5</v>
      </c>
      <c r="R381">
        <f t="shared" si="27"/>
        <v>294272</v>
      </c>
      <c r="S381" t="s">
        <v>2261</v>
      </c>
      <c r="T381" t="s">
        <v>2265</v>
      </c>
      <c r="U381" s="1" t="str">
        <f t="shared" si="28"/>
        <v>Not Delivered</v>
      </c>
      <c r="V381">
        <f t="shared" si="29"/>
        <v>46464</v>
      </c>
    </row>
    <row r="382" spans="1:22" x14ac:dyDescent="0.3">
      <c r="A382" t="s">
        <v>400</v>
      </c>
      <c r="B382">
        <v>2024</v>
      </c>
      <c r="C382" s="1">
        <v>45649</v>
      </c>
      <c r="D382" t="s">
        <v>822</v>
      </c>
      <c r="E382" t="s">
        <v>869</v>
      </c>
      <c r="F382" t="s">
        <v>1747</v>
      </c>
      <c r="G382" t="s">
        <v>2167</v>
      </c>
      <c r="H382" t="s">
        <v>2174</v>
      </c>
      <c r="I382" t="s">
        <v>2205</v>
      </c>
      <c r="J382" t="s">
        <v>2210</v>
      </c>
      <c r="K382" t="s">
        <v>2221</v>
      </c>
      <c r="L382" t="s">
        <v>2246</v>
      </c>
      <c r="M382" t="s">
        <v>2253</v>
      </c>
      <c r="N382">
        <v>3</v>
      </c>
      <c r="O382">
        <f t="shared" si="25"/>
        <v>77440</v>
      </c>
      <c r="P382">
        <f t="shared" si="26"/>
        <v>232320</v>
      </c>
      <c r="Q382">
        <v>20</v>
      </c>
      <c r="R382">
        <f t="shared" si="27"/>
        <v>185856</v>
      </c>
      <c r="S382" t="s">
        <v>2263</v>
      </c>
      <c r="T382" t="s">
        <v>2265</v>
      </c>
      <c r="U382" s="1" t="str">
        <f t="shared" si="28"/>
        <v>Not Delivered</v>
      </c>
      <c r="V382">
        <f t="shared" si="29"/>
        <v>34848</v>
      </c>
    </row>
    <row r="383" spans="1:22" x14ac:dyDescent="0.3">
      <c r="A383" t="s">
        <v>401</v>
      </c>
      <c r="B383">
        <v>2024</v>
      </c>
      <c r="C383" s="1">
        <v>45517</v>
      </c>
      <c r="D383" t="s">
        <v>828</v>
      </c>
      <c r="E383" t="s">
        <v>876</v>
      </c>
      <c r="F383" t="s">
        <v>1748</v>
      </c>
      <c r="G383" t="s">
        <v>2167</v>
      </c>
      <c r="H383" t="s">
        <v>2192</v>
      </c>
      <c r="I383" t="s">
        <v>2207</v>
      </c>
      <c r="J383" t="s">
        <v>2210</v>
      </c>
      <c r="K383" t="s">
        <v>2232</v>
      </c>
      <c r="L383" t="s">
        <v>2243</v>
      </c>
      <c r="M383" t="s">
        <v>2252</v>
      </c>
      <c r="N383">
        <v>2</v>
      </c>
      <c r="O383">
        <f t="shared" si="25"/>
        <v>77440</v>
      </c>
      <c r="P383">
        <f t="shared" si="26"/>
        <v>154880</v>
      </c>
      <c r="Q383">
        <v>15</v>
      </c>
      <c r="R383">
        <f t="shared" si="27"/>
        <v>131648</v>
      </c>
      <c r="S383" t="s">
        <v>2263</v>
      </c>
      <c r="T383" t="s">
        <v>2265</v>
      </c>
      <c r="U383" s="1" t="str">
        <f t="shared" si="28"/>
        <v>Not Delivered</v>
      </c>
      <c r="V383">
        <f t="shared" si="29"/>
        <v>23232</v>
      </c>
    </row>
    <row r="384" spans="1:22" x14ac:dyDescent="0.3">
      <c r="A384" t="s">
        <v>402</v>
      </c>
      <c r="B384">
        <v>2024</v>
      </c>
      <c r="C384" s="1">
        <v>45378</v>
      </c>
      <c r="D384" t="s">
        <v>821</v>
      </c>
      <c r="E384" t="s">
        <v>1045</v>
      </c>
      <c r="F384" t="s">
        <v>1749</v>
      </c>
      <c r="G384" t="s">
        <v>2167</v>
      </c>
      <c r="H384" t="s">
        <v>2187</v>
      </c>
      <c r="I384" t="s">
        <v>2209</v>
      </c>
      <c r="J384" t="s">
        <v>2211</v>
      </c>
      <c r="K384" t="s">
        <v>2235</v>
      </c>
      <c r="L384" t="s">
        <v>2247</v>
      </c>
      <c r="M384" t="s">
        <v>2257</v>
      </c>
      <c r="N384">
        <v>5</v>
      </c>
      <c r="O384">
        <f t="shared" si="25"/>
        <v>77440</v>
      </c>
      <c r="P384">
        <f t="shared" si="26"/>
        <v>387200</v>
      </c>
      <c r="Q384">
        <v>20</v>
      </c>
      <c r="R384">
        <f t="shared" si="27"/>
        <v>309760</v>
      </c>
      <c r="S384" t="s">
        <v>2262</v>
      </c>
      <c r="T384" t="s">
        <v>2265</v>
      </c>
      <c r="U384" s="1" t="str">
        <f t="shared" si="28"/>
        <v>Not Delivered</v>
      </c>
      <c r="V384">
        <f t="shared" si="29"/>
        <v>58080</v>
      </c>
    </row>
    <row r="385" spans="1:22" x14ac:dyDescent="0.3">
      <c r="A385" t="s">
        <v>403</v>
      </c>
      <c r="B385">
        <v>2025</v>
      </c>
      <c r="C385" s="1">
        <v>45722</v>
      </c>
      <c r="D385" t="s">
        <v>826</v>
      </c>
      <c r="E385" t="s">
        <v>1137</v>
      </c>
      <c r="F385" t="s">
        <v>1750</v>
      </c>
      <c r="G385" t="s">
        <v>2167</v>
      </c>
      <c r="H385" t="s">
        <v>2176</v>
      </c>
      <c r="I385" t="s">
        <v>2205</v>
      </c>
      <c r="J385" t="s">
        <v>2212</v>
      </c>
      <c r="K385" t="s">
        <v>2241</v>
      </c>
      <c r="L385" t="s">
        <v>2247</v>
      </c>
      <c r="M385" t="s">
        <v>2250</v>
      </c>
      <c r="N385">
        <v>5</v>
      </c>
      <c r="O385">
        <f t="shared" si="25"/>
        <v>77440</v>
      </c>
      <c r="P385">
        <f t="shared" si="26"/>
        <v>387200</v>
      </c>
      <c r="Q385">
        <v>15</v>
      </c>
      <c r="R385">
        <f t="shared" si="27"/>
        <v>329120</v>
      </c>
      <c r="S385" t="s">
        <v>2262</v>
      </c>
      <c r="T385" t="s">
        <v>2266</v>
      </c>
      <c r="U385" s="1">
        <f t="shared" si="28"/>
        <v>45729</v>
      </c>
      <c r="V385">
        <f t="shared" si="29"/>
        <v>58080</v>
      </c>
    </row>
    <row r="386" spans="1:22" x14ac:dyDescent="0.3">
      <c r="A386" t="s">
        <v>404</v>
      </c>
      <c r="B386">
        <v>2025</v>
      </c>
      <c r="C386" s="1">
        <v>45747</v>
      </c>
      <c r="D386" t="s">
        <v>822</v>
      </c>
      <c r="E386" t="s">
        <v>1138</v>
      </c>
      <c r="F386" t="s">
        <v>1751</v>
      </c>
      <c r="G386" t="s">
        <v>2167</v>
      </c>
      <c r="H386" t="s">
        <v>2190</v>
      </c>
      <c r="I386" t="s">
        <v>2208</v>
      </c>
      <c r="J386" t="s">
        <v>2212</v>
      </c>
      <c r="K386" t="s">
        <v>2236</v>
      </c>
      <c r="L386" t="s">
        <v>2242</v>
      </c>
      <c r="M386" t="s">
        <v>2257</v>
      </c>
      <c r="N386">
        <v>1</v>
      </c>
      <c r="O386">
        <f t="shared" si="25"/>
        <v>77440</v>
      </c>
      <c r="P386">
        <f t="shared" si="26"/>
        <v>77440</v>
      </c>
      <c r="Q386">
        <v>0</v>
      </c>
      <c r="R386">
        <f t="shared" si="27"/>
        <v>77440</v>
      </c>
      <c r="S386" t="s">
        <v>2263</v>
      </c>
      <c r="T386" t="s">
        <v>2266</v>
      </c>
      <c r="U386" s="1">
        <f t="shared" si="28"/>
        <v>45754</v>
      </c>
      <c r="V386">
        <f t="shared" si="29"/>
        <v>11616</v>
      </c>
    </row>
    <row r="387" spans="1:22" x14ac:dyDescent="0.3">
      <c r="A387" t="s">
        <v>405</v>
      </c>
      <c r="B387">
        <v>2025</v>
      </c>
      <c r="C387" s="1">
        <v>45711</v>
      </c>
      <c r="D387" t="s">
        <v>829</v>
      </c>
      <c r="E387" t="s">
        <v>889</v>
      </c>
      <c r="F387" t="s">
        <v>1752</v>
      </c>
      <c r="G387" t="s">
        <v>2167</v>
      </c>
      <c r="H387" t="s">
        <v>2190</v>
      </c>
      <c r="I387" t="s">
        <v>2208</v>
      </c>
      <c r="J387" t="s">
        <v>2211</v>
      </c>
      <c r="K387" t="s">
        <v>2224</v>
      </c>
      <c r="L387" t="s">
        <v>2245</v>
      </c>
      <c r="M387" t="s">
        <v>2251</v>
      </c>
      <c r="N387">
        <v>1</v>
      </c>
      <c r="O387">
        <f t="shared" ref="O387:O450" si="30">ROUNDUP((77431.41),-1)</f>
        <v>77440</v>
      </c>
      <c r="P387">
        <f t="shared" ref="P387:P450" si="31">O387*N387</f>
        <v>77440</v>
      </c>
      <c r="Q387">
        <v>15</v>
      </c>
      <c r="R387">
        <f t="shared" ref="R387:R450" si="32">P387*(1-Q387/100)</f>
        <v>65824</v>
      </c>
      <c r="S387" t="s">
        <v>2260</v>
      </c>
      <c r="T387" t="s">
        <v>2266</v>
      </c>
      <c r="U387" s="1">
        <f t="shared" ref="U387:U450" si="33">IF(T387="Delivered", C387 + 7, "Not Delivered")</f>
        <v>45718</v>
      </c>
      <c r="V387">
        <f t="shared" ref="V387:V450" si="34">P387*15%</f>
        <v>11616</v>
      </c>
    </row>
    <row r="388" spans="1:22" x14ac:dyDescent="0.3">
      <c r="A388" t="s">
        <v>406</v>
      </c>
      <c r="B388">
        <v>2025</v>
      </c>
      <c r="C388" s="1">
        <v>45784</v>
      </c>
      <c r="D388" t="s">
        <v>828</v>
      </c>
      <c r="E388" t="s">
        <v>1139</v>
      </c>
      <c r="F388" t="s">
        <v>1753</v>
      </c>
      <c r="G388" t="s">
        <v>2167</v>
      </c>
      <c r="H388" t="s">
        <v>2168</v>
      </c>
      <c r="I388" t="s">
        <v>2200</v>
      </c>
      <c r="J388" t="s">
        <v>2211</v>
      </c>
      <c r="K388" t="s">
        <v>2235</v>
      </c>
      <c r="L388" t="s">
        <v>2247</v>
      </c>
      <c r="M388" t="s">
        <v>2258</v>
      </c>
      <c r="N388">
        <v>4</v>
      </c>
      <c r="O388">
        <f t="shared" si="30"/>
        <v>77440</v>
      </c>
      <c r="P388">
        <f t="shared" si="31"/>
        <v>309760</v>
      </c>
      <c r="Q388">
        <v>0</v>
      </c>
      <c r="R388">
        <f t="shared" si="32"/>
        <v>309760</v>
      </c>
      <c r="S388" t="s">
        <v>2263</v>
      </c>
      <c r="T388" t="s">
        <v>2266</v>
      </c>
      <c r="U388" s="1">
        <f t="shared" si="33"/>
        <v>45791</v>
      </c>
      <c r="V388">
        <f t="shared" si="34"/>
        <v>46464</v>
      </c>
    </row>
    <row r="389" spans="1:22" x14ac:dyDescent="0.3">
      <c r="A389" t="s">
        <v>407</v>
      </c>
      <c r="B389">
        <v>2025</v>
      </c>
      <c r="C389" s="1">
        <v>45721</v>
      </c>
      <c r="D389" t="s">
        <v>821</v>
      </c>
      <c r="E389" t="s">
        <v>1140</v>
      </c>
      <c r="F389" t="s">
        <v>1754</v>
      </c>
      <c r="G389" t="s">
        <v>2167</v>
      </c>
      <c r="H389" t="s">
        <v>2185</v>
      </c>
      <c r="I389" t="s">
        <v>2204</v>
      </c>
      <c r="J389" t="s">
        <v>2210</v>
      </c>
      <c r="K389" t="s">
        <v>2224</v>
      </c>
      <c r="L389" t="s">
        <v>2245</v>
      </c>
      <c r="M389" t="s">
        <v>2249</v>
      </c>
      <c r="N389">
        <v>2</v>
      </c>
      <c r="O389">
        <f t="shared" si="30"/>
        <v>77440</v>
      </c>
      <c r="P389">
        <f t="shared" si="31"/>
        <v>154880</v>
      </c>
      <c r="Q389">
        <v>20</v>
      </c>
      <c r="R389">
        <f t="shared" si="32"/>
        <v>123904</v>
      </c>
      <c r="S389" t="s">
        <v>2260</v>
      </c>
      <c r="T389" t="s">
        <v>2265</v>
      </c>
      <c r="U389" s="1" t="str">
        <f t="shared" si="33"/>
        <v>Not Delivered</v>
      </c>
      <c r="V389">
        <f t="shared" si="34"/>
        <v>23232</v>
      </c>
    </row>
    <row r="390" spans="1:22" x14ac:dyDescent="0.3">
      <c r="A390" t="s">
        <v>408</v>
      </c>
      <c r="B390">
        <v>2024</v>
      </c>
      <c r="C390" s="1">
        <v>45445</v>
      </c>
      <c r="D390" t="s">
        <v>829</v>
      </c>
      <c r="E390" t="s">
        <v>1141</v>
      </c>
      <c r="F390" t="s">
        <v>1755</v>
      </c>
      <c r="G390" t="s">
        <v>2167</v>
      </c>
      <c r="H390" t="s">
        <v>2186</v>
      </c>
      <c r="I390" t="s">
        <v>2201</v>
      </c>
      <c r="J390" t="s">
        <v>2211</v>
      </c>
      <c r="K390" t="s">
        <v>2232</v>
      </c>
      <c r="L390" t="s">
        <v>2243</v>
      </c>
      <c r="M390" t="s">
        <v>2259</v>
      </c>
      <c r="N390">
        <v>1</v>
      </c>
      <c r="O390">
        <f t="shared" si="30"/>
        <v>77440</v>
      </c>
      <c r="P390">
        <f t="shared" si="31"/>
        <v>77440</v>
      </c>
      <c r="Q390">
        <v>10</v>
      </c>
      <c r="R390">
        <f t="shared" si="32"/>
        <v>69696</v>
      </c>
      <c r="S390" t="s">
        <v>2261</v>
      </c>
      <c r="T390" t="s">
        <v>2264</v>
      </c>
      <c r="U390" s="1" t="str">
        <f t="shared" si="33"/>
        <v>Not Delivered</v>
      </c>
      <c r="V390">
        <f t="shared" si="34"/>
        <v>11616</v>
      </c>
    </row>
    <row r="391" spans="1:22" x14ac:dyDescent="0.3">
      <c r="A391" t="s">
        <v>409</v>
      </c>
      <c r="B391">
        <v>2024</v>
      </c>
      <c r="C391" s="1">
        <v>45490</v>
      </c>
      <c r="D391" t="s">
        <v>825</v>
      </c>
      <c r="E391" t="s">
        <v>1142</v>
      </c>
      <c r="F391" t="s">
        <v>1756</v>
      </c>
      <c r="G391" t="s">
        <v>2167</v>
      </c>
      <c r="H391" t="s">
        <v>2199</v>
      </c>
      <c r="I391" t="s">
        <v>2205</v>
      </c>
      <c r="J391" t="s">
        <v>2212</v>
      </c>
      <c r="K391" t="s">
        <v>2217</v>
      </c>
      <c r="L391" t="s">
        <v>2244</v>
      </c>
      <c r="M391" t="s">
        <v>2254</v>
      </c>
      <c r="N391">
        <v>5</v>
      </c>
      <c r="O391">
        <f t="shared" si="30"/>
        <v>77440</v>
      </c>
      <c r="P391">
        <f t="shared" si="31"/>
        <v>387200</v>
      </c>
      <c r="Q391">
        <v>5</v>
      </c>
      <c r="R391">
        <f t="shared" si="32"/>
        <v>367840</v>
      </c>
      <c r="S391" t="s">
        <v>2263</v>
      </c>
      <c r="T391" t="s">
        <v>2266</v>
      </c>
      <c r="U391" s="1">
        <f t="shared" si="33"/>
        <v>45497</v>
      </c>
      <c r="V391">
        <f t="shared" si="34"/>
        <v>58080</v>
      </c>
    </row>
    <row r="392" spans="1:22" x14ac:dyDescent="0.3">
      <c r="A392" t="s">
        <v>410</v>
      </c>
      <c r="B392">
        <v>2024</v>
      </c>
      <c r="C392" s="1">
        <v>45599</v>
      </c>
      <c r="D392" t="s">
        <v>820</v>
      </c>
      <c r="E392" t="s">
        <v>1143</v>
      </c>
      <c r="F392" t="s">
        <v>1757</v>
      </c>
      <c r="G392" t="s">
        <v>2167</v>
      </c>
      <c r="H392" t="s">
        <v>2168</v>
      </c>
      <c r="I392" t="s">
        <v>2200</v>
      </c>
      <c r="J392" t="s">
        <v>2211</v>
      </c>
      <c r="K392" t="s">
        <v>2238</v>
      </c>
      <c r="L392" t="s">
        <v>2246</v>
      </c>
      <c r="M392" t="s">
        <v>2256</v>
      </c>
      <c r="N392">
        <v>4</v>
      </c>
      <c r="O392">
        <f t="shared" si="30"/>
        <v>77440</v>
      </c>
      <c r="P392">
        <f t="shared" si="31"/>
        <v>309760</v>
      </c>
      <c r="Q392">
        <v>15</v>
      </c>
      <c r="R392">
        <f t="shared" si="32"/>
        <v>263296</v>
      </c>
      <c r="S392" t="s">
        <v>2261</v>
      </c>
      <c r="T392" t="s">
        <v>2265</v>
      </c>
      <c r="U392" s="1" t="str">
        <f t="shared" si="33"/>
        <v>Not Delivered</v>
      </c>
      <c r="V392">
        <f t="shared" si="34"/>
        <v>46464</v>
      </c>
    </row>
    <row r="393" spans="1:22" x14ac:dyDescent="0.3">
      <c r="A393" t="s">
        <v>411</v>
      </c>
      <c r="B393">
        <v>2025</v>
      </c>
      <c r="C393" s="1">
        <v>45677</v>
      </c>
      <c r="D393" t="s">
        <v>827</v>
      </c>
      <c r="E393" t="s">
        <v>1144</v>
      </c>
      <c r="F393" t="s">
        <v>1758</v>
      </c>
      <c r="G393" t="s">
        <v>2167</v>
      </c>
      <c r="H393" t="s">
        <v>2187</v>
      </c>
      <c r="I393" t="s">
        <v>2209</v>
      </c>
      <c r="J393" t="s">
        <v>2212</v>
      </c>
      <c r="K393" t="s">
        <v>2215</v>
      </c>
      <c r="L393" t="s">
        <v>2243</v>
      </c>
      <c r="M393" t="s">
        <v>2251</v>
      </c>
      <c r="N393">
        <v>5</v>
      </c>
      <c r="O393">
        <f t="shared" si="30"/>
        <v>77440</v>
      </c>
      <c r="P393">
        <f t="shared" si="31"/>
        <v>387200</v>
      </c>
      <c r="Q393">
        <v>10</v>
      </c>
      <c r="R393">
        <f t="shared" si="32"/>
        <v>348480</v>
      </c>
      <c r="S393" t="s">
        <v>2260</v>
      </c>
      <c r="T393" t="s">
        <v>2264</v>
      </c>
      <c r="U393" s="1" t="str">
        <f t="shared" si="33"/>
        <v>Not Delivered</v>
      </c>
      <c r="V393">
        <f t="shared" si="34"/>
        <v>58080</v>
      </c>
    </row>
    <row r="394" spans="1:22" x14ac:dyDescent="0.3">
      <c r="A394" t="s">
        <v>412</v>
      </c>
      <c r="B394">
        <v>2025</v>
      </c>
      <c r="C394" s="1">
        <v>45848</v>
      </c>
      <c r="D394" t="s">
        <v>826</v>
      </c>
      <c r="E394" t="s">
        <v>1145</v>
      </c>
      <c r="F394" t="s">
        <v>1759</v>
      </c>
      <c r="G394" t="s">
        <v>2167</v>
      </c>
      <c r="H394" t="s">
        <v>2197</v>
      </c>
      <c r="I394" t="s">
        <v>2209</v>
      </c>
      <c r="J394" t="s">
        <v>2211</v>
      </c>
      <c r="K394" t="s">
        <v>2240</v>
      </c>
      <c r="L394" t="s">
        <v>2246</v>
      </c>
      <c r="M394" t="s">
        <v>2254</v>
      </c>
      <c r="N394">
        <v>3</v>
      </c>
      <c r="O394">
        <f t="shared" si="30"/>
        <v>77440</v>
      </c>
      <c r="P394">
        <f t="shared" si="31"/>
        <v>232320</v>
      </c>
      <c r="Q394">
        <v>5</v>
      </c>
      <c r="R394">
        <f t="shared" si="32"/>
        <v>220704</v>
      </c>
      <c r="S394" t="s">
        <v>2263</v>
      </c>
      <c r="T394" t="s">
        <v>2264</v>
      </c>
      <c r="U394" s="1" t="str">
        <f t="shared" si="33"/>
        <v>Not Delivered</v>
      </c>
      <c r="V394">
        <f t="shared" si="34"/>
        <v>34848</v>
      </c>
    </row>
    <row r="395" spans="1:22" x14ac:dyDescent="0.3">
      <c r="A395" t="s">
        <v>413</v>
      </c>
      <c r="B395">
        <v>2024</v>
      </c>
      <c r="C395" s="1">
        <v>45572</v>
      </c>
      <c r="D395" t="s">
        <v>822</v>
      </c>
      <c r="E395" t="s">
        <v>1134</v>
      </c>
      <c r="F395" t="s">
        <v>1760</v>
      </c>
      <c r="G395" t="s">
        <v>2167</v>
      </c>
      <c r="H395" t="s">
        <v>2191</v>
      </c>
      <c r="I395" t="s">
        <v>2203</v>
      </c>
      <c r="J395" t="s">
        <v>2212</v>
      </c>
      <c r="K395" t="s">
        <v>2240</v>
      </c>
      <c r="L395" t="s">
        <v>2246</v>
      </c>
      <c r="M395" t="s">
        <v>2251</v>
      </c>
      <c r="N395">
        <v>2</v>
      </c>
      <c r="O395">
        <f t="shared" si="30"/>
        <v>77440</v>
      </c>
      <c r="P395">
        <f t="shared" si="31"/>
        <v>154880</v>
      </c>
      <c r="Q395">
        <v>15</v>
      </c>
      <c r="R395">
        <f t="shared" si="32"/>
        <v>131648</v>
      </c>
      <c r="S395" t="s">
        <v>2261</v>
      </c>
      <c r="T395" t="s">
        <v>2264</v>
      </c>
      <c r="U395" s="1" t="str">
        <f t="shared" si="33"/>
        <v>Not Delivered</v>
      </c>
      <c r="V395">
        <f t="shared" si="34"/>
        <v>23232</v>
      </c>
    </row>
    <row r="396" spans="1:22" x14ac:dyDescent="0.3">
      <c r="A396" t="s">
        <v>414</v>
      </c>
      <c r="B396">
        <v>2024</v>
      </c>
      <c r="C396" s="1">
        <v>45330</v>
      </c>
      <c r="D396" t="s">
        <v>826</v>
      </c>
      <c r="E396" t="s">
        <v>1130</v>
      </c>
      <c r="F396" t="s">
        <v>1761</v>
      </c>
      <c r="G396" t="s">
        <v>2167</v>
      </c>
      <c r="H396" t="s">
        <v>2183</v>
      </c>
      <c r="I396" t="s">
        <v>2204</v>
      </c>
      <c r="J396" t="s">
        <v>2211</v>
      </c>
      <c r="K396" t="s">
        <v>2238</v>
      </c>
      <c r="L396" t="s">
        <v>2246</v>
      </c>
      <c r="M396" t="s">
        <v>2258</v>
      </c>
      <c r="N396">
        <v>3</v>
      </c>
      <c r="O396">
        <f t="shared" si="30"/>
        <v>77440</v>
      </c>
      <c r="P396">
        <f t="shared" si="31"/>
        <v>232320</v>
      </c>
      <c r="Q396">
        <v>15</v>
      </c>
      <c r="R396">
        <f t="shared" si="32"/>
        <v>197472</v>
      </c>
      <c r="S396" t="s">
        <v>2260</v>
      </c>
      <c r="T396" t="s">
        <v>2266</v>
      </c>
      <c r="U396" s="1">
        <f t="shared" si="33"/>
        <v>45337</v>
      </c>
      <c r="V396">
        <f t="shared" si="34"/>
        <v>34848</v>
      </c>
    </row>
    <row r="397" spans="1:22" x14ac:dyDescent="0.3">
      <c r="A397" t="s">
        <v>415</v>
      </c>
      <c r="B397">
        <v>2024</v>
      </c>
      <c r="C397" s="1">
        <v>45424</v>
      </c>
      <c r="D397" t="s">
        <v>825</v>
      </c>
      <c r="E397" t="s">
        <v>1146</v>
      </c>
      <c r="F397" t="s">
        <v>1762</v>
      </c>
      <c r="G397" t="s">
        <v>2167</v>
      </c>
      <c r="H397" t="s">
        <v>2173</v>
      </c>
      <c r="I397" t="s">
        <v>2204</v>
      </c>
      <c r="J397" t="s">
        <v>2212</v>
      </c>
      <c r="K397" t="s">
        <v>2221</v>
      </c>
      <c r="L397" t="s">
        <v>2246</v>
      </c>
      <c r="M397" t="s">
        <v>2248</v>
      </c>
      <c r="N397">
        <v>5</v>
      </c>
      <c r="O397">
        <f t="shared" si="30"/>
        <v>77440</v>
      </c>
      <c r="P397">
        <f t="shared" si="31"/>
        <v>387200</v>
      </c>
      <c r="Q397">
        <v>5</v>
      </c>
      <c r="R397">
        <f t="shared" si="32"/>
        <v>367840</v>
      </c>
      <c r="S397" t="s">
        <v>2260</v>
      </c>
      <c r="T397" t="s">
        <v>2264</v>
      </c>
      <c r="U397" s="1" t="str">
        <f t="shared" si="33"/>
        <v>Not Delivered</v>
      </c>
      <c r="V397">
        <f t="shared" si="34"/>
        <v>58080</v>
      </c>
    </row>
    <row r="398" spans="1:22" x14ac:dyDescent="0.3">
      <c r="A398" t="s">
        <v>416</v>
      </c>
      <c r="B398">
        <v>2025</v>
      </c>
      <c r="C398" s="1">
        <v>45846</v>
      </c>
      <c r="D398" t="s">
        <v>826</v>
      </c>
      <c r="E398" t="s">
        <v>1147</v>
      </c>
      <c r="F398" t="s">
        <v>1763</v>
      </c>
      <c r="G398" t="s">
        <v>2167</v>
      </c>
      <c r="H398" t="s">
        <v>2182</v>
      </c>
      <c r="I398" t="s">
        <v>2206</v>
      </c>
      <c r="J398" t="s">
        <v>2211</v>
      </c>
      <c r="K398" t="s">
        <v>2231</v>
      </c>
      <c r="L398" t="s">
        <v>2244</v>
      </c>
      <c r="M398" t="s">
        <v>2258</v>
      </c>
      <c r="N398">
        <v>4</v>
      </c>
      <c r="O398">
        <f t="shared" si="30"/>
        <v>77440</v>
      </c>
      <c r="P398">
        <f t="shared" si="31"/>
        <v>309760</v>
      </c>
      <c r="Q398">
        <v>20</v>
      </c>
      <c r="R398">
        <f t="shared" si="32"/>
        <v>247808</v>
      </c>
      <c r="S398" t="s">
        <v>2263</v>
      </c>
      <c r="T398" t="s">
        <v>2265</v>
      </c>
      <c r="U398" s="1" t="str">
        <f t="shared" si="33"/>
        <v>Not Delivered</v>
      </c>
      <c r="V398">
        <f t="shared" si="34"/>
        <v>46464</v>
      </c>
    </row>
    <row r="399" spans="1:22" x14ac:dyDescent="0.3">
      <c r="A399" t="s">
        <v>417</v>
      </c>
      <c r="B399">
        <v>2024</v>
      </c>
      <c r="C399" s="1">
        <v>45365</v>
      </c>
      <c r="D399" t="s">
        <v>829</v>
      </c>
      <c r="E399" t="s">
        <v>1148</v>
      </c>
      <c r="F399" t="s">
        <v>1764</v>
      </c>
      <c r="G399" t="s">
        <v>2167</v>
      </c>
      <c r="H399" t="s">
        <v>2184</v>
      </c>
      <c r="I399" t="s">
        <v>2202</v>
      </c>
      <c r="J399" t="s">
        <v>2213</v>
      </c>
      <c r="K399" t="s">
        <v>2228</v>
      </c>
      <c r="L399" t="s">
        <v>2243</v>
      </c>
      <c r="M399" t="s">
        <v>2251</v>
      </c>
      <c r="N399">
        <v>2</v>
      </c>
      <c r="O399">
        <f t="shared" si="30"/>
        <v>77440</v>
      </c>
      <c r="P399">
        <f t="shared" si="31"/>
        <v>154880</v>
      </c>
      <c r="Q399">
        <v>15</v>
      </c>
      <c r="R399">
        <f t="shared" si="32"/>
        <v>131648</v>
      </c>
      <c r="S399" t="s">
        <v>2261</v>
      </c>
      <c r="T399" t="s">
        <v>2266</v>
      </c>
      <c r="U399" s="1">
        <f t="shared" si="33"/>
        <v>45372</v>
      </c>
      <c r="V399">
        <f t="shared" si="34"/>
        <v>23232</v>
      </c>
    </row>
    <row r="400" spans="1:22" x14ac:dyDescent="0.3">
      <c r="A400" t="s">
        <v>418</v>
      </c>
      <c r="B400">
        <v>2024</v>
      </c>
      <c r="C400" s="1">
        <v>45383</v>
      </c>
      <c r="D400" t="s">
        <v>825</v>
      </c>
      <c r="E400" t="s">
        <v>1149</v>
      </c>
      <c r="F400" t="s">
        <v>1765</v>
      </c>
      <c r="G400" t="s">
        <v>2167</v>
      </c>
      <c r="H400" t="s">
        <v>2197</v>
      </c>
      <c r="I400" t="s">
        <v>2209</v>
      </c>
      <c r="J400" t="s">
        <v>2211</v>
      </c>
      <c r="K400" t="s">
        <v>2216</v>
      </c>
      <c r="L400" t="s">
        <v>2242</v>
      </c>
      <c r="M400" t="s">
        <v>2256</v>
      </c>
      <c r="N400">
        <v>2</v>
      </c>
      <c r="O400">
        <f t="shared" si="30"/>
        <v>77440</v>
      </c>
      <c r="P400">
        <f t="shared" si="31"/>
        <v>154880</v>
      </c>
      <c r="Q400">
        <v>10</v>
      </c>
      <c r="R400">
        <f t="shared" si="32"/>
        <v>139392</v>
      </c>
      <c r="S400" t="s">
        <v>2263</v>
      </c>
      <c r="T400" t="s">
        <v>2266</v>
      </c>
      <c r="U400" s="1">
        <f t="shared" si="33"/>
        <v>45390</v>
      </c>
      <c r="V400">
        <f t="shared" si="34"/>
        <v>23232</v>
      </c>
    </row>
    <row r="401" spans="1:22" x14ac:dyDescent="0.3">
      <c r="A401" t="s">
        <v>419</v>
      </c>
      <c r="B401">
        <v>2024</v>
      </c>
      <c r="C401" s="1">
        <v>45535</v>
      </c>
      <c r="D401" t="s">
        <v>823</v>
      </c>
      <c r="E401" t="s">
        <v>1134</v>
      </c>
      <c r="F401" t="s">
        <v>1766</v>
      </c>
      <c r="G401" t="s">
        <v>2167</v>
      </c>
      <c r="H401" t="s">
        <v>2168</v>
      </c>
      <c r="I401" t="s">
        <v>2200</v>
      </c>
      <c r="J401" t="s">
        <v>2211</v>
      </c>
      <c r="K401" t="s">
        <v>2225</v>
      </c>
      <c r="L401" t="s">
        <v>2243</v>
      </c>
      <c r="M401" t="s">
        <v>2251</v>
      </c>
      <c r="N401">
        <v>2</v>
      </c>
      <c r="O401">
        <f t="shared" si="30"/>
        <v>77440</v>
      </c>
      <c r="P401">
        <f t="shared" si="31"/>
        <v>154880</v>
      </c>
      <c r="Q401">
        <v>5</v>
      </c>
      <c r="R401">
        <f t="shared" si="32"/>
        <v>147136</v>
      </c>
      <c r="S401" t="s">
        <v>2262</v>
      </c>
      <c r="T401" t="s">
        <v>2264</v>
      </c>
      <c r="U401" s="1" t="str">
        <f t="shared" si="33"/>
        <v>Not Delivered</v>
      </c>
      <c r="V401">
        <f t="shared" si="34"/>
        <v>23232</v>
      </c>
    </row>
    <row r="402" spans="1:22" x14ac:dyDescent="0.3">
      <c r="A402" t="s">
        <v>420</v>
      </c>
      <c r="B402">
        <v>2025</v>
      </c>
      <c r="C402" s="1">
        <v>45776</v>
      </c>
      <c r="D402" t="s">
        <v>823</v>
      </c>
      <c r="E402" t="s">
        <v>1150</v>
      </c>
      <c r="F402" t="s">
        <v>1767</v>
      </c>
      <c r="G402" t="s">
        <v>2167</v>
      </c>
      <c r="H402" t="s">
        <v>2173</v>
      </c>
      <c r="I402" t="s">
        <v>2204</v>
      </c>
      <c r="J402" t="s">
        <v>2211</v>
      </c>
      <c r="K402" t="s">
        <v>2231</v>
      </c>
      <c r="L402" t="s">
        <v>2244</v>
      </c>
      <c r="M402" t="s">
        <v>2256</v>
      </c>
      <c r="N402">
        <v>2</v>
      </c>
      <c r="O402">
        <f t="shared" si="30"/>
        <v>77440</v>
      </c>
      <c r="P402">
        <f t="shared" si="31"/>
        <v>154880</v>
      </c>
      <c r="Q402">
        <v>20</v>
      </c>
      <c r="R402">
        <f t="shared" si="32"/>
        <v>123904</v>
      </c>
      <c r="S402" t="s">
        <v>2260</v>
      </c>
      <c r="T402" t="s">
        <v>2266</v>
      </c>
      <c r="U402" s="1">
        <f t="shared" si="33"/>
        <v>45783</v>
      </c>
      <c r="V402">
        <f t="shared" si="34"/>
        <v>23232</v>
      </c>
    </row>
    <row r="403" spans="1:22" x14ac:dyDescent="0.3">
      <c r="A403" t="s">
        <v>421</v>
      </c>
      <c r="B403">
        <v>2024</v>
      </c>
      <c r="C403" s="1">
        <v>45393</v>
      </c>
      <c r="D403" t="s">
        <v>828</v>
      </c>
      <c r="E403" t="s">
        <v>1070</v>
      </c>
      <c r="F403" t="s">
        <v>1768</v>
      </c>
      <c r="G403" t="s">
        <v>2167</v>
      </c>
      <c r="H403" t="s">
        <v>2187</v>
      </c>
      <c r="I403" t="s">
        <v>2209</v>
      </c>
      <c r="J403" t="s">
        <v>2212</v>
      </c>
      <c r="K403" t="s">
        <v>2220</v>
      </c>
      <c r="L403" t="s">
        <v>2245</v>
      </c>
      <c r="M403" t="s">
        <v>2255</v>
      </c>
      <c r="N403">
        <v>4</v>
      </c>
      <c r="O403">
        <f t="shared" si="30"/>
        <v>77440</v>
      </c>
      <c r="P403">
        <f t="shared" si="31"/>
        <v>309760</v>
      </c>
      <c r="Q403">
        <v>10</v>
      </c>
      <c r="R403">
        <f t="shared" si="32"/>
        <v>278784</v>
      </c>
      <c r="S403" t="s">
        <v>2260</v>
      </c>
      <c r="T403" t="s">
        <v>2265</v>
      </c>
      <c r="U403" s="1" t="str">
        <f t="shared" si="33"/>
        <v>Not Delivered</v>
      </c>
      <c r="V403">
        <f t="shared" si="34"/>
        <v>46464</v>
      </c>
    </row>
    <row r="404" spans="1:22" x14ac:dyDescent="0.3">
      <c r="A404" t="s">
        <v>422</v>
      </c>
      <c r="B404">
        <v>2024</v>
      </c>
      <c r="C404" s="1">
        <v>45440</v>
      </c>
      <c r="D404" t="s">
        <v>825</v>
      </c>
      <c r="E404" t="s">
        <v>1151</v>
      </c>
      <c r="F404" t="s">
        <v>1769</v>
      </c>
      <c r="G404" t="s">
        <v>2167</v>
      </c>
      <c r="H404" t="s">
        <v>2185</v>
      </c>
      <c r="I404" t="s">
        <v>2204</v>
      </c>
      <c r="J404" t="s">
        <v>2211</v>
      </c>
      <c r="K404" t="s">
        <v>2232</v>
      </c>
      <c r="L404" t="s">
        <v>2243</v>
      </c>
      <c r="M404" t="s">
        <v>2250</v>
      </c>
      <c r="N404">
        <v>1</v>
      </c>
      <c r="O404">
        <f t="shared" si="30"/>
        <v>77440</v>
      </c>
      <c r="P404">
        <f t="shared" si="31"/>
        <v>77440</v>
      </c>
      <c r="Q404">
        <v>15</v>
      </c>
      <c r="R404">
        <f t="shared" si="32"/>
        <v>65824</v>
      </c>
      <c r="S404" t="s">
        <v>2263</v>
      </c>
      <c r="T404" t="s">
        <v>2266</v>
      </c>
      <c r="U404" s="1">
        <f t="shared" si="33"/>
        <v>45447</v>
      </c>
      <c r="V404">
        <f t="shared" si="34"/>
        <v>11616</v>
      </c>
    </row>
    <row r="405" spans="1:22" x14ac:dyDescent="0.3">
      <c r="A405" t="s">
        <v>423</v>
      </c>
      <c r="B405">
        <v>2025</v>
      </c>
      <c r="C405" s="1">
        <v>45864</v>
      </c>
      <c r="D405" t="s">
        <v>827</v>
      </c>
      <c r="E405" t="s">
        <v>934</v>
      </c>
      <c r="F405" t="s">
        <v>1770</v>
      </c>
      <c r="G405" t="s">
        <v>2167</v>
      </c>
      <c r="H405" t="s">
        <v>2191</v>
      </c>
      <c r="I405" t="s">
        <v>2203</v>
      </c>
      <c r="J405" t="s">
        <v>2211</v>
      </c>
      <c r="K405" t="s">
        <v>2238</v>
      </c>
      <c r="L405" t="s">
        <v>2246</v>
      </c>
      <c r="M405" t="s">
        <v>2259</v>
      </c>
      <c r="N405">
        <v>1</v>
      </c>
      <c r="O405">
        <f t="shared" si="30"/>
        <v>77440</v>
      </c>
      <c r="P405">
        <f t="shared" si="31"/>
        <v>77440</v>
      </c>
      <c r="Q405">
        <v>20</v>
      </c>
      <c r="R405">
        <f t="shared" si="32"/>
        <v>61952</v>
      </c>
      <c r="S405" t="s">
        <v>2262</v>
      </c>
      <c r="T405" t="s">
        <v>2265</v>
      </c>
      <c r="U405" s="1" t="str">
        <f t="shared" si="33"/>
        <v>Not Delivered</v>
      </c>
      <c r="V405">
        <f t="shared" si="34"/>
        <v>11616</v>
      </c>
    </row>
    <row r="406" spans="1:22" x14ac:dyDescent="0.3">
      <c r="A406" t="s">
        <v>424</v>
      </c>
      <c r="B406">
        <v>2024</v>
      </c>
      <c r="C406" s="1">
        <v>45601</v>
      </c>
      <c r="D406" t="s">
        <v>821</v>
      </c>
      <c r="E406" t="s">
        <v>1152</v>
      </c>
      <c r="F406" t="s">
        <v>1771</v>
      </c>
      <c r="G406" t="s">
        <v>2167</v>
      </c>
      <c r="H406" t="s">
        <v>2181</v>
      </c>
      <c r="I406" t="s">
        <v>2209</v>
      </c>
      <c r="J406" t="s">
        <v>2212</v>
      </c>
      <c r="K406" t="s">
        <v>2225</v>
      </c>
      <c r="L406" t="s">
        <v>2243</v>
      </c>
      <c r="M406" t="s">
        <v>2250</v>
      </c>
      <c r="N406">
        <v>4</v>
      </c>
      <c r="O406">
        <f t="shared" si="30"/>
        <v>77440</v>
      </c>
      <c r="P406">
        <f t="shared" si="31"/>
        <v>309760</v>
      </c>
      <c r="Q406">
        <v>0</v>
      </c>
      <c r="R406">
        <f t="shared" si="32"/>
        <v>309760</v>
      </c>
      <c r="S406" t="s">
        <v>2260</v>
      </c>
      <c r="T406" t="s">
        <v>2264</v>
      </c>
      <c r="U406" s="1" t="str">
        <f t="shared" si="33"/>
        <v>Not Delivered</v>
      </c>
      <c r="V406">
        <f t="shared" si="34"/>
        <v>46464</v>
      </c>
    </row>
    <row r="407" spans="1:22" x14ac:dyDescent="0.3">
      <c r="A407" t="s">
        <v>425</v>
      </c>
      <c r="B407">
        <v>2025</v>
      </c>
      <c r="C407" s="1">
        <v>45799</v>
      </c>
      <c r="D407" t="s">
        <v>823</v>
      </c>
      <c r="E407" t="s">
        <v>915</v>
      </c>
      <c r="F407" t="s">
        <v>1772</v>
      </c>
      <c r="G407" t="s">
        <v>2167</v>
      </c>
      <c r="H407" t="s">
        <v>2173</v>
      </c>
      <c r="I407" t="s">
        <v>2204</v>
      </c>
      <c r="J407" t="s">
        <v>2212</v>
      </c>
      <c r="K407" t="s">
        <v>2229</v>
      </c>
      <c r="L407" t="s">
        <v>2246</v>
      </c>
      <c r="M407" t="s">
        <v>2258</v>
      </c>
      <c r="N407">
        <v>5</v>
      </c>
      <c r="O407">
        <f t="shared" si="30"/>
        <v>77440</v>
      </c>
      <c r="P407">
        <f t="shared" si="31"/>
        <v>387200</v>
      </c>
      <c r="Q407">
        <v>5</v>
      </c>
      <c r="R407">
        <f t="shared" si="32"/>
        <v>367840</v>
      </c>
      <c r="S407" t="s">
        <v>2261</v>
      </c>
      <c r="T407" t="s">
        <v>2266</v>
      </c>
      <c r="U407" s="1">
        <f t="shared" si="33"/>
        <v>45806</v>
      </c>
      <c r="V407">
        <f t="shared" si="34"/>
        <v>58080</v>
      </c>
    </row>
    <row r="408" spans="1:22" x14ac:dyDescent="0.3">
      <c r="A408" t="s">
        <v>426</v>
      </c>
      <c r="B408">
        <v>2025</v>
      </c>
      <c r="C408" s="1">
        <v>45750</v>
      </c>
      <c r="D408" t="s">
        <v>824</v>
      </c>
      <c r="E408" t="s">
        <v>1068</v>
      </c>
      <c r="F408" t="s">
        <v>1773</v>
      </c>
      <c r="G408" t="s">
        <v>2167</v>
      </c>
      <c r="H408" t="s">
        <v>2187</v>
      </c>
      <c r="I408" t="s">
        <v>2209</v>
      </c>
      <c r="J408" t="s">
        <v>2212</v>
      </c>
      <c r="K408" t="s">
        <v>2237</v>
      </c>
      <c r="L408" t="s">
        <v>2246</v>
      </c>
      <c r="M408" t="s">
        <v>2257</v>
      </c>
      <c r="N408">
        <v>5</v>
      </c>
      <c r="O408">
        <f t="shared" si="30"/>
        <v>77440</v>
      </c>
      <c r="P408">
        <f t="shared" si="31"/>
        <v>387200</v>
      </c>
      <c r="Q408">
        <v>5</v>
      </c>
      <c r="R408">
        <f t="shared" si="32"/>
        <v>367840</v>
      </c>
      <c r="S408" t="s">
        <v>2262</v>
      </c>
      <c r="T408" t="s">
        <v>2266</v>
      </c>
      <c r="U408" s="1">
        <f t="shared" si="33"/>
        <v>45757</v>
      </c>
      <c r="V408">
        <f t="shared" si="34"/>
        <v>58080</v>
      </c>
    </row>
    <row r="409" spans="1:22" x14ac:dyDescent="0.3">
      <c r="A409" t="s">
        <v>427</v>
      </c>
      <c r="B409">
        <v>2024</v>
      </c>
      <c r="C409" s="1">
        <v>45338</v>
      </c>
      <c r="D409" t="s">
        <v>822</v>
      </c>
      <c r="E409" t="s">
        <v>1153</v>
      </c>
      <c r="F409" t="s">
        <v>1774</v>
      </c>
      <c r="G409" t="s">
        <v>2167</v>
      </c>
      <c r="H409" t="s">
        <v>2178</v>
      </c>
      <c r="I409" t="s">
        <v>2207</v>
      </c>
      <c r="J409" t="s">
        <v>2212</v>
      </c>
      <c r="K409" t="s">
        <v>2227</v>
      </c>
      <c r="L409" t="s">
        <v>2247</v>
      </c>
      <c r="M409" t="s">
        <v>2259</v>
      </c>
      <c r="N409">
        <v>2</v>
      </c>
      <c r="O409">
        <f t="shared" si="30"/>
        <v>77440</v>
      </c>
      <c r="P409">
        <f t="shared" si="31"/>
        <v>154880</v>
      </c>
      <c r="Q409">
        <v>20</v>
      </c>
      <c r="R409">
        <f t="shared" si="32"/>
        <v>123904</v>
      </c>
      <c r="S409" t="s">
        <v>2262</v>
      </c>
      <c r="T409" t="s">
        <v>2264</v>
      </c>
      <c r="U409" s="1" t="str">
        <f t="shared" si="33"/>
        <v>Not Delivered</v>
      </c>
      <c r="V409">
        <f t="shared" si="34"/>
        <v>23232</v>
      </c>
    </row>
    <row r="410" spans="1:22" x14ac:dyDescent="0.3">
      <c r="A410" t="s">
        <v>428</v>
      </c>
      <c r="B410">
        <v>2024</v>
      </c>
      <c r="C410" s="1">
        <v>45551</v>
      </c>
      <c r="D410" t="s">
        <v>824</v>
      </c>
      <c r="E410" t="s">
        <v>846</v>
      </c>
      <c r="F410" t="s">
        <v>1775</v>
      </c>
      <c r="G410" t="s">
        <v>2167</v>
      </c>
      <c r="H410" t="s">
        <v>2174</v>
      </c>
      <c r="I410" t="s">
        <v>2205</v>
      </c>
      <c r="J410" t="s">
        <v>2213</v>
      </c>
      <c r="K410" t="s">
        <v>2228</v>
      </c>
      <c r="L410" t="s">
        <v>2243</v>
      </c>
      <c r="M410" t="s">
        <v>2251</v>
      </c>
      <c r="N410">
        <v>4</v>
      </c>
      <c r="O410">
        <f t="shared" si="30"/>
        <v>77440</v>
      </c>
      <c r="P410">
        <f t="shared" si="31"/>
        <v>309760</v>
      </c>
      <c r="Q410">
        <v>5</v>
      </c>
      <c r="R410">
        <f t="shared" si="32"/>
        <v>294272</v>
      </c>
      <c r="S410" t="s">
        <v>2262</v>
      </c>
      <c r="T410" t="s">
        <v>2266</v>
      </c>
      <c r="U410" s="1">
        <f t="shared" si="33"/>
        <v>45558</v>
      </c>
      <c r="V410">
        <f t="shared" si="34"/>
        <v>46464</v>
      </c>
    </row>
    <row r="411" spans="1:22" x14ac:dyDescent="0.3">
      <c r="A411" t="s">
        <v>429</v>
      </c>
      <c r="B411">
        <v>2024</v>
      </c>
      <c r="C411" s="1">
        <v>45447</v>
      </c>
      <c r="D411" t="s">
        <v>829</v>
      </c>
      <c r="E411" t="s">
        <v>1154</v>
      </c>
      <c r="F411" t="s">
        <v>1776</v>
      </c>
      <c r="G411" t="s">
        <v>2167</v>
      </c>
      <c r="H411" t="s">
        <v>2195</v>
      </c>
      <c r="I411" t="s">
        <v>2206</v>
      </c>
      <c r="J411" t="s">
        <v>2212</v>
      </c>
      <c r="K411" t="s">
        <v>2233</v>
      </c>
      <c r="L411" t="s">
        <v>2245</v>
      </c>
      <c r="M411" t="s">
        <v>2249</v>
      </c>
      <c r="N411">
        <v>2</v>
      </c>
      <c r="O411">
        <f t="shared" si="30"/>
        <v>77440</v>
      </c>
      <c r="P411">
        <f t="shared" si="31"/>
        <v>154880</v>
      </c>
      <c r="Q411">
        <v>15</v>
      </c>
      <c r="R411">
        <f t="shared" si="32"/>
        <v>131648</v>
      </c>
      <c r="S411" t="s">
        <v>2263</v>
      </c>
      <c r="T411" t="s">
        <v>2265</v>
      </c>
      <c r="U411" s="1" t="str">
        <f t="shared" si="33"/>
        <v>Not Delivered</v>
      </c>
      <c r="V411">
        <f t="shared" si="34"/>
        <v>23232</v>
      </c>
    </row>
    <row r="412" spans="1:22" x14ac:dyDescent="0.3">
      <c r="A412" t="s">
        <v>430</v>
      </c>
      <c r="B412">
        <v>2025</v>
      </c>
      <c r="C412" s="1">
        <v>45735</v>
      </c>
      <c r="D412" t="s">
        <v>825</v>
      </c>
      <c r="E412" t="s">
        <v>1155</v>
      </c>
      <c r="F412" t="s">
        <v>1777</v>
      </c>
      <c r="G412" t="s">
        <v>2167</v>
      </c>
      <c r="H412" t="s">
        <v>2195</v>
      </c>
      <c r="I412" t="s">
        <v>2206</v>
      </c>
      <c r="J412" t="s">
        <v>2210</v>
      </c>
      <c r="K412" t="s">
        <v>2241</v>
      </c>
      <c r="L412" t="s">
        <v>2247</v>
      </c>
      <c r="M412" t="s">
        <v>2257</v>
      </c>
      <c r="N412">
        <v>3</v>
      </c>
      <c r="O412">
        <f t="shared" si="30"/>
        <v>77440</v>
      </c>
      <c r="P412">
        <f t="shared" si="31"/>
        <v>232320</v>
      </c>
      <c r="Q412">
        <v>15</v>
      </c>
      <c r="R412">
        <f t="shared" si="32"/>
        <v>197472</v>
      </c>
      <c r="S412" t="s">
        <v>2262</v>
      </c>
      <c r="T412" t="s">
        <v>2266</v>
      </c>
      <c r="U412" s="1">
        <f t="shared" si="33"/>
        <v>45742</v>
      </c>
      <c r="V412">
        <f t="shared" si="34"/>
        <v>34848</v>
      </c>
    </row>
    <row r="413" spans="1:22" x14ac:dyDescent="0.3">
      <c r="A413" t="s">
        <v>431</v>
      </c>
      <c r="B413">
        <v>2025</v>
      </c>
      <c r="C413" s="1">
        <v>45724</v>
      </c>
      <c r="D413" t="s">
        <v>824</v>
      </c>
      <c r="E413" t="s">
        <v>1156</v>
      </c>
      <c r="F413" t="s">
        <v>1778</v>
      </c>
      <c r="G413" t="s">
        <v>2167</v>
      </c>
      <c r="H413" t="s">
        <v>2194</v>
      </c>
      <c r="I413" t="s">
        <v>2201</v>
      </c>
      <c r="J413" t="s">
        <v>2210</v>
      </c>
      <c r="K413" t="s">
        <v>2234</v>
      </c>
      <c r="L413" t="s">
        <v>2244</v>
      </c>
      <c r="M413" t="s">
        <v>2252</v>
      </c>
      <c r="N413">
        <v>4</v>
      </c>
      <c r="O413">
        <f t="shared" si="30"/>
        <v>77440</v>
      </c>
      <c r="P413">
        <f t="shared" si="31"/>
        <v>309760</v>
      </c>
      <c r="Q413">
        <v>10</v>
      </c>
      <c r="R413">
        <f t="shared" si="32"/>
        <v>278784</v>
      </c>
      <c r="S413" t="s">
        <v>2260</v>
      </c>
      <c r="T413" t="s">
        <v>2265</v>
      </c>
      <c r="U413" s="1" t="str">
        <f t="shared" si="33"/>
        <v>Not Delivered</v>
      </c>
      <c r="V413">
        <f t="shared" si="34"/>
        <v>46464</v>
      </c>
    </row>
    <row r="414" spans="1:22" x14ac:dyDescent="0.3">
      <c r="A414" t="s">
        <v>432</v>
      </c>
      <c r="B414">
        <v>2024</v>
      </c>
      <c r="C414" s="1">
        <v>45563</v>
      </c>
      <c r="D414" t="s">
        <v>821</v>
      </c>
      <c r="E414" t="s">
        <v>1157</v>
      </c>
      <c r="F414" t="s">
        <v>1779</v>
      </c>
      <c r="G414" t="s">
        <v>2167</v>
      </c>
      <c r="H414" t="s">
        <v>2174</v>
      </c>
      <c r="I414" t="s">
        <v>2205</v>
      </c>
      <c r="J414" t="s">
        <v>2211</v>
      </c>
      <c r="K414" t="s">
        <v>2219</v>
      </c>
      <c r="L414" t="s">
        <v>2243</v>
      </c>
      <c r="M414" t="s">
        <v>2248</v>
      </c>
      <c r="N414">
        <v>3</v>
      </c>
      <c r="O414">
        <f t="shared" si="30"/>
        <v>77440</v>
      </c>
      <c r="P414">
        <f t="shared" si="31"/>
        <v>232320</v>
      </c>
      <c r="Q414">
        <v>5</v>
      </c>
      <c r="R414">
        <f t="shared" si="32"/>
        <v>220704</v>
      </c>
      <c r="S414" t="s">
        <v>2262</v>
      </c>
      <c r="T414" t="s">
        <v>2264</v>
      </c>
      <c r="U414" s="1" t="str">
        <f t="shared" si="33"/>
        <v>Not Delivered</v>
      </c>
      <c r="V414">
        <f t="shared" si="34"/>
        <v>34848</v>
      </c>
    </row>
    <row r="415" spans="1:22" x14ac:dyDescent="0.3">
      <c r="A415" t="s">
        <v>433</v>
      </c>
      <c r="B415">
        <v>2025</v>
      </c>
      <c r="C415" s="1">
        <v>45837</v>
      </c>
      <c r="D415" t="s">
        <v>824</v>
      </c>
      <c r="E415" t="s">
        <v>1104</v>
      </c>
      <c r="F415" t="s">
        <v>1780</v>
      </c>
      <c r="G415" t="s">
        <v>2167</v>
      </c>
      <c r="H415" t="s">
        <v>2178</v>
      </c>
      <c r="I415" t="s">
        <v>2207</v>
      </c>
      <c r="J415" t="s">
        <v>2213</v>
      </c>
      <c r="K415" t="s">
        <v>2216</v>
      </c>
      <c r="L415" t="s">
        <v>2242</v>
      </c>
      <c r="M415" t="s">
        <v>2257</v>
      </c>
      <c r="N415">
        <v>3</v>
      </c>
      <c r="O415">
        <f t="shared" si="30"/>
        <v>77440</v>
      </c>
      <c r="P415">
        <f t="shared" si="31"/>
        <v>232320</v>
      </c>
      <c r="Q415">
        <v>5</v>
      </c>
      <c r="R415">
        <f t="shared" si="32"/>
        <v>220704</v>
      </c>
      <c r="S415" t="s">
        <v>2260</v>
      </c>
      <c r="T415" t="s">
        <v>2264</v>
      </c>
      <c r="U415" s="1" t="str">
        <f t="shared" si="33"/>
        <v>Not Delivered</v>
      </c>
      <c r="V415">
        <f t="shared" si="34"/>
        <v>34848</v>
      </c>
    </row>
    <row r="416" spans="1:22" x14ac:dyDescent="0.3">
      <c r="A416" t="s">
        <v>434</v>
      </c>
      <c r="B416">
        <v>2024</v>
      </c>
      <c r="C416" s="1">
        <v>45612</v>
      </c>
      <c r="D416" t="s">
        <v>827</v>
      </c>
      <c r="E416" t="s">
        <v>1155</v>
      </c>
      <c r="F416" t="s">
        <v>1781</v>
      </c>
      <c r="G416" t="s">
        <v>2167</v>
      </c>
      <c r="H416" t="s">
        <v>2183</v>
      </c>
      <c r="I416" t="s">
        <v>2204</v>
      </c>
      <c r="J416" t="s">
        <v>2210</v>
      </c>
      <c r="K416" t="s">
        <v>2230</v>
      </c>
      <c r="L416" t="s">
        <v>2247</v>
      </c>
      <c r="M416" t="s">
        <v>2257</v>
      </c>
      <c r="N416">
        <v>3</v>
      </c>
      <c r="O416">
        <f t="shared" si="30"/>
        <v>77440</v>
      </c>
      <c r="P416">
        <f t="shared" si="31"/>
        <v>232320</v>
      </c>
      <c r="Q416">
        <v>5</v>
      </c>
      <c r="R416">
        <f t="shared" si="32"/>
        <v>220704</v>
      </c>
      <c r="S416" t="s">
        <v>2261</v>
      </c>
      <c r="T416" t="s">
        <v>2265</v>
      </c>
      <c r="U416" s="1" t="str">
        <f t="shared" si="33"/>
        <v>Not Delivered</v>
      </c>
      <c r="V416">
        <f t="shared" si="34"/>
        <v>34848</v>
      </c>
    </row>
    <row r="417" spans="1:22" x14ac:dyDescent="0.3">
      <c r="A417" t="s">
        <v>435</v>
      </c>
      <c r="B417">
        <v>2025</v>
      </c>
      <c r="C417" s="1">
        <v>45736</v>
      </c>
      <c r="D417" t="s">
        <v>829</v>
      </c>
      <c r="E417" t="s">
        <v>1104</v>
      </c>
      <c r="F417" t="s">
        <v>1782</v>
      </c>
      <c r="G417" t="s">
        <v>2167</v>
      </c>
      <c r="H417" t="s">
        <v>2175</v>
      </c>
      <c r="I417" t="s">
        <v>2203</v>
      </c>
      <c r="J417" t="s">
        <v>2210</v>
      </c>
      <c r="K417" t="s">
        <v>2218</v>
      </c>
      <c r="L417" t="s">
        <v>2242</v>
      </c>
      <c r="M417" t="s">
        <v>2257</v>
      </c>
      <c r="N417">
        <v>2</v>
      </c>
      <c r="O417">
        <f t="shared" si="30"/>
        <v>77440</v>
      </c>
      <c r="P417">
        <f t="shared" si="31"/>
        <v>154880</v>
      </c>
      <c r="Q417">
        <v>0</v>
      </c>
      <c r="R417">
        <f t="shared" si="32"/>
        <v>154880</v>
      </c>
      <c r="S417" t="s">
        <v>2262</v>
      </c>
      <c r="T417" t="s">
        <v>2264</v>
      </c>
      <c r="U417" s="1" t="str">
        <f t="shared" si="33"/>
        <v>Not Delivered</v>
      </c>
      <c r="V417">
        <f t="shared" si="34"/>
        <v>23232</v>
      </c>
    </row>
    <row r="418" spans="1:22" x14ac:dyDescent="0.3">
      <c r="A418" t="s">
        <v>436</v>
      </c>
      <c r="B418">
        <v>2025</v>
      </c>
      <c r="C418" s="1">
        <v>45690</v>
      </c>
      <c r="D418" t="s">
        <v>824</v>
      </c>
      <c r="E418" t="s">
        <v>1158</v>
      </c>
      <c r="F418" t="s">
        <v>1783</v>
      </c>
      <c r="G418" t="s">
        <v>2167</v>
      </c>
      <c r="H418" t="s">
        <v>2172</v>
      </c>
      <c r="I418" t="s">
        <v>2203</v>
      </c>
      <c r="J418" t="s">
        <v>2213</v>
      </c>
      <c r="K418" t="s">
        <v>2229</v>
      </c>
      <c r="L418" t="s">
        <v>2246</v>
      </c>
      <c r="M418" t="s">
        <v>2250</v>
      </c>
      <c r="N418">
        <v>2</v>
      </c>
      <c r="O418">
        <f t="shared" si="30"/>
        <v>77440</v>
      </c>
      <c r="P418">
        <f t="shared" si="31"/>
        <v>154880</v>
      </c>
      <c r="Q418">
        <v>20</v>
      </c>
      <c r="R418">
        <f t="shared" si="32"/>
        <v>123904</v>
      </c>
      <c r="S418" t="s">
        <v>2260</v>
      </c>
      <c r="T418" t="s">
        <v>2264</v>
      </c>
      <c r="U418" s="1" t="str">
        <f t="shared" si="33"/>
        <v>Not Delivered</v>
      </c>
      <c r="V418">
        <f t="shared" si="34"/>
        <v>23232</v>
      </c>
    </row>
    <row r="419" spans="1:22" x14ac:dyDescent="0.3">
      <c r="A419" t="s">
        <v>437</v>
      </c>
      <c r="B419">
        <v>2025</v>
      </c>
      <c r="C419" s="1">
        <v>45777</v>
      </c>
      <c r="D419" t="s">
        <v>827</v>
      </c>
      <c r="E419" t="s">
        <v>1070</v>
      </c>
      <c r="F419" t="s">
        <v>1784</v>
      </c>
      <c r="G419" t="s">
        <v>2167</v>
      </c>
      <c r="H419" t="s">
        <v>2168</v>
      </c>
      <c r="I419" t="s">
        <v>2200</v>
      </c>
      <c r="J419" t="s">
        <v>2212</v>
      </c>
      <c r="K419" t="s">
        <v>2215</v>
      </c>
      <c r="L419" t="s">
        <v>2243</v>
      </c>
      <c r="M419" t="s">
        <v>2255</v>
      </c>
      <c r="N419">
        <v>2</v>
      </c>
      <c r="O419">
        <f t="shared" si="30"/>
        <v>77440</v>
      </c>
      <c r="P419">
        <f t="shared" si="31"/>
        <v>154880</v>
      </c>
      <c r="Q419">
        <v>10</v>
      </c>
      <c r="R419">
        <f t="shared" si="32"/>
        <v>139392</v>
      </c>
      <c r="S419" t="s">
        <v>2263</v>
      </c>
      <c r="T419" t="s">
        <v>2265</v>
      </c>
      <c r="U419" s="1" t="str">
        <f t="shared" si="33"/>
        <v>Not Delivered</v>
      </c>
      <c r="V419">
        <f t="shared" si="34"/>
        <v>23232</v>
      </c>
    </row>
    <row r="420" spans="1:22" x14ac:dyDescent="0.3">
      <c r="A420" t="s">
        <v>438</v>
      </c>
      <c r="B420">
        <v>2025</v>
      </c>
      <c r="C420" s="1">
        <v>45757</v>
      </c>
      <c r="D420" t="s">
        <v>822</v>
      </c>
      <c r="E420" t="s">
        <v>1159</v>
      </c>
      <c r="F420" t="s">
        <v>1785</v>
      </c>
      <c r="G420" t="s">
        <v>2167</v>
      </c>
      <c r="H420" t="s">
        <v>2188</v>
      </c>
      <c r="I420" t="s">
        <v>2208</v>
      </c>
      <c r="J420" t="s">
        <v>2211</v>
      </c>
      <c r="K420" t="s">
        <v>2215</v>
      </c>
      <c r="L420" t="s">
        <v>2243</v>
      </c>
      <c r="M420" t="s">
        <v>2254</v>
      </c>
      <c r="N420">
        <v>4</v>
      </c>
      <c r="O420">
        <f t="shared" si="30"/>
        <v>77440</v>
      </c>
      <c r="P420">
        <f t="shared" si="31"/>
        <v>309760</v>
      </c>
      <c r="Q420">
        <v>15</v>
      </c>
      <c r="R420">
        <f t="shared" si="32"/>
        <v>263296</v>
      </c>
      <c r="S420" t="s">
        <v>2261</v>
      </c>
      <c r="T420" t="s">
        <v>2266</v>
      </c>
      <c r="U420" s="1">
        <f t="shared" si="33"/>
        <v>45764</v>
      </c>
      <c r="V420">
        <f t="shared" si="34"/>
        <v>46464</v>
      </c>
    </row>
    <row r="421" spans="1:22" x14ac:dyDescent="0.3">
      <c r="A421" t="s">
        <v>439</v>
      </c>
      <c r="B421">
        <v>2024</v>
      </c>
      <c r="C421" s="1">
        <v>45449</v>
      </c>
      <c r="D421" t="s">
        <v>828</v>
      </c>
      <c r="E421" t="s">
        <v>1160</v>
      </c>
      <c r="F421" t="s">
        <v>1786</v>
      </c>
      <c r="G421" t="s">
        <v>2167</v>
      </c>
      <c r="H421" t="s">
        <v>2178</v>
      </c>
      <c r="I421" t="s">
        <v>2207</v>
      </c>
      <c r="J421" t="s">
        <v>2213</v>
      </c>
      <c r="K421" t="s">
        <v>2234</v>
      </c>
      <c r="L421" t="s">
        <v>2244</v>
      </c>
      <c r="M421" t="s">
        <v>2258</v>
      </c>
      <c r="N421">
        <v>4</v>
      </c>
      <c r="O421">
        <f t="shared" si="30"/>
        <v>77440</v>
      </c>
      <c r="P421">
        <f t="shared" si="31"/>
        <v>309760</v>
      </c>
      <c r="Q421">
        <v>10</v>
      </c>
      <c r="R421">
        <f t="shared" si="32"/>
        <v>278784</v>
      </c>
      <c r="S421" t="s">
        <v>2261</v>
      </c>
      <c r="T421" t="s">
        <v>2265</v>
      </c>
      <c r="U421" s="1" t="str">
        <f t="shared" si="33"/>
        <v>Not Delivered</v>
      </c>
      <c r="V421">
        <f t="shared" si="34"/>
        <v>46464</v>
      </c>
    </row>
    <row r="422" spans="1:22" x14ac:dyDescent="0.3">
      <c r="A422" t="s">
        <v>440</v>
      </c>
      <c r="B422">
        <v>2024</v>
      </c>
      <c r="C422" s="1">
        <v>45515</v>
      </c>
      <c r="D422" t="s">
        <v>827</v>
      </c>
      <c r="E422" t="s">
        <v>1161</v>
      </c>
      <c r="F422" t="s">
        <v>1787</v>
      </c>
      <c r="G422" t="s">
        <v>2167</v>
      </c>
      <c r="H422" t="s">
        <v>2195</v>
      </c>
      <c r="I422" t="s">
        <v>2206</v>
      </c>
      <c r="J422" t="s">
        <v>2212</v>
      </c>
      <c r="K422" t="s">
        <v>2218</v>
      </c>
      <c r="L422" t="s">
        <v>2242</v>
      </c>
      <c r="M422" t="s">
        <v>2256</v>
      </c>
      <c r="N422">
        <v>4</v>
      </c>
      <c r="O422">
        <f t="shared" si="30"/>
        <v>77440</v>
      </c>
      <c r="P422">
        <f t="shared" si="31"/>
        <v>309760</v>
      </c>
      <c r="Q422">
        <v>10</v>
      </c>
      <c r="R422">
        <f t="shared" si="32"/>
        <v>278784</v>
      </c>
      <c r="S422" t="s">
        <v>2263</v>
      </c>
      <c r="T422" t="s">
        <v>2264</v>
      </c>
      <c r="U422" s="1" t="str">
        <f t="shared" si="33"/>
        <v>Not Delivered</v>
      </c>
      <c r="V422">
        <f t="shared" si="34"/>
        <v>46464</v>
      </c>
    </row>
    <row r="423" spans="1:22" x14ac:dyDescent="0.3">
      <c r="A423" t="s">
        <v>441</v>
      </c>
      <c r="B423">
        <v>2024</v>
      </c>
      <c r="C423" s="1">
        <v>45526</v>
      </c>
      <c r="D423" t="s">
        <v>822</v>
      </c>
      <c r="E423" t="s">
        <v>1162</v>
      </c>
      <c r="F423" t="s">
        <v>1788</v>
      </c>
      <c r="G423" t="s">
        <v>2167</v>
      </c>
      <c r="H423" t="s">
        <v>2189</v>
      </c>
      <c r="I423" t="s">
        <v>2202</v>
      </c>
      <c r="J423" t="s">
        <v>2211</v>
      </c>
      <c r="K423" t="s">
        <v>2221</v>
      </c>
      <c r="L423" t="s">
        <v>2246</v>
      </c>
      <c r="M423" t="s">
        <v>2254</v>
      </c>
      <c r="N423">
        <v>4</v>
      </c>
      <c r="O423">
        <f t="shared" si="30"/>
        <v>77440</v>
      </c>
      <c r="P423">
        <f t="shared" si="31"/>
        <v>309760</v>
      </c>
      <c r="Q423">
        <v>20</v>
      </c>
      <c r="R423">
        <f t="shared" si="32"/>
        <v>247808</v>
      </c>
      <c r="S423" t="s">
        <v>2263</v>
      </c>
      <c r="T423" t="s">
        <v>2264</v>
      </c>
      <c r="U423" s="1" t="str">
        <f t="shared" si="33"/>
        <v>Not Delivered</v>
      </c>
      <c r="V423">
        <f t="shared" si="34"/>
        <v>46464</v>
      </c>
    </row>
    <row r="424" spans="1:22" x14ac:dyDescent="0.3">
      <c r="A424" t="s">
        <v>442</v>
      </c>
      <c r="B424">
        <v>2025</v>
      </c>
      <c r="C424" s="1">
        <v>45735</v>
      </c>
      <c r="D424" t="s">
        <v>826</v>
      </c>
      <c r="E424" t="s">
        <v>1163</v>
      </c>
      <c r="F424" t="s">
        <v>1789</v>
      </c>
      <c r="G424" t="s">
        <v>2167</v>
      </c>
      <c r="H424" t="s">
        <v>2191</v>
      </c>
      <c r="I424" t="s">
        <v>2203</v>
      </c>
      <c r="J424" t="s">
        <v>2210</v>
      </c>
      <c r="K424" t="s">
        <v>2236</v>
      </c>
      <c r="L424" t="s">
        <v>2242</v>
      </c>
      <c r="M424" t="s">
        <v>2250</v>
      </c>
      <c r="N424">
        <v>2</v>
      </c>
      <c r="O424">
        <f t="shared" si="30"/>
        <v>77440</v>
      </c>
      <c r="P424">
        <f t="shared" si="31"/>
        <v>154880</v>
      </c>
      <c r="Q424">
        <v>10</v>
      </c>
      <c r="R424">
        <f t="shared" si="32"/>
        <v>139392</v>
      </c>
      <c r="S424" t="s">
        <v>2263</v>
      </c>
      <c r="T424" t="s">
        <v>2265</v>
      </c>
      <c r="U424" s="1" t="str">
        <f t="shared" si="33"/>
        <v>Not Delivered</v>
      </c>
      <c r="V424">
        <f t="shared" si="34"/>
        <v>23232</v>
      </c>
    </row>
    <row r="425" spans="1:22" x14ac:dyDescent="0.3">
      <c r="A425" t="s">
        <v>443</v>
      </c>
      <c r="B425">
        <v>2025</v>
      </c>
      <c r="C425" s="1">
        <v>45801</v>
      </c>
      <c r="D425" t="s">
        <v>827</v>
      </c>
      <c r="E425" t="s">
        <v>986</v>
      </c>
      <c r="F425" t="s">
        <v>1790</v>
      </c>
      <c r="G425" t="s">
        <v>2167</v>
      </c>
      <c r="H425" t="s">
        <v>2168</v>
      </c>
      <c r="I425" t="s">
        <v>2200</v>
      </c>
      <c r="J425" t="s">
        <v>2211</v>
      </c>
      <c r="K425" t="s">
        <v>2228</v>
      </c>
      <c r="L425" t="s">
        <v>2243</v>
      </c>
      <c r="M425" t="s">
        <v>2252</v>
      </c>
      <c r="N425">
        <v>4</v>
      </c>
      <c r="O425">
        <f t="shared" si="30"/>
        <v>77440</v>
      </c>
      <c r="P425">
        <f t="shared" si="31"/>
        <v>309760</v>
      </c>
      <c r="Q425">
        <v>0</v>
      </c>
      <c r="R425">
        <f t="shared" si="32"/>
        <v>309760</v>
      </c>
      <c r="S425" t="s">
        <v>2261</v>
      </c>
      <c r="T425" t="s">
        <v>2265</v>
      </c>
      <c r="U425" s="1" t="str">
        <f t="shared" si="33"/>
        <v>Not Delivered</v>
      </c>
      <c r="V425">
        <f t="shared" si="34"/>
        <v>46464</v>
      </c>
    </row>
    <row r="426" spans="1:22" x14ac:dyDescent="0.3">
      <c r="A426" t="s">
        <v>444</v>
      </c>
      <c r="B426">
        <v>2025</v>
      </c>
      <c r="C426" s="1">
        <v>45826</v>
      </c>
      <c r="D426" t="s">
        <v>820</v>
      </c>
      <c r="E426" t="s">
        <v>1164</v>
      </c>
      <c r="F426" t="s">
        <v>1791</v>
      </c>
      <c r="G426" t="s">
        <v>2167</v>
      </c>
      <c r="H426" t="s">
        <v>2193</v>
      </c>
      <c r="I426" t="s">
        <v>2206</v>
      </c>
      <c r="J426" t="s">
        <v>2210</v>
      </c>
      <c r="K426" t="s">
        <v>2216</v>
      </c>
      <c r="L426" t="s">
        <v>2242</v>
      </c>
      <c r="M426" t="s">
        <v>2258</v>
      </c>
      <c r="N426">
        <v>5</v>
      </c>
      <c r="O426">
        <f t="shared" si="30"/>
        <v>77440</v>
      </c>
      <c r="P426">
        <f t="shared" si="31"/>
        <v>387200</v>
      </c>
      <c r="Q426">
        <v>15</v>
      </c>
      <c r="R426">
        <f t="shared" si="32"/>
        <v>329120</v>
      </c>
      <c r="S426" t="s">
        <v>2263</v>
      </c>
      <c r="T426" t="s">
        <v>2266</v>
      </c>
      <c r="U426" s="1">
        <f t="shared" si="33"/>
        <v>45833</v>
      </c>
      <c r="V426">
        <f t="shared" si="34"/>
        <v>58080</v>
      </c>
    </row>
    <row r="427" spans="1:22" x14ac:dyDescent="0.3">
      <c r="A427" t="s">
        <v>445</v>
      </c>
      <c r="B427">
        <v>2024</v>
      </c>
      <c r="C427" s="1">
        <v>45503</v>
      </c>
      <c r="D427" t="s">
        <v>823</v>
      </c>
      <c r="E427" t="s">
        <v>948</v>
      </c>
      <c r="F427" t="s">
        <v>1792</v>
      </c>
      <c r="G427" t="s">
        <v>2167</v>
      </c>
      <c r="H427" t="s">
        <v>2188</v>
      </c>
      <c r="I427" t="s">
        <v>2208</v>
      </c>
      <c r="J427" t="s">
        <v>2211</v>
      </c>
      <c r="K427" t="s">
        <v>2216</v>
      </c>
      <c r="L427" t="s">
        <v>2242</v>
      </c>
      <c r="M427" t="s">
        <v>2256</v>
      </c>
      <c r="N427">
        <v>4</v>
      </c>
      <c r="O427">
        <f t="shared" si="30"/>
        <v>77440</v>
      </c>
      <c r="P427">
        <f t="shared" si="31"/>
        <v>309760</v>
      </c>
      <c r="Q427">
        <v>5</v>
      </c>
      <c r="R427">
        <f t="shared" si="32"/>
        <v>294272</v>
      </c>
      <c r="S427" t="s">
        <v>2260</v>
      </c>
      <c r="T427" t="s">
        <v>2266</v>
      </c>
      <c r="U427" s="1">
        <f t="shared" si="33"/>
        <v>45510</v>
      </c>
      <c r="V427">
        <f t="shared" si="34"/>
        <v>46464</v>
      </c>
    </row>
    <row r="428" spans="1:22" x14ac:dyDescent="0.3">
      <c r="A428" t="s">
        <v>446</v>
      </c>
      <c r="B428">
        <v>2024</v>
      </c>
      <c r="C428" s="1">
        <v>45633</v>
      </c>
      <c r="D428" t="s">
        <v>821</v>
      </c>
      <c r="E428" t="s">
        <v>1165</v>
      </c>
      <c r="F428" t="s">
        <v>1793</v>
      </c>
      <c r="G428" t="s">
        <v>2167</v>
      </c>
      <c r="H428" t="s">
        <v>2198</v>
      </c>
      <c r="I428" t="s">
        <v>2207</v>
      </c>
      <c r="J428" t="s">
        <v>2212</v>
      </c>
      <c r="K428" t="s">
        <v>2234</v>
      </c>
      <c r="L428" t="s">
        <v>2244</v>
      </c>
      <c r="M428" t="s">
        <v>2252</v>
      </c>
      <c r="N428">
        <v>4</v>
      </c>
      <c r="O428">
        <f t="shared" si="30"/>
        <v>77440</v>
      </c>
      <c r="P428">
        <f t="shared" si="31"/>
        <v>309760</v>
      </c>
      <c r="Q428">
        <v>0</v>
      </c>
      <c r="R428">
        <f t="shared" si="32"/>
        <v>309760</v>
      </c>
      <c r="S428" t="s">
        <v>2263</v>
      </c>
      <c r="T428" t="s">
        <v>2266</v>
      </c>
      <c r="U428" s="1">
        <f t="shared" si="33"/>
        <v>45640</v>
      </c>
      <c r="V428">
        <f t="shared" si="34"/>
        <v>46464</v>
      </c>
    </row>
    <row r="429" spans="1:22" x14ac:dyDescent="0.3">
      <c r="A429" t="s">
        <v>447</v>
      </c>
      <c r="B429">
        <v>2025</v>
      </c>
      <c r="C429" s="1">
        <v>45830</v>
      </c>
      <c r="D429" t="s">
        <v>824</v>
      </c>
      <c r="E429" t="s">
        <v>1166</v>
      </c>
      <c r="F429" t="s">
        <v>1794</v>
      </c>
      <c r="G429" t="s">
        <v>2167</v>
      </c>
      <c r="H429" t="s">
        <v>2182</v>
      </c>
      <c r="I429" t="s">
        <v>2206</v>
      </c>
      <c r="J429" t="s">
        <v>2210</v>
      </c>
      <c r="K429" t="s">
        <v>2230</v>
      </c>
      <c r="L429" t="s">
        <v>2247</v>
      </c>
      <c r="M429" t="s">
        <v>2249</v>
      </c>
      <c r="N429">
        <v>1</v>
      </c>
      <c r="O429">
        <f t="shared" si="30"/>
        <v>77440</v>
      </c>
      <c r="P429">
        <f t="shared" si="31"/>
        <v>77440</v>
      </c>
      <c r="Q429">
        <v>15</v>
      </c>
      <c r="R429">
        <f t="shared" si="32"/>
        <v>65824</v>
      </c>
      <c r="S429" t="s">
        <v>2260</v>
      </c>
      <c r="T429" t="s">
        <v>2264</v>
      </c>
      <c r="U429" s="1" t="str">
        <f t="shared" si="33"/>
        <v>Not Delivered</v>
      </c>
      <c r="V429">
        <f t="shared" si="34"/>
        <v>11616</v>
      </c>
    </row>
    <row r="430" spans="1:22" x14ac:dyDescent="0.3">
      <c r="A430" t="s">
        <v>448</v>
      </c>
      <c r="B430">
        <v>2024</v>
      </c>
      <c r="C430" s="1">
        <v>45455</v>
      </c>
      <c r="D430" t="s">
        <v>823</v>
      </c>
      <c r="E430" t="s">
        <v>1167</v>
      </c>
      <c r="F430" t="s">
        <v>1795</v>
      </c>
      <c r="G430" t="s">
        <v>2167</v>
      </c>
      <c r="H430" t="s">
        <v>2172</v>
      </c>
      <c r="I430" t="s">
        <v>2203</v>
      </c>
      <c r="J430" t="s">
        <v>2212</v>
      </c>
      <c r="K430" t="s">
        <v>2224</v>
      </c>
      <c r="L430" t="s">
        <v>2245</v>
      </c>
      <c r="M430" t="s">
        <v>2259</v>
      </c>
      <c r="N430">
        <v>4</v>
      </c>
      <c r="O430">
        <f t="shared" si="30"/>
        <v>77440</v>
      </c>
      <c r="P430">
        <f t="shared" si="31"/>
        <v>309760</v>
      </c>
      <c r="Q430">
        <v>0</v>
      </c>
      <c r="R430">
        <f t="shared" si="32"/>
        <v>309760</v>
      </c>
      <c r="S430" t="s">
        <v>2260</v>
      </c>
      <c r="T430" t="s">
        <v>2264</v>
      </c>
      <c r="U430" s="1" t="str">
        <f t="shared" si="33"/>
        <v>Not Delivered</v>
      </c>
      <c r="V430">
        <f t="shared" si="34"/>
        <v>46464</v>
      </c>
    </row>
    <row r="431" spans="1:22" x14ac:dyDescent="0.3">
      <c r="A431" t="s">
        <v>449</v>
      </c>
      <c r="B431">
        <v>2024</v>
      </c>
      <c r="C431" s="1">
        <v>45507</v>
      </c>
      <c r="D431" t="s">
        <v>826</v>
      </c>
      <c r="E431" t="s">
        <v>1168</v>
      </c>
      <c r="F431" t="s">
        <v>1796</v>
      </c>
      <c r="G431" t="s">
        <v>2167</v>
      </c>
      <c r="H431" t="s">
        <v>2168</v>
      </c>
      <c r="I431" t="s">
        <v>2200</v>
      </c>
      <c r="J431" t="s">
        <v>2213</v>
      </c>
      <c r="K431" t="s">
        <v>2231</v>
      </c>
      <c r="L431" t="s">
        <v>2244</v>
      </c>
      <c r="M431" t="s">
        <v>2249</v>
      </c>
      <c r="N431">
        <v>4</v>
      </c>
      <c r="O431">
        <f t="shared" si="30"/>
        <v>77440</v>
      </c>
      <c r="P431">
        <f t="shared" si="31"/>
        <v>309760</v>
      </c>
      <c r="Q431">
        <v>0</v>
      </c>
      <c r="R431">
        <f t="shared" si="32"/>
        <v>309760</v>
      </c>
      <c r="S431" t="s">
        <v>2263</v>
      </c>
      <c r="T431" t="s">
        <v>2265</v>
      </c>
      <c r="U431" s="1" t="str">
        <f t="shared" si="33"/>
        <v>Not Delivered</v>
      </c>
      <c r="V431">
        <f t="shared" si="34"/>
        <v>46464</v>
      </c>
    </row>
    <row r="432" spans="1:22" x14ac:dyDescent="0.3">
      <c r="A432" t="s">
        <v>450</v>
      </c>
      <c r="B432">
        <v>2024</v>
      </c>
      <c r="C432" s="1">
        <v>45597</v>
      </c>
      <c r="D432" t="s">
        <v>829</v>
      </c>
      <c r="E432" t="s">
        <v>1134</v>
      </c>
      <c r="F432" t="s">
        <v>1797</v>
      </c>
      <c r="G432" t="s">
        <v>2167</v>
      </c>
      <c r="H432" t="s">
        <v>2191</v>
      </c>
      <c r="I432" t="s">
        <v>2203</v>
      </c>
      <c r="J432" t="s">
        <v>2213</v>
      </c>
      <c r="K432" t="s">
        <v>2215</v>
      </c>
      <c r="L432" t="s">
        <v>2243</v>
      </c>
      <c r="M432" t="s">
        <v>2249</v>
      </c>
      <c r="N432">
        <v>3</v>
      </c>
      <c r="O432">
        <f t="shared" si="30"/>
        <v>77440</v>
      </c>
      <c r="P432">
        <f t="shared" si="31"/>
        <v>232320</v>
      </c>
      <c r="Q432">
        <v>15</v>
      </c>
      <c r="R432">
        <f t="shared" si="32"/>
        <v>197472</v>
      </c>
      <c r="S432" t="s">
        <v>2262</v>
      </c>
      <c r="T432" t="s">
        <v>2266</v>
      </c>
      <c r="U432" s="1">
        <f t="shared" si="33"/>
        <v>45604</v>
      </c>
      <c r="V432">
        <f t="shared" si="34"/>
        <v>34848</v>
      </c>
    </row>
    <row r="433" spans="1:22" x14ac:dyDescent="0.3">
      <c r="A433" t="s">
        <v>451</v>
      </c>
      <c r="B433">
        <v>2024</v>
      </c>
      <c r="C433" s="1">
        <v>45507</v>
      </c>
      <c r="D433" t="s">
        <v>823</v>
      </c>
      <c r="E433" t="s">
        <v>1169</v>
      </c>
      <c r="F433" t="s">
        <v>1798</v>
      </c>
      <c r="G433" t="s">
        <v>2167</v>
      </c>
      <c r="H433" t="s">
        <v>2180</v>
      </c>
      <c r="I433" t="s">
        <v>2208</v>
      </c>
      <c r="J433" t="s">
        <v>2211</v>
      </c>
      <c r="K433" t="s">
        <v>2239</v>
      </c>
      <c r="L433" t="s">
        <v>2245</v>
      </c>
      <c r="M433" t="s">
        <v>2259</v>
      </c>
      <c r="N433">
        <v>3</v>
      </c>
      <c r="O433">
        <f t="shared" si="30"/>
        <v>77440</v>
      </c>
      <c r="P433">
        <f t="shared" si="31"/>
        <v>232320</v>
      </c>
      <c r="Q433">
        <v>20</v>
      </c>
      <c r="R433">
        <f t="shared" si="32"/>
        <v>185856</v>
      </c>
      <c r="S433" t="s">
        <v>2260</v>
      </c>
      <c r="T433" t="s">
        <v>2266</v>
      </c>
      <c r="U433" s="1">
        <f t="shared" si="33"/>
        <v>45514</v>
      </c>
      <c r="V433">
        <f t="shared" si="34"/>
        <v>34848</v>
      </c>
    </row>
    <row r="434" spans="1:22" x14ac:dyDescent="0.3">
      <c r="A434" t="s">
        <v>452</v>
      </c>
      <c r="B434">
        <v>2024</v>
      </c>
      <c r="C434" s="1">
        <v>45347</v>
      </c>
      <c r="D434" t="s">
        <v>826</v>
      </c>
      <c r="E434" t="s">
        <v>1170</v>
      </c>
      <c r="F434" t="s">
        <v>1799</v>
      </c>
      <c r="G434" t="s">
        <v>2167</v>
      </c>
      <c r="H434" t="s">
        <v>2177</v>
      </c>
      <c r="I434" t="s">
        <v>2206</v>
      </c>
      <c r="J434" t="s">
        <v>2211</v>
      </c>
      <c r="K434" t="s">
        <v>2220</v>
      </c>
      <c r="L434" t="s">
        <v>2245</v>
      </c>
      <c r="M434" t="s">
        <v>2255</v>
      </c>
      <c r="N434">
        <v>2</v>
      </c>
      <c r="O434">
        <f t="shared" si="30"/>
        <v>77440</v>
      </c>
      <c r="P434">
        <f t="shared" si="31"/>
        <v>154880</v>
      </c>
      <c r="Q434">
        <v>0</v>
      </c>
      <c r="R434">
        <f t="shared" si="32"/>
        <v>154880</v>
      </c>
      <c r="S434" t="s">
        <v>2261</v>
      </c>
      <c r="T434" t="s">
        <v>2265</v>
      </c>
      <c r="U434" s="1" t="str">
        <f t="shared" si="33"/>
        <v>Not Delivered</v>
      </c>
      <c r="V434">
        <f t="shared" si="34"/>
        <v>23232</v>
      </c>
    </row>
    <row r="435" spans="1:22" x14ac:dyDescent="0.3">
      <c r="A435" t="s">
        <v>453</v>
      </c>
      <c r="B435">
        <v>2024</v>
      </c>
      <c r="C435" s="1">
        <v>45503</v>
      </c>
      <c r="D435" t="s">
        <v>823</v>
      </c>
      <c r="E435" t="s">
        <v>993</v>
      </c>
      <c r="F435" t="s">
        <v>1800</v>
      </c>
      <c r="G435" t="s">
        <v>2167</v>
      </c>
      <c r="H435" t="s">
        <v>2193</v>
      </c>
      <c r="I435" t="s">
        <v>2206</v>
      </c>
      <c r="J435" t="s">
        <v>2212</v>
      </c>
      <c r="K435" t="s">
        <v>2217</v>
      </c>
      <c r="L435" t="s">
        <v>2244</v>
      </c>
      <c r="M435" t="s">
        <v>2250</v>
      </c>
      <c r="N435">
        <v>3</v>
      </c>
      <c r="O435">
        <f t="shared" si="30"/>
        <v>77440</v>
      </c>
      <c r="P435">
        <f t="shared" si="31"/>
        <v>232320</v>
      </c>
      <c r="Q435">
        <v>0</v>
      </c>
      <c r="R435">
        <f t="shared" si="32"/>
        <v>232320</v>
      </c>
      <c r="S435" t="s">
        <v>2260</v>
      </c>
      <c r="T435" t="s">
        <v>2265</v>
      </c>
      <c r="U435" s="1" t="str">
        <f t="shared" si="33"/>
        <v>Not Delivered</v>
      </c>
      <c r="V435">
        <f t="shared" si="34"/>
        <v>34848</v>
      </c>
    </row>
    <row r="436" spans="1:22" x14ac:dyDescent="0.3">
      <c r="A436" t="s">
        <v>454</v>
      </c>
      <c r="B436">
        <v>2025</v>
      </c>
      <c r="C436" s="1">
        <v>45694</v>
      </c>
      <c r="D436" t="s">
        <v>824</v>
      </c>
      <c r="E436" t="s">
        <v>869</v>
      </c>
      <c r="F436" t="s">
        <v>1801</v>
      </c>
      <c r="G436" t="s">
        <v>2167</v>
      </c>
      <c r="H436" t="s">
        <v>2181</v>
      </c>
      <c r="I436" t="s">
        <v>2209</v>
      </c>
      <c r="J436" t="s">
        <v>2212</v>
      </c>
      <c r="K436" t="s">
        <v>2240</v>
      </c>
      <c r="L436" t="s">
        <v>2246</v>
      </c>
      <c r="M436" t="s">
        <v>2253</v>
      </c>
      <c r="N436">
        <v>4</v>
      </c>
      <c r="O436">
        <f t="shared" si="30"/>
        <v>77440</v>
      </c>
      <c r="P436">
        <f t="shared" si="31"/>
        <v>309760</v>
      </c>
      <c r="Q436">
        <v>10</v>
      </c>
      <c r="R436">
        <f t="shared" si="32"/>
        <v>278784</v>
      </c>
      <c r="S436" t="s">
        <v>2260</v>
      </c>
      <c r="T436" t="s">
        <v>2265</v>
      </c>
      <c r="U436" s="1" t="str">
        <f t="shared" si="33"/>
        <v>Not Delivered</v>
      </c>
      <c r="V436">
        <f t="shared" si="34"/>
        <v>46464</v>
      </c>
    </row>
    <row r="437" spans="1:22" x14ac:dyDescent="0.3">
      <c r="A437" t="s">
        <v>455</v>
      </c>
      <c r="B437">
        <v>2025</v>
      </c>
      <c r="C437" s="1">
        <v>45757</v>
      </c>
      <c r="D437" t="s">
        <v>827</v>
      </c>
      <c r="E437" t="s">
        <v>850</v>
      </c>
      <c r="F437" t="s">
        <v>1802</v>
      </c>
      <c r="G437" t="s">
        <v>2167</v>
      </c>
      <c r="H437" t="s">
        <v>2185</v>
      </c>
      <c r="I437" t="s">
        <v>2204</v>
      </c>
      <c r="J437" t="s">
        <v>2213</v>
      </c>
      <c r="K437" t="s">
        <v>2216</v>
      </c>
      <c r="L437" t="s">
        <v>2242</v>
      </c>
      <c r="M437" t="s">
        <v>2256</v>
      </c>
      <c r="N437">
        <v>4</v>
      </c>
      <c r="O437">
        <f t="shared" si="30"/>
        <v>77440</v>
      </c>
      <c r="P437">
        <f t="shared" si="31"/>
        <v>309760</v>
      </c>
      <c r="Q437">
        <v>15</v>
      </c>
      <c r="R437">
        <f t="shared" si="32"/>
        <v>263296</v>
      </c>
      <c r="S437" t="s">
        <v>2260</v>
      </c>
      <c r="T437" t="s">
        <v>2264</v>
      </c>
      <c r="U437" s="1" t="str">
        <f t="shared" si="33"/>
        <v>Not Delivered</v>
      </c>
      <c r="V437">
        <f t="shared" si="34"/>
        <v>46464</v>
      </c>
    </row>
    <row r="438" spans="1:22" x14ac:dyDescent="0.3">
      <c r="A438" t="s">
        <v>456</v>
      </c>
      <c r="B438">
        <v>2024</v>
      </c>
      <c r="C438" s="1">
        <v>45567</v>
      </c>
      <c r="D438" t="s">
        <v>827</v>
      </c>
      <c r="E438" t="s">
        <v>847</v>
      </c>
      <c r="F438" t="s">
        <v>1803</v>
      </c>
      <c r="G438" t="s">
        <v>2167</v>
      </c>
      <c r="H438" t="s">
        <v>2172</v>
      </c>
      <c r="I438" t="s">
        <v>2203</v>
      </c>
      <c r="J438" t="s">
        <v>2211</v>
      </c>
      <c r="K438" t="s">
        <v>2215</v>
      </c>
      <c r="L438" t="s">
        <v>2243</v>
      </c>
      <c r="M438" t="s">
        <v>2251</v>
      </c>
      <c r="N438">
        <v>4</v>
      </c>
      <c r="O438">
        <f t="shared" si="30"/>
        <v>77440</v>
      </c>
      <c r="P438">
        <f t="shared" si="31"/>
        <v>309760</v>
      </c>
      <c r="Q438">
        <v>5</v>
      </c>
      <c r="R438">
        <f t="shared" si="32"/>
        <v>294272</v>
      </c>
      <c r="S438" t="s">
        <v>2263</v>
      </c>
      <c r="T438" t="s">
        <v>2265</v>
      </c>
      <c r="U438" s="1" t="str">
        <f t="shared" si="33"/>
        <v>Not Delivered</v>
      </c>
      <c r="V438">
        <f t="shared" si="34"/>
        <v>46464</v>
      </c>
    </row>
    <row r="439" spans="1:22" x14ac:dyDescent="0.3">
      <c r="A439" t="s">
        <v>457</v>
      </c>
      <c r="B439">
        <v>2024</v>
      </c>
      <c r="C439" s="1">
        <v>45653</v>
      </c>
      <c r="D439" t="s">
        <v>826</v>
      </c>
      <c r="E439" t="s">
        <v>1171</v>
      </c>
      <c r="F439" t="s">
        <v>1804</v>
      </c>
      <c r="G439" t="s">
        <v>2167</v>
      </c>
      <c r="H439" t="s">
        <v>2188</v>
      </c>
      <c r="I439" t="s">
        <v>2208</v>
      </c>
      <c r="J439" t="s">
        <v>2212</v>
      </c>
      <c r="K439" t="s">
        <v>2231</v>
      </c>
      <c r="L439" t="s">
        <v>2244</v>
      </c>
      <c r="M439" t="s">
        <v>2259</v>
      </c>
      <c r="N439">
        <v>3</v>
      </c>
      <c r="O439">
        <f t="shared" si="30"/>
        <v>77440</v>
      </c>
      <c r="P439">
        <f t="shared" si="31"/>
        <v>232320</v>
      </c>
      <c r="Q439">
        <v>20</v>
      </c>
      <c r="R439">
        <f t="shared" si="32"/>
        <v>185856</v>
      </c>
      <c r="S439" t="s">
        <v>2263</v>
      </c>
      <c r="T439" t="s">
        <v>2266</v>
      </c>
      <c r="U439" s="1">
        <f t="shared" si="33"/>
        <v>45660</v>
      </c>
      <c r="V439">
        <f t="shared" si="34"/>
        <v>34848</v>
      </c>
    </row>
    <row r="440" spans="1:22" x14ac:dyDescent="0.3">
      <c r="A440" t="s">
        <v>458</v>
      </c>
      <c r="B440">
        <v>2024</v>
      </c>
      <c r="C440" s="1">
        <v>45629</v>
      </c>
      <c r="D440" t="s">
        <v>820</v>
      </c>
      <c r="E440" t="s">
        <v>1172</v>
      </c>
      <c r="F440" t="s">
        <v>1805</v>
      </c>
      <c r="G440" t="s">
        <v>2167</v>
      </c>
      <c r="H440" t="s">
        <v>2174</v>
      </c>
      <c r="I440" t="s">
        <v>2205</v>
      </c>
      <c r="J440" t="s">
        <v>2213</v>
      </c>
      <c r="K440" t="s">
        <v>2241</v>
      </c>
      <c r="L440" t="s">
        <v>2247</v>
      </c>
      <c r="M440" t="s">
        <v>2253</v>
      </c>
      <c r="N440">
        <v>2</v>
      </c>
      <c r="O440">
        <f t="shared" si="30"/>
        <v>77440</v>
      </c>
      <c r="P440">
        <f t="shared" si="31"/>
        <v>154880</v>
      </c>
      <c r="Q440">
        <v>15</v>
      </c>
      <c r="R440">
        <f t="shared" si="32"/>
        <v>131648</v>
      </c>
      <c r="S440" t="s">
        <v>2261</v>
      </c>
      <c r="T440" t="s">
        <v>2266</v>
      </c>
      <c r="U440" s="1">
        <f t="shared" si="33"/>
        <v>45636</v>
      </c>
      <c r="V440">
        <f t="shared" si="34"/>
        <v>23232</v>
      </c>
    </row>
    <row r="441" spans="1:22" x14ac:dyDescent="0.3">
      <c r="A441" t="s">
        <v>459</v>
      </c>
      <c r="B441">
        <v>2024</v>
      </c>
      <c r="C441" s="1">
        <v>45349</v>
      </c>
      <c r="D441" t="s">
        <v>820</v>
      </c>
      <c r="E441" t="s">
        <v>1173</v>
      </c>
      <c r="F441" t="s">
        <v>1806</v>
      </c>
      <c r="G441" t="s">
        <v>2167</v>
      </c>
      <c r="H441" t="s">
        <v>2196</v>
      </c>
      <c r="I441" t="s">
        <v>2205</v>
      </c>
      <c r="J441" t="s">
        <v>2210</v>
      </c>
      <c r="K441" t="s">
        <v>2241</v>
      </c>
      <c r="L441" t="s">
        <v>2247</v>
      </c>
      <c r="M441" t="s">
        <v>2253</v>
      </c>
      <c r="N441">
        <v>3</v>
      </c>
      <c r="O441">
        <f t="shared" si="30"/>
        <v>77440</v>
      </c>
      <c r="P441">
        <f t="shared" si="31"/>
        <v>232320</v>
      </c>
      <c r="Q441">
        <v>10</v>
      </c>
      <c r="R441">
        <f t="shared" si="32"/>
        <v>209088</v>
      </c>
      <c r="S441" t="s">
        <v>2263</v>
      </c>
      <c r="T441" t="s">
        <v>2265</v>
      </c>
      <c r="U441" s="1" t="str">
        <f t="shared" si="33"/>
        <v>Not Delivered</v>
      </c>
      <c r="V441">
        <f t="shared" si="34"/>
        <v>34848</v>
      </c>
    </row>
    <row r="442" spans="1:22" x14ac:dyDescent="0.3">
      <c r="A442" t="s">
        <v>460</v>
      </c>
      <c r="B442">
        <v>2024</v>
      </c>
      <c r="C442" s="1">
        <v>45527</v>
      </c>
      <c r="D442" t="s">
        <v>829</v>
      </c>
      <c r="E442" t="s">
        <v>1174</v>
      </c>
      <c r="F442" t="s">
        <v>1807</v>
      </c>
      <c r="G442" t="s">
        <v>2167</v>
      </c>
      <c r="H442" t="s">
        <v>2169</v>
      </c>
      <c r="I442" t="s">
        <v>2201</v>
      </c>
      <c r="J442" t="s">
        <v>2210</v>
      </c>
      <c r="K442" t="s">
        <v>2229</v>
      </c>
      <c r="L442" t="s">
        <v>2246</v>
      </c>
      <c r="M442" t="s">
        <v>2256</v>
      </c>
      <c r="N442">
        <v>1</v>
      </c>
      <c r="O442">
        <f t="shared" si="30"/>
        <v>77440</v>
      </c>
      <c r="P442">
        <f t="shared" si="31"/>
        <v>77440</v>
      </c>
      <c r="Q442">
        <v>5</v>
      </c>
      <c r="R442">
        <f t="shared" si="32"/>
        <v>73568</v>
      </c>
      <c r="S442" t="s">
        <v>2262</v>
      </c>
      <c r="T442" t="s">
        <v>2264</v>
      </c>
      <c r="U442" s="1" t="str">
        <f t="shared" si="33"/>
        <v>Not Delivered</v>
      </c>
      <c r="V442">
        <f t="shared" si="34"/>
        <v>11616</v>
      </c>
    </row>
    <row r="443" spans="1:22" x14ac:dyDescent="0.3">
      <c r="A443" t="s">
        <v>461</v>
      </c>
      <c r="B443">
        <v>2024</v>
      </c>
      <c r="C443" s="1">
        <v>45565</v>
      </c>
      <c r="D443" t="s">
        <v>825</v>
      </c>
      <c r="E443" t="s">
        <v>1175</v>
      </c>
      <c r="F443" t="s">
        <v>1808</v>
      </c>
      <c r="G443" t="s">
        <v>2167</v>
      </c>
      <c r="H443" t="s">
        <v>2174</v>
      </c>
      <c r="I443" t="s">
        <v>2205</v>
      </c>
      <c r="J443" t="s">
        <v>2212</v>
      </c>
      <c r="K443" t="s">
        <v>2220</v>
      </c>
      <c r="L443" t="s">
        <v>2245</v>
      </c>
      <c r="M443" t="s">
        <v>2259</v>
      </c>
      <c r="N443">
        <v>3</v>
      </c>
      <c r="O443">
        <f t="shared" si="30"/>
        <v>77440</v>
      </c>
      <c r="P443">
        <f t="shared" si="31"/>
        <v>232320</v>
      </c>
      <c r="Q443">
        <v>20</v>
      </c>
      <c r="R443">
        <f t="shared" si="32"/>
        <v>185856</v>
      </c>
      <c r="S443" t="s">
        <v>2263</v>
      </c>
      <c r="T443" t="s">
        <v>2264</v>
      </c>
      <c r="U443" s="1" t="str">
        <f t="shared" si="33"/>
        <v>Not Delivered</v>
      </c>
      <c r="V443">
        <f t="shared" si="34"/>
        <v>34848</v>
      </c>
    </row>
    <row r="444" spans="1:22" x14ac:dyDescent="0.3">
      <c r="A444" t="s">
        <v>462</v>
      </c>
      <c r="B444">
        <v>2025</v>
      </c>
      <c r="C444" s="1">
        <v>45690</v>
      </c>
      <c r="D444" t="s">
        <v>825</v>
      </c>
      <c r="E444" t="s">
        <v>1176</v>
      </c>
      <c r="F444" t="s">
        <v>1809</v>
      </c>
      <c r="G444" t="s">
        <v>2167</v>
      </c>
      <c r="H444" t="s">
        <v>2198</v>
      </c>
      <c r="I444" t="s">
        <v>2207</v>
      </c>
      <c r="J444" t="s">
        <v>2212</v>
      </c>
      <c r="K444" t="s">
        <v>2219</v>
      </c>
      <c r="L444" t="s">
        <v>2243</v>
      </c>
      <c r="M444" t="s">
        <v>2259</v>
      </c>
      <c r="N444">
        <v>3</v>
      </c>
      <c r="O444">
        <f t="shared" si="30"/>
        <v>77440</v>
      </c>
      <c r="P444">
        <f t="shared" si="31"/>
        <v>232320</v>
      </c>
      <c r="Q444">
        <v>20</v>
      </c>
      <c r="R444">
        <f t="shared" si="32"/>
        <v>185856</v>
      </c>
      <c r="S444" t="s">
        <v>2261</v>
      </c>
      <c r="T444" t="s">
        <v>2264</v>
      </c>
      <c r="U444" s="1" t="str">
        <f t="shared" si="33"/>
        <v>Not Delivered</v>
      </c>
      <c r="V444">
        <f t="shared" si="34"/>
        <v>34848</v>
      </c>
    </row>
    <row r="445" spans="1:22" x14ac:dyDescent="0.3">
      <c r="A445" t="s">
        <v>463</v>
      </c>
      <c r="B445">
        <v>2024</v>
      </c>
      <c r="C445" s="1">
        <v>45333</v>
      </c>
      <c r="D445" t="s">
        <v>824</v>
      </c>
      <c r="E445" t="s">
        <v>1123</v>
      </c>
      <c r="F445" t="s">
        <v>1810</v>
      </c>
      <c r="G445" t="s">
        <v>2167</v>
      </c>
      <c r="H445" t="s">
        <v>2194</v>
      </c>
      <c r="I445" t="s">
        <v>2201</v>
      </c>
      <c r="J445" t="s">
        <v>2212</v>
      </c>
      <c r="K445" t="s">
        <v>2231</v>
      </c>
      <c r="L445" t="s">
        <v>2244</v>
      </c>
      <c r="M445" t="s">
        <v>2255</v>
      </c>
      <c r="N445">
        <v>5</v>
      </c>
      <c r="O445">
        <f t="shared" si="30"/>
        <v>77440</v>
      </c>
      <c r="P445">
        <f t="shared" si="31"/>
        <v>387200</v>
      </c>
      <c r="Q445">
        <v>5</v>
      </c>
      <c r="R445">
        <f t="shared" si="32"/>
        <v>367840</v>
      </c>
      <c r="S445" t="s">
        <v>2260</v>
      </c>
      <c r="T445" t="s">
        <v>2266</v>
      </c>
      <c r="U445" s="1">
        <f t="shared" si="33"/>
        <v>45340</v>
      </c>
      <c r="V445">
        <f t="shared" si="34"/>
        <v>58080</v>
      </c>
    </row>
    <row r="446" spans="1:22" x14ac:dyDescent="0.3">
      <c r="A446" t="s">
        <v>464</v>
      </c>
      <c r="B446">
        <v>2025</v>
      </c>
      <c r="C446" s="1">
        <v>45789</v>
      </c>
      <c r="D446" t="s">
        <v>828</v>
      </c>
      <c r="E446" t="s">
        <v>1177</v>
      </c>
      <c r="F446" t="s">
        <v>1811</v>
      </c>
      <c r="G446" t="s">
        <v>2167</v>
      </c>
      <c r="H446" t="s">
        <v>2174</v>
      </c>
      <c r="I446" t="s">
        <v>2205</v>
      </c>
      <c r="J446" t="s">
        <v>2212</v>
      </c>
      <c r="K446" t="s">
        <v>2214</v>
      </c>
      <c r="L446" t="s">
        <v>2242</v>
      </c>
      <c r="M446" t="s">
        <v>2248</v>
      </c>
      <c r="N446">
        <v>5</v>
      </c>
      <c r="O446">
        <f t="shared" si="30"/>
        <v>77440</v>
      </c>
      <c r="P446">
        <f t="shared" si="31"/>
        <v>387200</v>
      </c>
      <c r="Q446">
        <v>5</v>
      </c>
      <c r="R446">
        <f t="shared" si="32"/>
        <v>367840</v>
      </c>
      <c r="S446" t="s">
        <v>2262</v>
      </c>
      <c r="T446" t="s">
        <v>2264</v>
      </c>
      <c r="U446" s="1" t="str">
        <f t="shared" si="33"/>
        <v>Not Delivered</v>
      </c>
      <c r="V446">
        <f t="shared" si="34"/>
        <v>58080</v>
      </c>
    </row>
    <row r="447" spans="1:22" x14ac:dyDescent="0.3">
      <c r="A447" t="s">
        <v>465</v>
      </c>
      <c r="B447">
        <v>2025</v>
      </c>
      <c r="C447" s="1">
        <v>45704</v>
      </c>
      <c r="D447" t="s">
        <v>821</v>
      </c>
      <c r="E447" t="s">
        <v>1178</v>
      </c>
      <c r="F447" t="s">
        <v>1812</v>
      </c>
      <c r="G447" t="s">
        <v>2167</v>
      </c>
      <c r="H447" t="s">
        <v>2185</v>
      </c>
      <c r="I447" t="s">
        <v>2204</v>
      </c>
      <c r="J447" t="s">
        <v>2210</v>
      </c>
      <c r="K447" t="s">
        <v>2222</v>
      </c>
      <c r="L447" t="s">
        <v>2247</v>
      </c>
      <c r="M447" t="s">
        <v>2249</v>
      </c>
      <c r="N447">
        <v>3</v>
      </c>
      <c r="O447">
        <f t="shared" si="30"/>
        <v>77440</v>
      </c>
      <c r="P447">
        <f t="shared" si="31"/>
        <v>232320</v>
      </c>
      <c r="Q447">
        <v>0</v>
      </c>
      <c r="R447">
        <f t="shared" si="32"/>
        <v>232320</v>
      </c>
      <c r="S447" t="s">
        <v>2263</v>
      </c>
      <c r="T447" t="s">
        <v>2264</v>
      </c>
      <c r="U447" s="1" t="str">
        <f t="shared" si="33"/>
        <v>Not Delivered</v>
      </c>
      <c r="V447">
        <f t="shared" si="34"/>
        <v>34848</v>
      </c>
    </row>
    <row r="448" spans="1:22" x14ac:dyDescent="0.3">
      <c r="A448" t="s">
        <v>466</v>
      </c>
      <c r="B448">
        <v>2024</v>
      </c>
      <c r="C448" s="1">
        <v>45514</v>
      </c>
      <c r="D448" t="s">
        <v>826</v>
      </c>
      <c r="E448" t="s">
        <v>873</v>
      </c>
      <c r="F448" t="s">
        <v>1813</v>
      </c>
      <c r="G448" t="s">
        <v>2167</v>
      </c>
      <c r="H448" t="s">
        <v>2184</v>
      </c>
      <c r="I448" t="s">
        <v>2202</v>
      </c>
      <c r="J448" t="s">
        <v>2212</v>
      </c>
      <c r="K448" t="s">
        <v>2223</v>
      </c>
      <c r="L448" t="s">
        <v>2245</v>
      </c>
      <c r="M448" t="s">
        <v>2253</v>
      </c>
      <c r="N448">
        <v>2</v>
      </c>
      <c r="O448">
        <f t="shared" si="30"/>
        <v>77440</v>
      </c>
      <c r="P448">
        <f t="shared" si="31"/>
        <v>154880</v>
      </c>
      <c r="Q448">
        <v>10</v>
      </c>
      <c r="R448">
        <f t="shared" si="32"/>
        <v>139392</v>
      </c>
      <c r="S448" t="s">
        <v>2261</v>
      </c>
      <c r="T448" t="s">
        <v>2265</v>
      </c>
      <c r="U448" s="1" t="str">
        <f t="shared" si="33"/>
        <v>Not Delivered</v>
      </c>
      <c r="V448">
        <f t="shared" si="34"/>
        <v>23232</v>
      </c>
    </row>
    <row r="449" spans="1:22" x14ac:dyDescent="0.3">
      <c r="A449" t="s">
        <v>467</v>
      </c>
      <c r="B449">
        <v>2025</v>
      </c>
      <c r="C449" s="1">
        <v>45846</v>
      </c>
      <c r="D449" t="s">
        <v>829</v>
      </c>
      <c r="E449" t="s">
        <v>1179</v>
      </c>
      <c r="F449" t="s">
        <v>1814</v>
      </c>
      <c r="G449" t="s">
        <v>2167</v>
      </c>
      <c r="H449" t="s">
        <v>2168</v>
      </c>
      <c r="I449" t="s">
        <v>2200</v>
      </c>
      <c r="J449" t="s">
        <v>2210</v>
      </c>
      <c r="K449" t="s">
        <v>2216</v>
      </c>
      <c r="L449" t="s">
        <v>2242</v>
      </c>
      <c r="M449" t="s">
        <v>2258</v>
      </c>
      <c r="N449">
        <v>4</v>
      </c>
      <c r="O449">
        <f t="shared" si="30"/>
        <v>77440</v>
      </c>
      <c r="P449">
        <f t="shared" si="31"/>
        <v>309760</v>
      </c>
      <c r="Q449">
        <v>20</v>
      </c>
      <c r="R449">
        <f t="shared" si="32"/>
        <v>247808</v>
      </c>
      <c r="S449" t="s">
        <v>2260</v>
      </c>
      <c r="T449" t="s">
        <v>2264</v>
      </c>
      <c r="U449" s="1" t="str">
        <f t="shared" si="33"/>
        <v>Not Delivered</v>
      </c>
      <c r="V449">
        <f t="shared" si="34"/>
        <v>46464</v>
      </c>
    </row>
    <row r="450" spans="1:22" x14ac:dyDescent="0.3">
      <c r="A450" t="s">
        <v>468</v>
      </c>
      <c r="B450">
        <v>2024</v>
      </c>
      <c r="C450" s="1">
        <v>45594</v>
      </c>
      <c r="D450" t="s">
        <v>821</v>
      </c>
      <c r="E450" t="s">
        <v>1180</v>
      </c>
      <c r="F450" t="s">
        <v>1815</v>
      </c>
      <c r="G450" t="s">
        <v>2167</v>
      </c>
      <c r="H450" t="s">
        <v>2180</v>
      </c>
      <c r="I450" t="s">
        <v>2208</v>
      </c>
      <c r="J450" t="s">
        <v>2211</v>
      </c>
      <c r="K450" t="s">
        <v>2223</v>
      </c>
      <c r="L450" t="s">
        <v>2245</v>
      </c>
      <c r="M450" t="s">
        <v>2253</v>
      </c>
      <c r="N450">
        <v>4</v>
      </c>
      <c r="O450">
        <f t="shared" si="30"/>
        <v>77440</v>
      </c>
      <c r="P450">
        <f t="shared" si="31"/>
        <v>309760</v>
      </c>
      <c r="Q450">
        <v>15</v>
      </c>
      <c r="R450">
        <f t="shared" si="32"/>
        <v>263296</v>
      </c>
      <c r="S450" t="s">
        <v>2260</v>
      </c>
      <c r="T450" t="s">
        <v>2264</v>
      </c>
      <c r="U450" s="1" t="str">
        <f t="shared" si="33"/>
        <v>Not Delivered</v>
      </c>
      <c r="V450">
        <f t="shared" si="34"/>
        <v>46464</v>
      </c>
    </row>
    <row r="451" spans="1:22" x14ac:dyDescent="0.3">
      <c r="A451" t="s">
        <v>469</v>
      </c>
      <c r="B451">
        <v>2024</v>
      </c>
      <c r="C451" s="1">
        <v>45420</v>
      </c>
      <c r="D451" t="s">
        <v>829</v>
      </c>
      <c r="E451" t="s">
        <v>1091</v>
      </c>
      <c r="F451" t="s">
        <v>1816</v>
      </c>
      <c r="G451" t="s">
        <v>2167</v>
      </c>
      <c r="H451" t="s">
        <v>2187</v>
      </c>
      <c r="I451" t="s">
        <v>2209</v>
      </c>
      <c r="J451" t="s">
        <v>2210</v>
      </c>
      <c r="K451" t="s">
        <v>2220</v>
      </c>
      <c r="L451" t="s">
        <v>2245</v>
      </c>
      <c r="M451" t="s">
        <v>2258</v>
      </c>
      <c r="N451">
        <v>4</v>
      </c>
      <c r="O451">
        <f t="shared" ref="O451:O514" si="35">ROUNDUP((77431.41),-1)</f>
        <v>77440</v>
      </c>
      <c r="P451">
        <f t="shared" ref="P451:P514" si="36">O451*N451</f>
        <v>309760</v>
      </c>
      <c r="Q451">
        <v>20</v>
      </c>
      <c r="R451">
        <f t="shared" ref="R451:R514" si="37">P451*(1-Q451/100)</f>
        <v>247808</v>
      </c>
      <c r="S451" t="s">
        <v>2263</v>
      </c>
      <c r="T451" t="s">
        <v>2266</v>
      </c>
      <c r="U451" s="1">
        <f t="shared" ref="U451:U514" si="38">IF(T451="Delivered", C451 + 7, "Not Delivered")</f>
        <v>45427</v>
      </c>
      <c r="V451">
        <f t="shared" ref="V451:V514" si="39">P451*15%</f>
        <v>46464</v>
      </c>
    </row>
    <row r="452" spans="1:22" x14ac:dyDescent="0.3">
      <c r="A452" t="s">
        <v>470</v>
      </c>
      <c r="B452">
        <v>2025</v>
      </c>
      <c r="C452" s="1">
        <v>45726</v>
      </c>
      <c r="D452" t="s">
        <v>824</v>
      </c>
      <c r="E452" t="s">
        <v>1181</v>
      </c>
      <c r="F452" t="s">
        <v>1817</v>
      </c>
      <c r="G452" t="s">
        <v>2167</v>
      </c>
      <c r="H452" t="s">
        <v>2191</v>
      </c>
      <c r="I452" t="s">
        <v>2203</v>
      </c>
      <c r="J452" t="s">
        <v>2213</v>
      </c>
      <c r="K452" t="s">
        <v>2230</v>
      </c>
      <c r="L452" t="s">
        <v>2247</v>
      </c>
      <c r="M452" t="s">
        <v>2252</v>
      </c>
      <c r="N452">
        <v>3</v>
      </c>
      <c r="O452">
        <f t="shared" si="35"/>
        <v>77440</v>
      </c>
      <c r="P452">
        <f t="shared" si="36"/>
        <v>232320</v>
      </c>
      <c r="Q452">
        <v>5</v>
      </c>
      <c r="R452">
        <f t="shared" si="37"/>
        <v>220704</v>
      </c>
      <c r="S452" t="s">
        <v>2262</v>
      </c>
      <c r="T452" t="s">
        <v>2264</v>
      </c>
      <c r="U452" s="1" t="str">
        <f t="shared" si="38"/>
        <v>Not Delivered</v>
      </c>
      <c r="V452">
        <f t="shared" si="39"/>
        <v>34848</v>
      </c>
    </row>
    <row r="453" spans="1:22" x14ac:dyDescent="0.3">
      <c r="A453" t="s">
        <v>471</v>
      </c>
      <c r="B453">
        <v>2025</v>
      </c>
      <c r="C453" s="1">
        <v>45851</v>
      </c>
      <c r="D453" t="s">
        <v>822</v>
      </c>
      <c r="E453" t="s">
        <v>1123</v>
      </c>
      <c r="F453" t="s">
        <v>1818</v>
      </c>
      <c r="G453" t="s">
        <v>2167</v>
      </c>
      <c r="H453" t="s">
        <v>2170</v>
      </c>
      <c r="I453" t="s">
        <v>2201</v>
      </c>
      <c r="J453" t="s">
        <v>2212</v>
      </c>
      <c r="K453" t="s">
        <v>2219</v>
      </c>
      <c r="L453" t="s">
        <v>2243</v>
      </c>
      <c r="M453" t="s">
        <v>2253</v>
      </c>
      <c r="N453">
        <v>5</v>
      </c>
      <c r="O453">
        <f t="shared" si="35"/>
        <v>77440</v>
      </c>
      <c r="P453">
        <f t="shared" si="36"/>
        <v>387200</v>
      </c>
      <c r="Q453">
        <v>10</v>
      </c>
      <c r="R453">
        <f t="shared" si="37"/>
        <v>348480</v>
      </c>
      <c r="S453" t="s">
        <v>2261</v>
      </c>
      <c r="T453" t="s">
        <v>2266</v>
      </c>
      <c r="U453" s="1">
        <f t="shared" si="38"/>
        <v>45858</v>
      </c>
      <c r="V453">
        <f t="shared" si="39"/>
        <v>58080</v>
      </c>
    </row>
    <row r="454" spans="1:22" x14ac:dyDescent="0.3">
      <c r="A454" t="s">
        <v>472</v>
      </c>
      <c r="B454">
        <v>2025</v>
      </c>
      <c r="C454" s="1">
        <v>45724</v>
      </c>
      <c r="D454" t="s">
        <v>822</v>
      </c>
      <c r="E454" t="s">
        <v>1047</v>
      </c>
      <c r="F454" t="s">
        <v>1819</v>
      </c>
      <c r="G454" t="s">
        <v>2167</v>
      </c>
      <c r="H454" t="s">
        <v>2185</v>
      </c>
      <c r="I454" t="s">
        <v>2204</v>
      </c>
      <c r="J454" t="s">
        <v>2212</v>
      </c>
      <c r="K454" t="s">
        <v>2218</v>
      </c>
      <c r="L454" t="s">
        <v>2242</v>
      </c>
      <c r="M454" t="s">
        <v>2250</v>
      </c>
      <c r="N454">
        <v>3</v>
      </c>
      <c r="O454">
        <f t="shared" si="35"/>
        <v>77440</v>
      </c>
      <c r="P454">
        <f t="shared" si="36"/>
        <v>232320</v>
      </c>
      <c r="Q454">
        <v>15</v>
      </c>
      <c r="R454">
        <f t="shared" si="37"/>
        <v>197472</v>
      </c>
      <c r="S454" t="s">
        <v>2261</v>
      </c>
      <c r="T454" t="s">
        <v>2264</v>
      </c>
      <c r="U454" s="1" t="str">
        <f t="shared" si="38"/>
        <v>Not Delivered</v>
      </c>
      <c r="V454">
        <f t="shared" si="39"/>
        <v>34848</v>
      </c>
    </row>
    <row r="455" spans="1:22" x14ac:dyDescent="0.3">
      <c r="A455" t="s">
        <v>473</v>
      </c>
      <c r="B455">
        <v>2025</v>
      </c>
      <c r="C455" s="1">
        <v>45815</v>
      </c>
      <c r="D455" t="s">
        <v>826</v>
      </c>
      <c r="E455" t="s">
        <v>1182</v>
      </c>
      <c r="F455" t="s">
        <v>1820</v>
      </c>
      <c r="G455" t="s">
        <v>2167</v>
      </c>
      <c r="H455" t="s">
        <v>2176</v>
      </c>
      <c r="I455" t="s">
        <v>2205</v>
      </c>
      <c r="J455" t="s">
        <v>2213</v>
      </c>
      <c r="K455" t="s">
        <v>2214</v>
      </c>
      <c r="L455" t="s">
        <v>2242</v>
      </c>
      <c r="M455" t="s">
        <v>2257</v>
      </c>
      <c r="N455">
        <v>5</v>
      </c>
      <c r="O455">
        <f t="shared" si="35"/>
        <v>77440</v>
      </c>
      <c r="P455">
        <f t="shared" si="36"/>
        <v>387200</v>
      </c>
      <c r="Q455">
        <v>10</v>
      </c>
      <c r="R455">
        <f t="shared" si="37"/>
        <v>348480</v>
      </c>
      <c r="S455" t="s">
        <v>2260</v>
      </c>
      <c r="T455" t="s">
        <v>2266</v>
      </c>
      <c r="U455" s="1">
        <f t="shared" si="38"/>
        <v>45822</v>
      </c>
      <c r="V455">
        <f t="shared" si="39"/>
        <v>58080</v>
      </c>
    </row>
    <row r="456" spans="1:22" x14ac:dyDescent="0.3">
      <c r="A456" t="s">
        <v>474</v>
      </c>
      <c r="B456">
        <v>2025</v>
      </c>
      <c r="C456" s="1">
        <v>45804</v>
      </c>
      <c r="D456" t="s">
        <v>824</v>
      </c>
      <c r="E456" t="s">
        <v>1183</v>
      </c>
      <c r="F456" t="s">
        <v>1821</v>
      </c>
      <c r="G456" t="s">
        <v>2167</v>
      </c>
      <c r="H456" t="s">
        <v>2168</v>
      </c>
      <c r="I456" t="s">
        <v>2200</v>
      </c>
      <c r="J456" t="s">
        <v>2213</v>
      </c>
      <c r="K456" t="s">
        <v>2237</v>
      </c>
      <c r="L456" t="s">
        <v>2246</v>
      </c>
      <c r="M456" t="s">
        <v>2254</v>
      </c>
      <c r="N456">
        <v>4</v>
      </c>
      <c r="O456">
        <f t="shared" si="35"/>
        <v>77440</v>
      </c>
      <c r="P456">
        <f t="shared" si="36"/>
        <v>309760</v>
      </c>
      <c r="Q456">
        <v>5</v>
      </c>
      <c r="R456">
        <f t="shared" si="37"/>
        <v>294272</v>
      </c>
      <c r="S456" t="s">
        <v>2262</v>
      </c>
      <c r="T456" t="s">
        <v>2265</v>
      </c>
      <c r="U456" s="1" t="str">
        <f t="shared" si="38"/>
        <v>Not Delivered</v>
      </c>
      <c r="V456">
        <f t="shared" si="39"/>
        <v>46464</v>
      </c>
    </row>
    <row r="457" spans="1:22" x14ac:dyDescent="0.3">
      <c r="A457" t="s">
        <v>475</v>
      </c>
      <c r="B457">
        <v>2024</v>
      </c>
      <c r="C457" s="1">
        <v>45451</v>
      </c>
      <c r="D457" t="s">
        <v>823</v>
      </c>
      <c r="E457" t="s">
        <v>1184</v>
      </c>
      <c r="F457" t="s">
        <v>1822</v>
      </c>
      <c r="G457" t="s">
        <v>2167</v>
      </c>
      <c r="H457" t="s">
        <v>2195</v>
      </c>
      <c r="I457" t="s">
        <v>2206</v>
      </c>
      <c r="J457" t="s">
        <v>2212</v>
      </c>
      <c r="K457" t="s">
        <v>2237</v>
      </c>
      <c r="L457" t="s">
        <v>2246</v>
      </c>
      <c r="M457" t="s">
        <v>2251</v>
      </c>
      <c r="N457">
        <v>1</v>
      </c>
      <c r="O457">
        <f t="shared" si="35"/>
        <v>77440</v>
      </c>
      <c r="P457">
        <f t="shared" si="36"/>
        <v>77440</v>
      </c>
      <c r="Q457">
        <v>0</v>
      </c>
      <c r="R457">
        <f t="shared" si="37"/>
        <v>77440</v>
      </c>
      <c r="S457" t="s">
        <v>2261</v>
      </c>
      <c r="T457" t="s">
        <v>2264</v>
      </c>
      <c r="U457" s="1" t="str">
        <f t="shared" si="38"/>
        <v>Not Delivered</v>
      </c>
      <c r="V457">
        <f t="shared" si="39"/>
        <v>11616</v>
      </c>
    </row>
    <row r="458" spans="1:22" x14ac:dyDescent="0.3">
      <c r="A458" t="s">
        <v>476</v>
      </c>
      <c r="B458">
        <v>2024</v>
      </c>
      <c r="C458" s="1">
        <v>45644</v>
      </c>
      <c r="D458" t="s">
        <v>822</v>
      </c>
      <c r="E458" t="s">
        <v>860</v>
      </c>
      <c r="F458" t="s">
        <v>1823</v>
      </c>
      <c r="G458" t="s">
        <v>2167</v>
      </c>
      <c r="H458" t="s">
        <v>2183</v>
      </c>
      <c r="I458" t="s">
        <v>2204</v>
      </c>
      <c r="J458" t="s">
        <v>2213</v>
      </c>
      <c r="K458" t="s">
        <v>2240</v>
      </c>
      <c r="L458" t="s">
        <v>2246</v>
      </c>
      <c r="M458" t="s">
        <v>2250</v>
      </c>
      <c r="N458">
        <v>4</v>
      </c>
      <c r="O458">
        <f t="shared" si="35"/>
        <v>77440</v>
      </c>
      <c r="P458">
        <f t="shared" si="36"/>
        <v>309760</v>
      </c>
      <c r="Q458">
        <v>20</v>
      </c>
      <c r="R458">
        <f t="shared" si="37"/>
        <v>247808</v>
      </c>
      <c r="S458" t="s">
        <v>2261</v>
      </c>
      <c r="T458" t="s">
        <v>2265</v>
      </c>
      <c r="U458" s="1" t="str">
        <f t="shared" si="38"/>
        <v>Not Delivered</v>
      </c>
      <c r="V458">
        <f t="shared" si="39"/>
        <v>46464</v>
      </c>
    </row>
    <row r="459" spans="1:22" x14ac:dyDescent="0.3">
      <c r="A459" t="s">
        <v>477</v>
      </c>
      <c r="B459">
        <v>2024</v>
      </c>
      <c r="C459" s="1">
        <v>45623</v>
      </c>
      <c r="D459" t="s">
        <v>822</v>
      </c>
      <c r="E459" t="s">
        <v>1185</v>
      </c>
      <c r="F459" t="s">
        <v>1824</v>
      </c>
      <c r="G459" t="s">
        <v>2167</v>
      </c>
      <c r="H459" t="s">
        <v>2173</v>
      </c>
      <c r="I459" t="s">
        <v>2204</v>
      </c>
      <c r="J459" t="s">
        <v>2211</v>
      </c>
      <c r="K459" t="s">
        <v>2219</v>
      </c>
      <c r="L459" t="s">
        <v>2243</v>
      </c>
      <c r="M459" t="s">
        <v>2253</v>
      </c>
      <c r="N459">
        <v>1</v>
      </c>
      <c r="O459">
        <f t="shared" si="35"/>
        <v>77440</v>
      </c>
      <c r="P459">
        <f t="shared" si="36"/>
        <v>77440</v>
      </c>
      <c r="Q459">
        <v>20</v>
      </c>
      <c r="R459">
        <f t="shared" si="37"/>
        <v>61952</v>
      </c>
      <c r="S459" t="s">
        <v>2260</v>
      </c>
      <c r="T459" t="s">
        <v>2264</v>
      </c>
      <c r="U459" s="1" t="str">
        <f t="shared" si="38"/>
        <v>Not Delivered</v>
      </c>
      <c r="V459">
        <f t="shared" si="39"/>
        <v>11616</v>
      </c>
    </row>
    <row r="460" spans="1:22" x14ac:dyDescent="0.3">
      <c r="A460" t="s">
        <v>478</v>
      </c>
      <c r="B460">
        <v>2025</v>
      </c>
      <c r="C460" s="1">
        <v>45840</v>
      </c>
      <c r="D460" t="s">
        <v>828</v>
      </c>
      <c r="E460" t="s">
        <v>1186</v>
      </c>
      <c r="F460" t="s">
        <v>1825</v>
      </c>
      <c r="G460" t="s">
        <v>2167</v>
      </c>
      <c r="H460" t="s">
        <v>2189</v>
      </c>
      <c r="I460" t="s">
        <v>2202</v>
      </c>
      <c r="J460" t="s">
        <v>2213</v>
      </c>
      <c r="K460" t="s">
        <v>2224</v>
      </c>
      <c r="L460" t="s">
        <v>2245</v>
      </c>
      <c r="M460" t="s">
        <v>2253</v>
      </c>
      <c r="N460">
        <v>1</v>
      </c>
      <c r="O460">
        <f t="shared" si="35"/>
        <v>77440</v>
      </c>
      <c r="P460">
        <f t="shared" si="36"/>
        <v>77440</v>
      </c>
      <c r="Q460">
        <v>20</v>
      </c>
      <c r="R460">
        <f t="shared" si="37"/>
        <v>61952</v>
      </c>
      <c r="S460" t="s">
        <v>2261</v>
      </c>
      <c r="T460" t="s">
        <v>2265</v>
      </c>
      <c r="U460" s="1" t="str">
        <f t="shared" si="38"/>
        <v>Not Delivered</v>
      </c>
      <c r="V460">
        <f t="shared" si="39"/>
        <v>11616</v>
      </c>
    </row>
    <row r="461" spans="1:22" x14ac:dyDescent="0.3">
      <c r="A461" t="s">
        <v>479</v>
      </c>
      <c r="B461">
        <v>2025</v>
      </c>
      <c r="C461" s="1">
        <v>45853</v>
      </c>
      <c r="D461" t="s">
        <v>829</v>
      </c>
      <c r="E461" t="s">
        <v>1143</v>
      </c>
      <c r="F461" t="s">
        <v>1826</v>
      </c>
      <c r="G461" t="s">
        <v>2167</v>
      </c>
      <c r="H461" t="s">
        <v>2187</v>
      </c>
      <c r="I461" t="s">
        <v>2209</v>
      </c>
      <c r="J461" t="s">
        <v>2210</v>
      </c>
      <c r="K461" t="s">
        <v>2236</v>
      </c>
      <c r="L461" t="s">
        <v>2242</v>
      </c>
      <c r="M461" t="s">
        <v>2252</v>
      </c>
      <c r="N461">
        <v>4</v>
      </c>
      <c r="O461">
        <f t="shared" si="35"/>
        <v>77440</v>
      </c>
      <c r="P461">
        <f t="shared" si="36"/>
        <v>309760</v>
      </c>
      <c r="Q461">
        <v>10</v>
      </c>
      <c r="R461">
        <f t="shared" si="37"/>
        <v>278784</v>
      </c>
      <c r="S461" t="s">
        <v>2260</v>
      </c>
      <c r="T461" t="s">
        <v>2265</v>
      </c>
      <c r="U461" s="1" t="str">
        <f t="shared" si="38"/>
        <v>Not Delivered</v>
      </c>
      <c r="V461">
        <f t="shared" si="39"/>
        <v>46464</v>
      </c>
    </row>
    <row r="462" spans="1:22" x14ac:dyDescent="0.3">
      <c r="A462" t="s">
        <v>480</v>
      </c>
      <c r="B462">
        <v>2024</v>
      </c>
      <c r="C462" s="1">
        <v>45572</v>
      </c>
      <c r="D462" t="s">
        <v>829</v>
      </c>
      <c r="E462" t="s">
        <v>1187</v>
      </c>
      <c r="F462" t="s">
        <v>1827</v>
      </c>
      <c r="G462" t="s">
        <v>2167</v>
      </c>
      <c r="H462" t="s">
        <v>2192</v>
      </c>
      <c r="I462" t="s">
        <v>2207</v>
      </c>
      <c r="J462" t="s">
        <v>2212</v>
      </c>
      <c r="K462" t="s">
        <v>2227</v>
      </c>
      <c r="L462" t="s">
        <v>2247</v>
      </c>
      <c r="M462" t="s">
        <v>2257</v>
      </c>
      <c r="N462">
        <v>1</v>
      </c>
      <c r="O462">
        <f t="shared" si="35"/>
        <v>77440</v>
      </c>
      <c r="P462">
        <f t="shared" si="36"/>
        <v>77440</v>
      </c>
      <c r="Q462">
        <v>20</v>
      </c>
      <c r="R462">
        <f t="shared" si="37"/>
        <v>61952</v>
      </c>
      <c r="S462" t="s">
        <v>2262</v>
      </c>
      <c r="T462" t="s">
        <v>2265</v>
      </c>
      <c r="U462" s="1" t="str">
        <f t="shared" si="38"/>
        <v>Not Delivered</v>
      </c>
      <c r="V462">
        <f t="shared" si="39"/>
        <v>11616</v>
      </c>
    </row>
    <row r="463" spans="1:22" x14ac:dyDescent="0.3">
      <c r="A463" t="s">
        <v>481</v>
      </c>
      <c r="B463">
        <v>2025</v>
      </c>
      <c r="C463" s="1">
        <v>45723</v>
      </c>
      <c r="D463" t="s">
        <v>827</v>
      </c>
      <c r="E463" t="s">
        <v>1182</v>
      </c>
      <c r="F463" t="s">
        <v>1828</v>
      </c>
      <c r="G463" t="s">
        <v>2167</v>
      </c>
      <c r="H463" t="s">
        <v>2172</v>
      </c>
      <c r="I463" t="s">
        <v>2203</v>
      </c>
      <c r="J463" t="s">
        <v>2211</v>
      </c>
      <c r="K463" t="s">
        <v>2214</v>
      </c>
      <c r="L463" t="s">
        <v>2242</v>
      </c>
      <c r="M463" t="s">
        <v>2248</v>
      </c>
      <c r="N463">
        <v>3</v>
      </c>
      <c r="O463">
        <f t="shared" si="35"/>
        <v>77440</v>
      </c>
      <c r="P463">
        <f t="shared" si="36"/>
        <v>232320</v>
      </c>
      <c r="Q463">
        <v>20</v>
      </c>
      <c r="R463">
        <f t="shared" si="37"/>
        <v>185856</v>
      </c>
      <c r="S463" t="s">
        <v>2262</v>
      </c>
      <c r="T463" t="s">
        <v>2264</v>
      </c>
      <c r="U463" s="1" t="str">
        <f t="shared" si="38"/>
        <v>Not Delivered</v>
      </c>
      <c r="V463">
        <f t="shared" si="39"/>
        <v>34848</v>
      </c>
    </row>
    <row r="464" spans="1:22" x14ac:dyDescent="0.3">
      <c r="A464" t="s">
        <v>482</v>
      </c>
      <c r="B464">
        <v>2024</v>
      </c>
      <c r="C464" s="1">
        <v>45316</v>
      </c>
      <c r="D464" t="s">
        <v>824</v>
      </c>
      <c r="E464" t="s">
        <v>1131</v>
      </c>
      <c r="F464" t="s">
        <v>1829</v>
      </c>
      <c r="G464" t="s">
        <v>2167</v>
      </c>
      <c r="H464" t="s">
        <v>2168</v>
      </c>
      <c r="I464" t="s">
        <v>2200</v>
      </c>
      <c r="J464" t="s">
        <v>2211</v>
      </c>
      <c r="K464" t="s">
        <v>2225</v>
      </c>
      <c r="L464" t="s">
        <v>2243</v>
      </c>
      <c r="M464" t="s">
        <v>2259</v>
      </c>
      <c r="N464">
        <v>1</v>
      </c>
      <c r="O464">
        <f t="shared" si="35"/>
        <v>77440</v>
      </c>
      <c r="P464">
        <f t="shared" si="36"/>
        <v>77440</v>
      </c>
      <c r="Q464">
        <v>10</v>
      </c>
      <c r="R464">
        <f t="shared" si="37"/>
        <v>69696</v>
      </c>
      <c r="S464" t="s">
        <v>2262</v>
      </c>
      <c r="T464" t="s">
        <v>2266</v>
      </c>
      <c r="U464" s="1">
        <f t="shared" si="38"/>
        <v>45323</v>
      </c>
      <c r="V464">
        <f t="shared" si="39"/>
        <v>11616</v>
      </c>
    </row>
    <row r="465" spans="1:22" x14ac:dyDescent="0.3">
      <c r="A465" t="s">
        <v>483</v>
      </c>
      <c r="B465">
        <v>2025</v>
      </c>
      <c r="C465" s="1">
        <v>45693</v>
      </c>
      <c r="D465" t="s">
        <v>820</v>
      </c>
      <c r="E465" t="s">
        <v>1188</v>
      </c>
      <c r="F465" t="s">
        <v>1830</v>
      </c>
      <c r="G465" t="s">
        <v>2167</v>
      </c>
      <c r="H465" t="s">
        <v>2179</v>
      </c>
      <c r="I465" t="s">
        <v>2206</v>
      </c>
      <c r="J465" t="s">
        <v>2210</v>
      </c>
      <c r="K465" t="s">
        <v>2227</v>
      </c>
      <c r="L465" t="s">
        <v>2247</v>
      </c>
      <c r="M465" t="s">
        <v>2253</v>
      </c>
      <c r="N465">
        <v>3</v>
      </c>
      <c r="O465">
        <f t="shared" si="35"/>
        <v>77440</v>
      </c>
      <c r="P465">
        <f t="shared" si="36"/>
        <v>232320</v>
      </c>
      <c r="Q465">
        <v>10</v>
      </c>
      <c r="R465">
        <f t="shared" si="37"/>
        <v>209088</v>
      </c>
      <c r="S465" t="s">
        <v>2260</v>
      </c>
      <c r="T465" t="s">
        <v>2266</v>
      </c>
      <c r="U465" s="1">
        <f t="shared" si="38"/>
        <v>45700</v>
      </c>
      <c r="V465">
        <f t="shared" si="39"/>
        <v>34848</v>
      </c>
    </row>
    <row r="466" spans="1:22" x14ac:dyDescent="0.3">
      <c r="A466" t="s">
        <v>484</v>
      </c>
      <c r="B466">
        <v>2024</v>
      </c>
      <c r="C466" s="1">
        <v>45474</v>
      </c>
      <c r="D466" t="s">
        <v>828</v>
      </c>
      <c r="E466" t="s">
        <v>1189</v>
      </c>
      <c r="F466" t="s">
        <v>1831</v>
      </c>
      <c r="G466" t="s">
        <v>2167</v>
      </c>
      <c r="H466" t="s">
        <v>2186</v>
      </c>
      <c r="I466" t="s">
        <v>2201</v>
      </c>
      <c r="J466" t="s">
        <v>2211</v>
      </c>
      <c r="K466" t="s">
        <v>2228</v>
      </c>
      <c r="L466" t="s">
        <v>2243</v>
      </c>
      <c r="M466" t="s">
        <v>2249</v>
      </c>
      <c r="N466">
        <v>1</v>
      </c>
      <c r="O466">
        <f t="shared" si="35"/>
        <v>77440</v>
      </c>
      <c r="P466">
        <f t="shared" si="36"/>
        <v>77440</v>
      </c>
      <c r="Q466">
        <v>20</v>
      </c>
      <c r="R466">
        <f t="shared" si="37"/>
        <v>61952</v>
      </c>
      <c r="S466" t="s">
        <v>2261</v>
      </c>
      <c r="T466" t="s">
        <v>2266</v>
      </c>
      <c r="U466" s="1">
        <f t="shared" si="38"/>
        <v>45481</v>
      </c>
      <c r="V466">
        <f t="shared" si="39"/>
        <v>11616</v>
      </c>
    </row>
    <row r="467" spans="1:22" x14ac:dyDescent="0.3">
      <c r="A467" t="s">
        <v>485</v>
      </c>
      <c r="B467">
        <v>2024</v>
      </c>
      <c r="C467" s="1">
        <v>45339</v>
      </c>
      <c r="D467" t="s">
        <v>826</v>
      </c>
      <c r="E467" t="s">
        <v>1190</v>
      </c>
      <c r="F467" t="s">
        <v>1832</v>
      </c>
      <c r="G467" t="s">
        <v>2167</v>
      </c>
      <c r="H467" t="s">
        <v>2187</v>
      </c>
      <c r="I467" t="s">
        <v>2209</v>
      </c>
      <c r="J467" t="s">
        <v>2211</v>
      </c>
      <c r="K467" t="s">
        <v>2215</v>
      </c>
      <c r="L467" t="s">
        <v>2243</v>
      </c>
      <c r="M467" t="s">
        <v>2248</v>
      </c>
      <c r="N467">
        <v>2</v>
      </c>
      <c r="O467">
        <f t="shared" si="35"/>
        <v>77440</v>
      </c>
      <c r="P467">
        <f t="shared" si="36"/>
        <v>154880</v>
      </c>
      <c r="Q467">
        <v>15</v>
      </c>
      <c r="R467">
        <f t="shared" si="37"/>
        <v>131648</v>
      </c>
      <c r="S467" t="s">
        <v>2262</v>
      </c>
      <c r="T467" t="s">
        <v>2266</v>
      </c>
      <c r="U467" s="1">
        <f t="shared" si="38"/>
        <v>45346</v>
      </c>
      <c r="V467">
        <f t="shared" si="39"/>
        <v>23232</v>
      </c>
    </row>
    <row r="468" spans="1:22" x14ac:dyDescent="0.3">
      <c r="A468" t="s">
        <v>486</v>
      </c>
      <c r="B468">
        <v>2025</v>
      </c>
      <c r="C468" s="1">
        <v>45833</v>
      </c>
      <c r="D468" t="s">
        <v>829</v>
      </c>
      <c r="E468" t="s">
        <v>1191</v>
      </c>
      <c r="F468" t="s">
        <v>1833</v>
      </c>
      <c r="G468" t="s">
        <v>2167</v>
      </c>
      <c r="H468" t="s">
        <v>2190</v>
      </c>
      <c r="I468" t="s">
        <v>2208</v>
      </c>
      <c r="J468" t="s">
        <v>2212</v>
      </c>
      <c r="K468" t="s">
        <v>2233</v>
      </c>
      <c r="L468" t="s">
        <v>2245</v>
      </c>
      <c r="M468" t="s">
        <v>2256</v>
      </c>
      <c r="N468">
        <v>1</v>
      </c>
      <c r="O468">
        <f t="shared" si="35"/>
        <v>77440</v>
      </c>
      <c r="P468">
        <f t="shared" si="36"/>
        <v>77440</v>
      </c>
      <c r="Q468">
        <v>20</v>
      </c>
      <c r="R468">
        <f t="shared" si="37"/>
        <v>61952</v>
      </c>
      <c r="S468" t="s">
        <v>2262</v>
      </c>
      <c r="T468" t="s">
        <v>2265</v>
      </c>
      <c r="U468" s="1" t="str">
        <f t="shared" si="38"/>
        <v>Not Delivered</v>
      </c>
      <c r="V468">
        <f t="shared" si="39"/>
        <v>11616</v>
      </c>
    </row>
    <row r="469" spans="1:22" x14ac:dyDescent="0.3">
      <c r="A469" t="s">
        <v>487</v>
      </c>
      <c r="B469">
        <v>2024</v>
      </c>
      <c r="C469" s="1">
        <v>45591</v>
      </c>
      <c r="D469" t="s">
        <v>822</v>
      </c>
      <c r="E469" t="s">
        <v>963</v>
      </c>
      <c r="F469" t="s">
        <v>1834</v>
      </c>
      <c r="G469" t="s">
        <v>2167</v>
      </c>
      <c r="H469" t="s">
        <v>2187</v>
      </c>
      <c r="I469" t="s">
        <v>2209</v>
      </c>
      <c r="J469" t="s">
        <v>2213</v>
      </c>
      <c r="K469" t="s">
        <v>2223</v>
      </c>
      <c r="L469" t="s">
        <v>2245</v>
      </c>
      <c r="M469" t="s">
        <v>2259</v>
      </c>
      <c r="N469">
        <v>4</v>
      </c>
      <c r="O469">
        <f t="shared" si="35"/>
        <v>77440</v>
      </c>
      <c r="P469">
        <f t="shared" si="36"/>
        <v>309760</v>
      </c>
      <c r="Q469">
        <v>15</v>
      </c>
      <c r="R469">
        <f t="shared" si="37"/>
        <v>263296</v>
      </c>
      <c r="S469" t="s">
        <v>2262</v>
      </c>
      <c r="T469" t="s">
        <v>2266</v>
      </c>
      <c r="U469" s="1">
        <f t="shared" si="38"/>
        <v>45598</v>
      </c>
      <c r="V469">
        <f t="shared" si="39"/>
        <v>46464</v>
      </c>
    </row>
    <row r="470" spans="1:22" x14ac:dyDescent="0.3">
      <c r="A470" t="s">
        <v>488</v>
      </c>
      <c r="B470">
        <v>2024</v>
      </c>
      <c r="C470" s="1">
        <v>45652</v>
      </c>
      <c r="D470" t="s">
        <v>820</v>
      </c>
      <c r="E470" t="s">
        <v>1192</v>
      </c>
      <c r="F470" t="s">
        <v>1835</v>
      </c>
      <c r="G470" t="s">
        <v>2167</v>
      </c>
      <c r="H470" t="s">
        <v>2192</v>
      </c>
      <c r="I470" t="s">
        <v>2207</v>
      </c>
      <c r="J470" t="s">
        <v>2210</v>
      </c>
      <c r="K470" t="s">
        <v>2226</v>
      </c>
      <c r="L470" t="s">
        <v>2244</v>
      </c>
      <c r="M470" t="s">
        <v>2252</v>
      </c>
      <c r="N470">
        <v>3</v>
      </c>
      <c r="O470">
        <f t="shared" si="35"/>
        <v>77440</v>
      </c>
      <c r="P470">
        <f t="shared" si="36"/>
        <v>232320</v>
      </c>
      <c r="Q470">
        <v>0</v>
      </c>
      <c r="R470">
        <f t="shared" si="37"/>
        <v>232320</v>
      </c>
      <c r="S470" t="s">
        <v>2262</v>
      </c>
      <c r="T470" t="s">
        <v>2265</v>
      </c>
      <c r="U470" s="1" t="str">
        <f t="shared" si="38"/>
        <v>Not Delivered</v>
      </c>
      <c r="V470">
        <f t="shared" si="39"/>
        <v>34848</v>
      </c>
    </row>
    <row r="471" spans="1:22" x14ac:dyDescent="0.3">
      <c r="A471" t="s">
        <v>489</v>
      </c>
      <c r="B471">
        <v>2025</v>
      </c>
      <c r="C471" s="1">
        <v>45758</v>
      </c>
      <c r="D471" t="s">
        <v>829</v>
      </c>
      <c r="E471" t="s">
        <v>1193</v>
      </c>
      <c r="F471" t="s">
        <v>1836</v>
      </c>
      <c r="G471" t="s">
        <v>2167</v>
      </c>
      <c r="H471" t="s">
        <v>2170</v>
      </c>
      <c r="I471" t="s">
        <v>2201</v>
      </c>
      <c r="J471" t="s">
        <v>2212</v>
      </c>
      <c r="K471" t="s">
        <v>2228</v>
      </c>
      <c r="L471" t="s">
        <v>2243</v>
      </c>
      <c r="M471" t="s">
        <v>2254</v>
      </c>
      <c r="N471">
        <v>4</v>
      </c>
      <c r="O471">
        <f t="shared" si="35"/>
        <v>77440</v>
      </c>
      <c r="P471">
        <f t="shared" si="36"/>
        <v>309760</v>
      </c>
      <c r="Q471">
        <v>15</v>
      </c>
      <c r="R471">
        <f t="shared" si="37"/>
        <v>263296</v>
      </c>
      <c r="S471" t="s">
        <v>2262</v>
      </c>
      <c r="T471" t="s">
        <v>2266</v>
      </c>
      <c r="U471" s="1">
        <f t="shared" si="38"/>
        <v>45765</v>
      </c>
      <c r="V471">
        <f t="shared" si="39"/>
        <v>46464</v>
      </c>
    </row>
    <row r="472" spans="1:22" x14ac:dyDescent="0.3">
      <c r="A472" t="s">
        <v>490</v>
      </c>
      <c r="B472">
        <v>2024</v>
      </c>
      <c r="C472" s="1">
        <v>45342</v>
      </c>
      <c r="D472" t="s">
        <v>822</v>
      </c>
      <c r="E472" t="s">
        <v>1194</v>
      </c>
      <c r="F472" t="s">
        <v>1837</v>
      </c>
      <c r="G472" t="s">
        <v>2167</v>
      </c>
      <c r="H472" t="s">
        <v>2169</v>
      </c>
      <c r="I472" t="s">
        <v>2201</v>
      </c>
      <c r="J472" t="s">
        <v>2212</v>
      </c>
      <c r="K472" t="s">
        <v>2228</v>
      </c>
      <c r="L472" t="s">
        <v>2243</v>
      </c>
      <c r="M472" t="s">
        <v>2259</v>
      </c>
      <c r="N472">
        <v>3</v>
      </c>
      <c r="O472">
        <f t="shared" si="35"/>
        <v>77440</v>
      </c>
      <c r="P472">
        <f t="shared" si="36"/>
        <v>232320</v>
      </c>
      <c r="Q472">
        <v>10</v>
      </c>
      <c r="R472">
        <f t="shared" si="37"/>
        <v>209088</v>
      </c>
      <c r="S472" t="s">
        <v>2261</v>
      </c>
      <c r="T472" t="s">
        <v>2266</v>
      </c>
      <c r="U472" s="1">
        <f t="shared" si="38"/>
        <v>45349</v>
      </c>
      <c r="V472">
        <f t="shared" si="39"/>
        <v>34848</v>
      </c>
    </row>
    <row r="473" spans="1:22" x14ac:dyDescent="0.3">
      <c r="A473" t="s">
        <v>491</v>
      </c>
      <c r="B473">
        <v>2024</v>
      </c>
      <c r="C473" s="1">
        <v>45458</v>
      </c>
      <c r="D473" t="s">
        <v>827</v>
      </c>
      <c r="E473" t="s">
        <v>1195</v>
      </c>
      <c r="F473" t="s">
        <v>1838</v>
      </c>
      <c r="G473" t="s">
        <v>2167</v>
      </c>
      <c r="H473" t="s">
        <v>2184</v>
      </c>
      <c r="I473" t="s">
        <v>2202</v>
      </c>
      <c r="J473" t="s">
        <v>2211</v>
      </c>
      <c r="K473" t="s">
        <v>2220</v>
      </c>
      <c r="L473" t="s">
        <v>2245</v>
      </c>
      <c r="M473" t="s">
        <v>2258</v>
      </c>
      <c r="N473">
        <v>2</v>
      </c>
      <c r="O473">
        <f t="shared" si="35"/>
        <v>77440</v>
      </c>
      <c r="P473">
        <f t="shared" si="36"/>
        <v>154880</v>
      </c>
      <c r="Q473">
        <v>5</v>
      </c>
      <c r="R473">
        <f t="shared" si="37"/>
        <v>147136</v>
      </c>
      <c r="S473" t="s">
        <v>2263</v>
      </c>
      <c r="T473" t="s">
        <v>2266</v>
      </c>
      <c r="U473" s="1">
        <f t="shared" si="38"/>
        <v>45465</v>
      </c>
      <c r="V473">
        <f t="shared" si="39"/>
        <v>23232</v>
      </c>
    </row>
    <row r="474" spans="1:22" x14ac:dyDescent="0.3">
      <c r="A474" t="s">
        <v>492</v>
      </c>
      <c r="B474">
        <v>2024</v>
      </c>
      <c r="C474" s="1">
        <v>45506</v>
      </c>
      <c r="D474" t="s">
        <v>829</v>
      </c>
      <c r="E474" t="s">
        <v>1196</v>
      </c>
      <c r="F474" t="s">
        <v>1839</v>
      </c>
      <c r="G474" t="s">
        <v>2167</v>
      </c>
      <c r="H474" t="s">
        <v>2170</v>
      </c>
      <c r="I474" t="s">
        <v>2201</v>
      </c>
      <c r="J474" t="s">
        <v>2211</v>
      </c>
      <c r="K474" t="s">
        <v>2239</v>
      </c>
      <c r="L474" t="s">
        <v>2245</v>
      </c>
      <c r="M474" t="s">
        <v>2255</v>
      </c>
      <c r="N474">
        <v>2</v>
      </c>
      <c r="O474">
        <f t="shared" si="35"/>
        <v>77440</v>
      </c>
      <c r="P474">
        <f t="shared" si="36"/>
        <v>154880</v>
      </c>
      <c r="Q474">
        <v>5</v>
      </c>
      <c r="R474">
        <f t="shared" si="37"/>
        <v>147136</v>
      </c>
      <c r="S474" t="s">
        <v>2261</v>
      </c>
      <c r="T474" t="s">
        <v>2265</v>
      </c>
      <c r="U474" s="1" t="str">
        <f t="shared" si="38"/>
        <v>Not Delivered</v>
      </c>
      <c r="V474">
        <f t="shared" si="39"/>
        <v>23232</v>
      </c>
    </row>
    <row r="475" spans="1:22" x14ac:dyDescent="0.3">
      <c r="A475" t="s">
        <v>493</v>
      </c>
      <c r="B475">
        <v>2025</v>
      </c>
      <c r="C475" s="1">
        <v>45814</v>
      </c>
      <c r="D475" t="s">
        <v>824</v>
      </c>
      <c r="E475" t="s">
        <v>1051</v>
      </c>
      <c r="F475" t="s">
        <v>1840</v>
      </c>
      <c r="G475" t="s">
        <v>2167</v>
      </c>
      <c r="H475" t="s">
        <v>2177</v>
      </c>
      <c r="I475" t="s">
        <v>2206</v>
      </c>
      <c r="J475" t="s">
        <v>2212</v>
      </c>
      <c r="K475" t="s">
        <v>2228</v>
      </c>
      <c r="L475" t="s">
        <v>2243</v>
      </c>
      <c r="M475" t="s">
        <v>2257</v>
      </c>
      <c r="N475">
        <v>1</v>
      </c>
      <c r="O475">
        <f t="shared" si="35"/>
        <v>77440</v>
      </c>
      <c r="P475">
        <f t="shared" si="36"/>
        <v>77440</v>
      </c>
      <c r="Q475">
        <v>10</v>
      </c>
      <c r="R475">
        <f t="shared" si="37"/>
        <v>69696</v>
      </c>
      <c r="S475" t="s">
        <v>2262</v>
      </c>
      <c r="T475" t="s">
        <v>2264</v>
      </c>
      <c r="U475" s="1" t="str">
        <f t="shared" si="38"/>
        <v>Not Delivered</v>
      </c>
      <c r="V475">
        <f t="shared" si="39"/>
        <v>11616</v>
      </c>
    </row>
    <row r="476" spans="1:22" x14ac:dyDescent="0.3">
      <c r="A476" t="s">
        <v>494</v>
      </c>
      <c r="B476">
        <v>2025</v>
      </c>
      <c r="C476" s="1">
        <v>45825</v>
      </c>
      <c r="D476" t="s">
        <v>828</v>
      </c>
      <c r="E476" t="s">
        <v>1197</v>
      </c>
      <c r="F476" t="s">
        <v>1841</v>
      </c>
      <c r="G476" t="s">
        <v>2167</v>
      </c>
      <c r="H476" t="s">
        <v>2180</v>
      </c>
      <c r="I476" t="s">
        <v>2208</v>
      </c>
      <c r="J476" t="s">
        <v>2213</v>
      </c>
      <c r="K476" t="s">
        <v>2222</v>
      </c>
      <c r="L476" t="s">
        <v>2247</v>
      </c>
      <c r="M476" t="s">
        <v>2251</v>
      </c>
      <c r="N476">
        <v>1</v>
      </c>
      <c r="O476">
        <f t="shared" si="35"/>
        <v>77440</v>
      </c>
      <c r="P476">
        <f t="shared" si="36"/>
        <v>77440</v>
      </c>
      <c r="Q476">
        <v>5</v>
      </c>
      <c r="R476">
        <f t="shared" si="37"/>
        <v>73568</v>
      </c>
      <c r="S476" t="s">
        <v>2261</v>
      </c>
      <c r="T476" t="s">
        <v>2264</v>
      </c>
      <c r="U476" s="1" t="str">
        <f t="shared" si="38"/>
        <v>Not Delivered</v>
      </c>
      <c r="V476">
        <f t="shared" si="39"/>
        <v>11616</v>
      </c>
    </row>
    <row r="477" spans="1:22" x14ac:dyDescent="0.3">
      <c r="A477" t="s">
        <v>495</v>
      </c>
      <c r="B477">
        <v>2024</v>
      </c>
      <c r="C477" s="1">
        <v>45580</v>
      </c>
      <c r="D477" t="s">
        <v>821</v>
      </c>
      <c r="E477" t="s">
        <v>934</v>
      </c>
      <c r="F477" t="s">
        <v>1842</v>
      </c>
      <c r="G477" t="s">
        <v>2167</v>
      </c>
      <c r="H477" t="s">
        <v>2193</v>
      </c>
      <c r="I477" t="s">
        <v>2206</v>
      </c>
      <c r="J477" t="s">
        <v>2210</v>
      </c>
      <c r="K477" t="s">
        <v>2235</v>
      </c>
      <c r="L477" t="s">
        <v>2247</v>
      </c>
      <c r="M477" t="s">
        <v>2255</v>
      </c>
      <c r="N477">
        <v>2</v>
      </c>
      <c r="O477">
        <f t="shared" si="35"/>
        <v>77440</v>
      </c>
      <c r="P477">
        <f t="shared" si="36"/>
        <v>154880</v>
      </c>
      <c r="Q477">
        <v>20</v>
      </c>
      <c r="R477">
        <f t="shared" si="37"/>
        <v>123904</v>
      </c>
      <c r="S477" t="s">
        <v>2261</v>
      </c>
      <c r="T477" t="s">
        <v>2265</v>
      </c>
      <c r="U477" s="1" t="str">
        <f t="shared" si="38"/>
        <v>Not Delivered</v>
      </c>
      <c r="V477">
        <f t="shared" si="39"/>
        <v>23232</v>
      </c>
    </row>
    <row r="478" spans="1:22" x14ac:dyDescent="0.3">
      <c r="A478" t="s">
        <v>496</v>
      </c>
      <c r="B478">
        <v>2024</v>
      </c>
      <c r="C478" s="1">
        <v>45628</v>
      </c>
      <c r="D478" t="s">
        <v>827</v>
      </c>
      <c r="E478" t="s">
        <v>1198</v>
      </c>
      <c r="F478" t="s">
        <v>1843</v>
      </c>
      <c r="G478" t="s">
        <v>2167</v>
      </c>
      <c r="H478" t="s">
        <v>2196</v>
      </c>
      <c r="I478" t="s">
        <v>2205</v>
      </c>
      <c r="J478" t="s">
        <v>2210</v>
      </c>
      <c r="K478" t="s">
        <v>2235</v>
      </c>
      <c r="L478" t="s">
        <v>2247</v>
      </c>
      <c r="M478" t="s">
        <v>2250</v>
      </c>
      <c r="N478">
        <v>3</v>
      </c>
      <c r="O478">
        <f t="shared" si="35"/>
        <v>77440</v>
      </c>
      <c r="P478">
        <f t="shared" si="36"/>
        <v>232320</v>
      </c>
      <c r="Q478">
        <v>5</v>
      </c>
      <c r="R478">
        <f t="shared" si="37"/>
        <v>220704</v>
      </c>
      <c r="S478" t="s">
        <v>2261</v>
      </c>
      <c r="T478" t="s">
        <v>2264</v>
      </c>
      <c r="U478" s="1" t="str">
        <f t="shared" si="38"/>
        <v>Not Delivered</v>
      </c>
      <c r="V478">
        <f t="shared" si="39"/>
        <v>34848</v>
      </c>
    </row>
    <row r="479" spans="1:22" x14ac:dyDescent="0.3">
      <c r="A479" t="s">
        <v>497</v>
      </c>
      <c r="B479">
        <v>2025</v>
      </c>
      <c r="C479" s="1">
        <v>45725</v>
      </c>
      <c r="D479" t="s">
        <v>827</v>
      </c>
      <c r="E479" t="s">
        <v>1199</v>
      </c>
      <c r="F479" t="s">
        <v>1844</v>
      </c>
      <c r="G479" t="s">
        <v>2167</v>
      </c>
      <c r="H479" t="s">
        <v>2183</v>
      </c>
      <c r="I479" t="s">
        <v>2204</v>
      </c>
      <c r="J479" t="s">
        <v>2211</v>
      </c>
      <c r="K479" t="s">
        <v>2220</v>
      </c>
      <c r="L479" t="s">
        <v>2245</v>
      </c>
      <c r="M479" t="s">
        <v>2257</v>
      </c>
      <c r="N479">
        <v>1</v>
      </c>
      <c r="O479">
        <f t="shared" si="35"/>
        <v>77440</v>
      </c>
      <c r="P479">
        <f t="shared" si="36"/>
        <v>77440</v>
      </c>
      <c r="Q479">
        <v>20</v>
      </c>
      <c r="R479">
        <f t="shared" si="37"/>
        <v>61952</v>
      </c>
      <c r="S479" t="s">
        <v>2262</v>
      </c>
      <c r="T479" t="s">
        <v>2265</v>
      </c>
      <c r="U479" s="1" t="str">
        <f t="shared" si="38"/>
        <v>Not Delivered</v>
      </c>
      <c r="V479">
        <f t="shared" si="39"/>
        <v>11616</v>
      </c>
    </row>
    <row r="480" spans="1:22" x14ac:dyDescent="0.3">
      <c r="A480" t="s">
        <v>498</v>
      </c>
      <c r="B480">
        <v>2024</v>
      </c>
      <c r="C480" s="1">
        <v>45366</v>
      </c>
      <c r="D480" t="s">
        <v>821</v>
      </c>
      <c r="E480" t="s">
        <v>1200</v>
      </c>
      <c r="F480" t="s">
        <v>1845</v>
      </c>
      <c r="G480" t="s">
        <v>2167</v>
      </c>
      <c r="H480" t="s">
        <v>2178</v>
      </c>
      <c r="I480" t="s">
        <v>2207</v>
      </c>
      <c r="J480" t="s">
        <v>2210</v>
      </c>
      <c r="K480" t="s">
        <v>2230</v>
      </c>
      <c r="L480" t="s">
        <v>2247</v>
      </c>
      <c r="M480" t="s">
        <v>2255</v>
      </c>
      <c r="N480">
        <v>5</v>
      </c>
      <c r="O480">
        <f t="shared" si="35"/>
        <v>77440</v>
      </c>
      <c r="P480">
        <f t="shared" si="36"/>
        <v>387200</v>
      </c>
      <c r="Q480">
        <v>0</v>
      </c>
      <c r="R480">
        <f t="shared" si="37"/>
        <v>387200</v>
      </c>
      <c r="S480" t="s">
        <v>2262</v>
      </c>
      <c r="T480" t="s">
        <v>2266</v>
      </c>
      <c r="U480" s="1">
        <f t="shared" si="38"/>
        <v>45373</v>
      </c>
      <c r="V480">
        <f t="shared" si="39"/>
        <v>58080</v>
      </c>
    </row>
    <row r="481" spans="1:22" x14ac:dyDescent="0.3">
      <c r="A481" t="s">
        <v>499</v>
      </c>
      <c r="B481">
        <v>2024</v>
      </c>
      <c r="C481" s="1">
        <v>45335</v>
      </c>
      <c r="D481" t="s">
        <v>821</v>
      </c>
      <c r="E481" t="s">
        <v>1106</v>
      </c>
      <c r="F481" t="s">
        <v>1846</v>
      </c>
      <c r="G481" t="s">
        <v>2167</v>
      </c>
      <c r="H481" t="s">
        <v>2188</v>
      </c>
      <c r="I481" t="s">
        <v>2208</v>
      </c>
      <c r="J481" t="s">
        <v>2212</v>
      </c>
      <c r="K481" t="s">
        <v>2234</v>
      </c>
      <c r="L481" t="s">
        <v>2244</v>
      </c>
      <c r="M481" t="s">
        <v>2259</v>
      </c>
      <c r="N481">
        <v>5</v>
      </c>
      <c r="O481">
        <f t="shared" si="35"/>
        <v>77440</v>
      </c>
      <c r="P481">
        <f t="shared" si="36"/>
        <v>387200</v>
      </c>
      <c r="Q481">
        <v>0</v>
      </c>
      <c r="R481">
        <f t="shared" si="37"/>
        <v>387200</v>
      </c>
      <c r="S481" t="s">
        <v>2261</v>
      </c>
      <c r="T481" t="s">
        <v>2265</v>
      </c>
      <c r="U481" s="1" t="str">
        <f t="shared" si="38"/>
        <v>Not Delivered</v>
      </c>
      <c r="V481">
        <f t="shared" si="39"/>
        <v>58080</v>
      </c>
    </row>
    <row r="482" spans="1:22" x14ac:dyDescent="0.3">
      <c r="A482" t="s">
        <v>500</v>
      </c>
      <c r="B482">
        <v>2025</v>
      </c>
      <c r="C482" s="1">
        <v>45810</v>
      </c>
      <c r="D482" t="s">
        <v>826</v>
      </c>
      <c r="E482" t="s">
        <v>1133</v>
      </c>
      <c r="F482" t="s">
        <v>1847</v>
      </c>
      <c r="G482" t="s">
        <v>2167</v>
      </c>
      <c r="H482" t="s">
        <v>2183</v>
      </c>
      <c r="I482" t="s">
        <v>2204</v>
      </c>
      <c r="J482" t="s">
        <v>2211</v>
      </c>
      <c r="K482" t="s">
        <v>2232</v>
      </c>
      <c r="L482" t="s">
        <v>2243</v>
      </c>
      <c r="M482" t="s">
        <v>2259</v>
      </c>
      <c r="N482">
        <v>3</v>
      </c>
      <c r="O482">
        <f t="shared" si="35"/>
        <v>77440</v>
      </c>
      <c r="P482">
        <f t="shared" si="36"/>
        <v>232320</v>
      </c>
      <c r="Q482">
        <v>20</v>
      </c>
      <c r="R482">
        <f t="shared" si="37"/>
        <v>185856</v>
      </c>
      <c r="S482" t="s">
        <v>2262</v>
      </c>
      <c r="T482" t="s">
        <v>2264</v>
      </c>
      <c r="U482" s="1" t="str">
        <f t="shared" si="38"/>
        <v>Not Delivered</v>
      </c>
      <c r="V482">
        <f t="shared" si="39"/>
        <v>34848</v>
      </c>
    </row>
    <row r="483" spans="1:22" x14ac:dyDescent="0.3">
      <c r="A483" t="s">
        <v>501</v>
      </c>
      <c r="B483">
        <v>2024</v>
      </c>
      <c r="C483" s="1">
        <v>45333</v>
      </c>
      <c r="D483" t="s">
        <v>826</v>
      </c>
      <c r="E483" t="s">
        <v>914</v>
      </c>
      <c r="F483" t="s">
        <v>1848</v>
      </c>
      <c r="G483" t="s">
        <v>2167</v>
      </c>
      <c r="H483" t="s">
        <v>2192</v>
      </c>
      <c r="I483" t="s">
        <v>2207</v>
      </c>
      <c r="J483" t="s">
        <v>2213</v>
      </c>
      <c r="K483" t="s">
        <v>2223</v>
      </c>
      <c r="L483" t="s">
        <v>2245</v>
      </c>
      <c r="M483" t="s">
        <v>2252</v>
      </c>
      <c r="N483">
        <v>3</v>
      </c>
      <c r="O483">
        <f t="shared" si="35"/>
        <v>77440</v>
      </c>
      <c r="P483">
        <f t="shared" si="36"/>
        <v>232320</v>
      </c>
      <c r="Q483">
        <v>15</v>
      </c>
      <c r="R483">
        <f t="shared" si="37"/>
        <v>197472</v>
      </c>
      <c r="S483" t="s">
        <v>2261</v>
      </c>
      <c r="T483" t="s">
        <v>2264</v>
      </c>
      <c r="U483" s="1" t="str">
        <f t="shared" si="38"/>
        <v>Not Delivered</v>
      </c>
      <c r="V483">
        <f t="shared" si="39"/>
        <v>34848</v>
      </c>
    </row>
    <row r="484" spans="1:22" x14ac:dyDescent="0.3">
      <c r="A484" t="s">
        <v>502</v>
      </c>
      <c r="B484">
        <v>2024</v>
      </c>
      <c r="C484" s="1">
        <v>45321</v>
      </c>
      <c r="D484" t="s">
        <v>822</v>
      </c>
      <c r="E484" t="s">
        <v>1201</v>
      </c>
      <c r="F484" t="s">
        <v>1849</v>
      </c>
      <c r="G484" t="s">
        <v>2167</v>
      </c>
      <c r="H484" t="s">
        <v>2198</v>
      </c>
      <c r="I484" t="s">
        <v>2207</v>
      </c>
      <c r="J484" t="s">
        <v>2211</v>
      </c>
      <c r="K484" t="s">
        <v>2236</v>
      </c>
      <c r="L484" t="s">
        <v>2242</v>
      </c>
      <c r="M484" t="s">
        <v>2254</v>
      </c>
      <c r="N484">
        <v>4</v>
      </c>
      <c r="O484">
        <f t="shared" si="35"/>
        <v>77440</v>
      </c>
      <c r="P484">
        <f t="shared" si="36"/>
        <v>309760</v>
      </c>
      <c r="Q484">
        <v>15</v>
      </c>
      <c r="R484">
        <f t="shared" si="37"/>
        <v>263296</v>
      </c>
      <c r="S484" t="s">
        <v>2261</v>
      </c>
      <c r="T484" t="s">
        <v>2265</v>
      </c>
      <c r="U484" s="1" t="str">
        <f t="shared" si="38"/>
        <v>Not Delivered</v>
      </c>
      <c r="V484">
        <f t="shared" si="39"/>
        <v>46464</v>
      </c>
    </row>
    <row r="485" spans="1:22" x14ac:dyDescent="0.3">
      <c r="A485" t="s">
        <v>503</v>
      </c>
      <c r="B485">
        <v>2025</v>
      </c>
      <c r="C485" s="1">
        <v>45833</v>
      </c>
      <c r="D485" t="s">
        <v>826</v>
      </c>
      <c r="E485" t="s">
        <v>1020</v>
      </c>
      <c r="F485" t="s">
        <v>1850</v>
      </c>
      <c r="G485" t="s">
        <v>2167</v>
      </c>
      <c r="H485" t="s">
        <v>2199</v>
      </c>
      <c r="I485" t="s">
        <v>2205</v>
      </c>
      <c r="J485" t="s">
        <v>2211</v>
      </c>
      <c r="K485" t="s">
        <v>2222</v>
      </c>
      <c r="L485" t="s">
        <v>2247</v>
      </c>
      <c r="M485" t="s">
        <v>2249</v>
      </c>
      <c r="N485">
        <v>3</v>
      </c>
      <c r="O485">
        <f t="shared" si="35"/>
        <v>77440</v>
      </c>
      <c r="P485">
        <f t="shared" si="36"/>
        <v>232320</v>
      </c>
      <c r="Q485">
        <v>10</v>
      </c>
      <c r="R485">
        <f t="shared" si="37"/>
        <v>209088</v>
      </c>
      <c r="S485" t="s">
        <v>2260</v>
      </c>
      <c r="T485" t="s">
        <v>2265</v>
      </c>
      <c r="U485" s="1" t="str">
        <f t="shared" si="38"/>
        <v>Not Delivered</v>
      </c>
      <c r="V485">
        <f t="shared" si="39"/>
        <v>34848</v>
      </c>
    </row>
    <row r="486" spans="1:22" x14ac:dyDescent="0.3">
      <c r="A486" t="s">
        <v>504</v>
      </c>
      <c r="B486">
        <v>2024</v>
      </c>
      <c r="C486" s="1">
        <v>45540</v>
      </c>
      <c r="D486" t="s">
        <v>820</v>
      </c>
      <c r="E486" t="s">
        <v>959</v>
      </c>
      <c r="F486" t="s">
        <v>1851</v>
      </c>
      <c r="G486" t="s">
        <v>2167</v>
      </c>
      <c r="H486" t="s">
        <v>2171</v>
      </c>
      <c r="I486" t="s">
        <v>2202</v>
      </c>
      <c r="J486" t="s">
        <v>2211</v>
      </c>
      <c r="K486" t="s">
        <v>2231</v>
      </c>
      <c r="L486" t="s">
        <v>2244</v>
      </c>
      <c r="M486" t="s">
        <v>2253</v>
      </c>
      <c r="N486">
        <v>4</v>
      </c>
      <c r="O486">
        <f t="shared" si="35"/>
        <v>77440</v>
      </c>
      <c r="P486">
        <f t="shared" si="36"/>
        <v>309760</v>
      </c>
      <c r="Q486">
        <v>0</v>
      </c>
      <c r="R486">
        <f t="shared" si="37"/>
        <v>309760</v>
      </c>
      <c r="S486" t="s">
        <v>2263</v>
      </c>
      <c r="T486" t="s">
        <v>2264</v>
      </c>
      <c r="U486" s="1" t="str">
        <f t="shared" si="38"/>
        <v>Not Delivered</v>
      </c>
      <c r="V486">
        <f t="shared" si="39"/>
        <v>46464</v>
      </c>
    </row>
    <row r="487" spans="1:22" x14ac:dyDescent="0.3">
      <c r="A487" t="s">
        <v>505</v>
      </c>
      <c r="B487">
        <v>2024</v>
      </c>
      <c r="C487" s="1">
        <v>45560</v>
      </c>
      <c r="D487" t="s">
        <v>822</v>
      </c>
      <c r="E487" t="s">
        <v>863</v>
      </c>
      <c r="F487" t="s">
        <v>1852</v>
      </c>
      <c r="G487" t="s">
        <v>2167</v>
      </c>
      <c r="H487" t="s">
        <v>2171</v>
      </c>
      <c r="I487" t="s">
        <v>2202</v>
      </c>
      <c r="J487" t="s">
        <v>2210</v>
      </c>
      <c r="K487" t="s">
        <v>2233</v>
      </c>
      <c r="L487" t="s">
        <v>2245</v>
      </c>
      <c r="M487" t="s">
        <v>2249</v>
      </c>
      <c r="N487">
        <v>2</v>
      </c>
      <c r="O487">
        <f t="shared" si="35"/>
        <v>77440</v>
      </c>
      <c r="P487">
        <f t="shared" si="36"/>
        <v>154880</v>
      </c>
      <c r="Q487">
        <v>0</v>
      </c>
      <c r="R487">
        <f t="shared" si="37"/>
        <v>154880</v>
      </c>
      <c r="S487" t="s">
        <v>2262</v>
      </c>
      <c r="T487" t="s">
        <v>2266</v>
      </c>
      <c r="U487" s="1">
        <f t="shared" si="38"/>
        <v>45567</v>
      </c>
      <c r="V487">
        <f t="shared" si="39"/>
        <v>23232</v>
      </c>
    </row>
    <row r="488" spans="1:22" x14ac:dyDescent="0.3">
      <c r="A488" t="s">
        <v>506</v>
      </c>
      <c r="B488">
        <v>2024</v>
      </c>
      <c r="C488" s="1">
        <v>45414</v>
      </c>
      <c r="D488" t="s">
        <v>824</v>
      </c>
      <c r="E488" t="s">
        <v>1202</v>
      </c>
      <c r="F488" t="s">
        <v>1853</v>
      </c>
      <c r="G488" t="s">
        <v>2167</v>
      </c>
      <c r="H488" t="s">
        <v>2180</v>
      </c>
      <c r="I488" t="s">
        <v>2208</v>
      </c>
      <c r="J488" t="s">
        <v>2211</v>
      </c>
      <c r="K488" t="s">
        <v>2229</v>
      </c>
      <c r="L488" t="s">
        <v>2246</v>
      </c>
      <c r="M488" t="s">
        <v>2250</v>
      </c>
      <c r="N488">
        <v>1</v>
      </c>
      <c r="O488">
        <f t="shared" si="35"/>
        <v>77440</v>
      </c>
      <c r="P488">
        <f t="shared" si="36"/>
        <v>77440</v>
      </c>
      <c r="Q488">
        <v>20</v>
      </c>
      <c r="R488">
        <f t="shared" si="37"/>
        <v>61952</v>
      </c>
      <c r="S488" t="s">
        <v>2263</v>
      </c>
      <c r="T488" t="s">
        <v>2264</v>
      </c>
      <c r="U488" s="1" t="str">
        <f t="shared" si="38"/>
        <v>Not Delivered</v>
      </c>
      <c r="V488">
        <f t="shared" si="39"/>
        <v>11616</v>
      </c>
    </row>
    <row r="489" spans="1:22" x14ac:dyDescent="0.3">
      <c r="A489" t="s">
        <v>507</v>
      </c>
      <c r="B489">
        <v>2024</v>
      </c>
      <c r="C489" s="1">
        <v>45367</v>
      </c>
      <c r="D489" t="s">
        <v>823</v>
      </c>
      <c r="E489" t="s">
        <v>861</v>
      </c>
      <c r="F489" t="s">
        <v>1854</v>
      </c>
      <c r="G489" t="s">
        <v>2167</v>
      </c>
      <c r="H489" t="s">
        <v>2189</v>
      </c>
      <c r="I489" t="s">
        <v>2202</v>
      </c>
      <c r="J489" t="s">
        <v>2213</v>
      </c>
      <c r="K489" t="s">
        <v>2216</v>
      </c>
      <c r="L489" t="s">
        <v>2242</v>
      </c>
      <c r="M489" t="s">
        <v>2248</v>
      </c>
      <c r="N489">
        <v>5</v>
      </c>
      <c r="O489">
        <f t="shared" si="35"/>
        <v>77440</v>
      </c>
      <c r="P489">
        <f t="shared" si="36"/>
        <v>387200</v>
      </c>
      <c r="Q489">
        <v>0</v>
      </c>
      <c r="R489">
        <f t="shared" si="37"/>
        <v>387200</v>
      </c>
      <c r="S489" t="s">
        <v>2260</v>
      </c>
      <c r="T489" t="s">
        <v>2266</v>
      </c>
      <c r="U489" s="1">
        <f t="shared" si="38"/>
        <v>45374</v>
      </c>
      <c r="V489">
        <f t="shared" si="39"/>
        <v>58080</v>
      </c>
    </row>
    <row r="490" spans="1:22" x14ac:dyDescent="0.3">
      <c r="A490" t="s">
        <v>508</v>
      </c>
      <c r="B490">
        <v>2024</v>
      </c>
      <c r="C490" s="1">
        <v>45561</v>
      </c>
      <c r="D490" t="s">
        <v>822</v>
      </c>
      <c r="E490" t="s">
        <v>1203</v>
      </c>
      <c r="F490" t="s">
        <v>1855</v>
      </c>
      <c r="G490" t="s">
        <v>2167</v>
      </c>
      <c r="H490" t="s">
        <v>2183</v>
      </c>
      <c r="I490" t="s">
        <v>2204</v>
      </c>
      <c r="J490" t="s">
        <v>2212</v>
      </c>
      <c r="K490" t="s">
        <v>2235</v>
      </c>
      <c r="L490" t="s">
        <v>2247</v>
      </c>
      <c r="M490" t="s">
        <v>2250</v>
      </c>
      <c r="N490">
        <v>2</v>
      </c>
      <c r="O490">
        <f t="shared" si="35"/>
        <v>77440</v>
      </c>
      <c r="P490">
        <f t="shared" si="36"/>
        <v>154880</v>
      </c>
      <c r="Q490">
        <v>5</v>
      </c>
      <c r="R490">
        <f t="shared" si="37"/>
        <v>147136</v>
      </c>
      <c r="S490" t="s">
        <v>2261</v>
      </c>
      <c r="T490" t="s">
        <v>2265</v>
      </c>
      <c r="U490" s="1" t="str">
        <f t="shared" si="38"/>
        <v>Not Delivered</v>
      </c>
      <c r="V490">
        <f t="shared" si="39"/>
        <v>23232</v>
      </c>
    </row>
    <row r="491" spans="1:22" x14ac:dyDescent="0.3">
      <c r="A491" t="s">
        <v>509</v>
      </c>
      <c r="B491">
        <v>2024</v>
      </c>
      <c r="C491" s="1">
        <v>45316</v>
      </c>
      <c r="D491" t="s">
        <v>825</v>
      </c>
      <c r="E491" t="s">
        <v>1204</v>
      </c>
      <c r="F491" t="s">
        <v>1856</v>
      </c>
      <c r="G491" t="s">
        <v>2167</v>
      </c>
      <c r="H491" t="s">
        <v>2177</v>
      </c>
      <c r="I491" t="s">
        <v>2206</v>
      </c>
      <c r="J491" t="s">
        <v>2211</v>
      </c>
      <c r="K491" t="s">
        <v>2230</v>
      </c>
      <c r="L491" t="s">
        <v>2247</v>
      </c>
      <c r="M491" t="s">
        <v>2250</v>
      </c>
      <c r="N491">
        <v>5</v>
      </c>
      <c r="O491">
        <f t="shared" si="35"/>
        <v>77440</v>
      </c>
      <c r="P491">
        <f t="shared" si="36"/>
        <v>387200</v>
      </c>
      <c r="Q491">
        <v>20</v>
      </c>
      <c r="R491">
        <f t="shared" si="37"/>
        <v>309760</v>
      </c>
      <c r="S491" t="s">
        <v>2261</v>
      </c>
      <c r="T491" t="s">
        <v>2265</v>
      </c>
      <c r="U491" s="1" t="str">
        <f t="shared" si="38"/>
        <v>Not Delivered</v>
      </c>
      <c r="V491">
        <f t="shared" si="39"/>
        <v>58080</v>
      </c>
    </row>
    <row r="492" spans="1:22" x14ac:dyDescent="0.3">
      <c r="A492" t="s">
        <v>510</v>
      </c>
      <c r="B492">
        <v>2024</v>
      </c>
      <c r="C492" s="1">
        <v>45340</v>
      </c>
      <c r="D492" t="s">
        <v>827</v>
      </c>
      <c r="E492" t="s">
        <v>1205</v>
      </c>
      <c r="F492" t="s">
        <v>1857</v>
      </c>
      <c r="G492" t="s">
        <v>2167</v>
      </c>
      <c r="H492" t="s">
        <v>2185</v>
      </c>
      <c r="I492" t="s">
        <v>2204</v>
      </c>
      <c r="J492" t="s">
        <v>2210</v>
      </c>
      <c r="K492" t="s">
        <v>2230</v>
      </c>
      <c r="L492" t="s">
        <v>2247</v>
      </c>
      <c r="M492" t="s">
        <v>2254</v>
      </c>
      <c r="N492">
        <v>5</v>
      </c>
      <c r="O492">
        <f t="shared" si="35"/>
        <v>77440</v>
      </c>
      <c r="P492">
        <f t="shared" si="36"/>
        <v>387200</v>
      </c>
      <c r="Q492">
        <v>10</v>
      </c>
      <c r="R492">
        <f t="shared" si="37"/>
        <v>348480</v>
      </c>
      <c r="S492" t="s">
        <v>2262</v>
      </c>
      <c r="T492" t="s">
        <v>2266</v>
      </c>
      <c r="U492" s="1">
        <f t="shared" si="38"/>
        <v>45347</v>
      </c>
      <c r="V492">
        <f t="shared" si="39"/>
        <v>58080</v>
      </c>
    </row>
    <row r="493" spans="1:22" x14ac:dyDescent="0.3">
      <c r="A493" t="s">
        <v>511</v>
      </c>
      <c r="B493">
        <v>2024</v>
      </c>
      <c r="C493" s="1">
        <v>45534</v>
      </c>
      <c r="D493" t="s">
        <v>829</v>
      </c>
      <c r="E493" t="s">
        <v>1206</v>
      </c>
      <c r="F493" t="s">
        <v>1858</v>
      </c>
      <c r="G493" t="s">
        <v>2167</v>
      </c>
      <c r="H493" t="s">
        <v>2178</v>
      </c>
      <c r="I493" t="s">
        <v>2207</v>
      </c>
      <c r="J493" t="s">
        <v>2212</v>
      </c>
      <c r="K493" t="s">
        <v>2221</v>
      </c>
      <c r="L493" t="s">
        <v>2246</v>
      </c>
      <c r="M493" t="s">
        <v>2257</v>
      </c>
      <c r="N493">
        <v>3</v>
      </c>
      <c r="O493">
        <f t="shared" si="35"/>
        <v>77440</v>
      </c>
      <c r="P493">
        <f t="shared" si="36"/>
        <v>232320</v>
      </c>
      <c r="Q493">
        <v>5</v>
      </c>
      <c r="R493">
        <f t="shared" si="37"/>
        <v>220704</v>
      </c>
      <c r="S493" t="s">
        <v>2261</v>
      </c>
      <c r="T493" t="s">
        <v>2266</v>
      </c>
      <c r="U493" s="1">
        <f t="shared" si="38"/>
        <v>45541</v>
      </c>
      <c r="V493">
        <f t="shared" si="39"/>
        <v>34848</v>
      </c>
    </row>
    <row r="494" spans="1:22" x14ac:dyDescent="0.3">
      <c r="A494" t="s">
        <v>512</v>
      </c>
      <c r="B494">
        <v>2024</v>
      </c>
      <c r="C494" s="1">
        <v>45631</v>
      </c>
      <c r="D494" t="s">
        <v>825</v>
      </c>
      <c r="E494" t="s">
        <v>1182</v>
      </c>
      <c r="F494" t="s">
        <v>1859</v>
      </c>
      <c r="G494" t="s">
        <v>2167</v>
      </c>
      <c r="H494" t="s">
        <v>2197</v>
      </c>
      <c r="I494" t="s">
        <v>2209</v>
      </c>
      <c r="J494" t="s">
        <v>2210</v>
      </c>
      <c r="K494" t="s">
        <v>2231</v>
      </c>
      <c r="L494" t="s">
        <v>2244</v>
      </c>
      <c r="M494" t="s">
        <v>2256</v>
      </c>
      <c r="N494">
        <v>5</v>
      </c>
      <c r="O494">
        <f t="shared" si="35"/>
        <v>77440</v>
      </c>
      <c r="P494">
        <f t="shared" si="36"/>
        <v>387200</v>
      </c>
      <c r="Q494">
        <v>15</v>
      </c>
      <c r="R494">
        <f t="shared" si="37"/>
        <v>329120</v>
      </c>
      <c r="S494" t="s">
        <v>2260</v>
      </c>
      <c r="T494" t="s">
        <v>2265</v>
      </c>
      <c r="U494" s="1" t="str">
        <f t="shared" si="38"/>
        <v>Not Delivered</v>
      </c>
      <c r="V494">
        <f t="shared" si="39"/>
        <v>58080</v>
      </c>
    </row>
    <row r="495" spans="1:22" x14ac:dyDescent="0.3">
      <c r="A495" t="s">
        <v>513</v>
      </c>
      <c r="B495">
        <v>2024</v>
      </c>
      <c r="C495" s="1">
        <v>45525</v>
      </c>
      <c r="D495" t="s">
        <v>823</v>
      </c>
      <c r="E495" t="s">
        <v>1207</v>
      </c>
      <c r="F495" t="s">
        <v>1860</v>
      </c>
      <c r="G495" t="s">
        <v>2167</v>
      </c>
      <c r="H495" t="s">
        <v>2183</v>
      </c>
      <c r="I495" t="s">
        <v>2204</v>
      </c>
      <c r="J495" t="s">
        <v>2211</v>
      </c>
      <c r="K495" t="s">
        <v>2218</v>
      </c>
      <c r="L495" t="s">
        <v>2242</v>
      </c>
      <c r="M495" t="s">
        <v>2255</v>
      </c>
      <c r="N495">
        <v>3</v>
      </c>
      <c r="O495">
        <f t="shared" si="35"/>
        <v>77440</v>
      </c>
      <c r="P495">
        <f t="shared" si="36"/>
        <v>232320</v>
      </c>
      <c r="Q495">
        <v>15</v>
      </c>
      <c r="R495">
        <f t="shared" si="37"/>
        <v>197472</v>
      </c>
      <c r="S495" t="s">
        <v>2262</v>
      </c>
      <c r="T495" t="s">
        <v>2265</v>
      </c>
      <c r="U495" s="1" t="str">
        <f t="shared" si="38"/>
        <v>Not Delivered</v>
      </c>
      <c r="V495">
        <f t="shared" si="39"/>
        <v>34848</v>
      </c>
    </row>
    <row r="496" spans="1:22" x14ac:dyDescent="0.3">
      <c r="A496" t="s">
        <v>514</v>
      </c>
      <c r="B496">
        <v>2025</v>
      </c>
      <c r="C496" s="1">
        <v>45782</v>
      </c>
      <c r="D496" t="s">
        <v>824</v>
      </c>
      <c r="E496" t="s">
        <v>1208</v>
      </c>
      <c r="F496" t="s">
        <v>1861</v>
      </c>
      <c r="G496" t="s">
        <v>2167</v>
      </c>
      <c r="H496" t="s">
        <v>2168</v>
      </c>
      <c r="I496" t="s">
        <v>2200</v>
      </c>
      <c r="J496" t="s">
        <v>2210</v>
      </c>
      <c r="K496" t="s">
        <v>2215</v>
      </c>
      <c r="L496" t="s">
        <v>2243</v>
      </c>
      <c r="M496" t="s">
        <v>2256</v>
      </c>
      <c r="N496">
        <v>4</v>
      </c>
      <c r="O496">
        <f t="shared" si="35"/>
        <v>77440</v>
      </c>
      <c r="P496">
        <f t="shared" si="36"/>
        <v>309760</v>
      </c>
      <c r="Q496">
        <v>0</v>
      </c>
      <c r="R496">
        <f t="shared" si="37"/>
        <v>309760</v>
      </c>
      <c r="S496" t="s">
        <v>2261</v>
      </c>
      <c r="T496" t="s">
        <v>2264</v>
      </c>
      <c r="U496" s="1" t="str">
        <f t="shared" si="38"/>
        <v>Not Delivered</v>
      </c>
      <c r="V496">
        <f t="shared" si="39"/>
        <v>46464</v>
      </c>
    </row>
    <row r="497" spans="1:22" x14ac:dyDescent="0.3">
      <c r="A497" t="s">
        <v>515</v>
      </c>
      <c r="B497">
        <v>2025</v>
      </c>
      <c r="C497" s="1">
        <v>45720</v>
      </c>
      <c r="D497" t="s">
        <v>820</v>
      </c>
      <c r="E497" t="s">
        <v>1209</v>
      </c>
      <c r="F497" t="s">
        <v>1862</v>
      </c>
      <c r="G497" t="s">
        <v>2167</v>
      </c>
      <c r="H497" t="s">
        <v>2187</v>
      </c>
      <c r="I497" t="s">
        <v>2209</v>
      </c>
      <c r="J497" t="s">
        <v>2212</v>
      </c>
      <c r="K497" t="s">
        <v>2218</v>
      </c>
      <c r="L497" t="s">
        <v>2242</v>
      </c>
      <c r="M497" t="s">
        <v>2258</v>
      </c>
      <c r="N497">
        <v>4</v>
      </c>
      <c r="O497">
        <f t="shared" si="35"/>
        <v>77440</v>
      </c>
      <c r="P497">
        <f t="shared" si="36"/>
        <v>309760</v>
      </c>
      <c r="Q497">
        <v>15</v>
      </c>
      <c r="R497">
        <f t="shared" si="37"/>
        <v>263296</v>
      </c>
      <c r="S497" t="s">
        <v>2260</v>
      </c>
      <c r="T497" t="s">
        <v>2265</v>
      </c>
      <c r="U497" s="1" t="str">
        <f t="shared" si="38"/>
        <v>Not Delivered</v>
      </c>
      <c r="V497">
        <f t="shared" si="39"/>
        <v>46464</v>
      </c>
    </row>
    <row r="498" spans="1:22" x14ac:dyDescent="0.3">
      <c r="A498" t="s">
        <v>516</v>
      </c>
      <c r="B498">
        <v>2025</v>
      </c>
      <c r="C498" s="1">
        <v>45749</v>
      </c>
      <c r="D498" t="s">
        <v>824</v>
      </c>
      <c r="E498" t="s">
        <v>1210</v>
      </c>
      <c r="F498" t="s">
        <v>1863</v>
      </c>
      <c r="G498" t="s">
        <v>2167</v>
      </c>
      <c r="H498" t="s">
        <v>2186</v>
      </c>
      <c r="I498" t="s">
        <v>2201</v>
      </c>
      <c r="J498" t="s">
        <v>2213</v>
      </c>
      <c r="K498" t="s">
        <v>2241</v>
      </c>
      <c r="L498" t="s">
        <v>2247</v>
      </c>
      <c r="M498" t="s">
        <v>2253</v>
      </c>
      <c r="N498">
        <v>1</v>
      </c>
      <c r="O498">
        <f t="shared" si="35"/>
        <v>77440</v>
      </c>
      <c r="P498">
        <f t="shared" si="36"/>
        <v>77440</v>
      </c>
      <c r="Q498">
        <v>0</v>
      </c>
      <c r="R498">
        <f t="shared" si="37"/>
        <v>77440</v>
      </c>
      <c r="S498" t="s">
        <v>2261</v>
      </c>
      <c r="T498" t="s">
        <v>2264</v>
      </c>
      <c r="U498" s="1" t="str">
        <f t="shared" si="38"/>
        <v>Not Delivered</v>
      </c>
      <c r="V498">
        <f t="shared" si="39"/>
        <v>11616</v>
      </c>
    </row>
    <row r="499" spans="1:22" x14ac:dyDescent="0.3">
      <c r="A499" t="s">
        <v>517</v>
      </c>
      <c r="B499">
        <v>2025</v>
      </c>
      <c r="C499" s="1">
        <v>45748</v>
      </c>
      <c r="D499" t="s">
        <v>822</v>
      </c>
      <c r="E499" t="s">
        <v>895</v>
      </c>
      <c r="F499" t="s">
        <v>1864</v>
      </c>
      <c r="G499" t="s">
        <v>2167</v>
      </c>
      <c r="H499" t="s">
        <v>2173</v>
      </c>
      <c r="I499" t="s">
        <v>2204</v>
      </c>
      <c r="J499" t="s">
        <v>2212</v>
      </c>
      <c r="K499" t="s">
        <v>2220</v>
      </c>
      <c r="L499" t="s">
        <v>2245</v>
      </c>
      <c r="M499" t="s">
        <v>2255</v>
      </c>
      <c r="N499">
        <v>2</v>
      </c>
      <c r="O499">
        <f t="shared" si="35"/>
        <v>77440</v>
      </c>
      <c r="P499">
        <f t="shared" si="36"/>
        <v>154880</v>
      </c>
      <c r="Q499">
        <v>5</v>
      </c>
      <c r="R499">
        <f t="shared" si="37"/>
        <v>147136</v>
      </c>
      <c r="S499" t="s">
        <v>2260</v>
      </c>
      <c r="T499" t="s">
        <v>2266</v>
      </c>
      <c r="U499" s="1">
        <f t="shared" si="38"/>
        <v>45755</v>
      </c>
      <c r="V499">
        <f t="shared" si="39"/>
        <v>23232</v>
      </c>
    </row>
    <row r="500" spans="1:22" x14ac:dyDescent="0.3">
      <c r="A500" t="s">
        <v>518</v>
      </c>
      <c r="B500">
        <v>2024</v>
      </c>
      <c r="C500" s="1">
        <v>45632</v>
      </c>
      <c r="D500" t="s">
        <v>828</v>
      </c>
      <c r="E500" t="s">
        <v>1211</v>
      </c>
      <c r="F500" t="s">
        <v>1865</v>
      </c>
      <c r="G500" t="s">
        <v>2167</v>
      </c>
      <c r="H500" t="s">
        <v>2179</v>
      </c>
      <c r="I500" t="s">
        <v>2206</v>
      </c>
      <c r="J500" t="s">
        <v>2210</v>
      </c>
      <c r="K500" t="s">
        <v>2219</v>
      </c>
      <c r="L500" t="s">
        <v>2243</v>
      </c>
      <c r="M500" t="s">
        <v>2253</v>
      </c>
      <c r="N500">
        <v>4</v>
      </c>
      <c r="O500">
        <f t="shared" si="35"/>
        <v>77440</v>
      </c>
      <c r="P500">
        <f t="shared" si="36"/>
        <v>309760</v>
      </c>
      <c r="Q500">
        <v>5</v>
      </c>
      <c r="R500">
        <f t="shared" si="37"/>
        <v>294272</v>
      </c>
      <c r="S500" t="s">
        <v>2260</v>
      </c>
      <c r="T500" t="s">
        <v>2266</v>
      </c>
      <c r="U500" s="1">
        <f t="shared" si="38"/>
        <v>45639</v>
      </c>
      <c r="V500">
        <f t="shared" si="39"/>
        <v>46464</v>
      </c>
    </row>
    <row r="501" spans="1:22" x14ac:dyDescent="0.3">
      <c r="A501" t="s">
        <v>519</v>
      </c>
      <c r="B501">
        <v>2025</v>
      </c>
      <c r="C501" s="1">
        <v>45758</v>
      </c>
      <c r="D501" t="s">
        <v>829</v>
      </c>
      <c r="E501" t="s">
        <v>1212</v>
      </c>
      <c r="F501" t="s">
        <v>1866</v>
      </c>
      <c r="G501" t="s">
        <v>2167</v>
      </c>
      <c r="H501" t="s">
        <v>2195</v>
      </c>
      <c r="I501" t="s">
        <v>2206</v>
      </c>
      <c r="J501" t="s">
        <v>2211</v>
      </c>
      <c r="K501" t="s">
        <v>2223</v>
      </c>
      <c r="L501" t="s">
        <v>2245</v>
      </c>
      <c r="M501" t="s">
        <v>2257</v>
      </c>
      <c r="N501">
        <v>5</v>
      </c>
      <c r="O501">
        <f t="shared" si="35"/>
        <v>77440</v>
      </c>
      <c r="P501">
        <f t="shared" si="36"/>
        <v>387200</v>
      </c>
      <c r="Q501">
        <v>10</v>
      </c>
      <c r="R501">
        <f t="shared" si="37"/>
        <v>348480</v>
      </c>
      <c r="S501" t="s">
        <v>2260</v>
      </c>
      <c r="T501" t="s">
        <v>2265</v>
      </c>
      <c r="U501" s="1" t="str">
        <f t="shared" si="38"/>
        <v>Not Delivered</v>
      </c>
      <c r="V501">
        <f t="shared" si="39"/>
        <v>58080</v>
      </c>
    </row>
    <row r="502" spans="1:22" x14ac:dyDescent="0.3">
      <c r="A502" t="s">
        <v>520</v>
      </c>
      <c r="B502">
        <v>2025</v>
      </c>
      <c r="C502" s="1">
        <v>45673</v>
      </c>
      <c r="D502" t="s">
        <v>829</v>
      </c>
      <c r="E502" t="s">
        <v>1213</v>
      </c>
      <c r="F502" t="s">
        <v>1867</v>
      </c>
      <c r="G502" t="s">
        <v>2167</v>
      </c>
      <c r="H502" t="s">
        <v>2172</v>
      </c>
      <c r="I502" t="s">
        <v>2203</v>
      </c>
      <c r="J502" t="s">
        <v>2212</v>
      </c>
      <c r="K502" t="s">
        <v>2215</v>
      </c>
      <c r="L502" t="s">
        <v>2243</v>
      </c>
      <c r="M502" t="s">
        <v>2252</v>
      </c>
      <c r="N502">
        <v>4</v>
      </c>
      <c r="O502">
        <f t="shared" si="35"/>
        <v>77440</v>
      </c>
      <c r="P502">
        <f t="shared" si="36"/>
        <v>309760</v>
      </c>
      <c r="Q502">
        <v>0</v>
      </c>
      <c r="R502">
        <f t="shared" si="37"/>
        <v>309760</v>
      </c>
      <c r="S502" t="s">
        <v>2263</v>
      </c>
      <c r="T502" t="s">
        <v>2265</v>
      </c>
      <c r="U502" s="1" t="str">
        <f t="shared" si="38"/>
        <v>Not Delivered</v>
      </c>
      <c r="V502">
        <f t="shared" si="39"/>
        <v>46464</v>
      </c>
    </row>
    <row r="503" spans="1:22" x14ac:dyDescent="0.3">
      <c r="A503" t="s">
        <v>521</v>
      </c>
      <c r="B503">
        <v>2025</v>
      </c>
      <c r="C503" s="1">
        <v>45704</v>
      </c>
      <c r="D503" t="s">
        <v>822</v>
      </c>
      <c r="E503" t="s">
        <v>1214</v>
      </c>
      <c r="F503" t="s">
        <v>1868</v>
      </c>
      <c r="G503" t="s">
        <v>2167</v>
      </c>
      <c r="H503" t="s">
        <v>2172</v>
      </c>
      <c r="I503" t="s">
        <v>2203</v>
      </c>
      <c r="J503" t="s">
        <v>2211</v>
      </c>
      <c r="K503" t="s">
        <v>2231</v>
      </c>
      <c r="L503" t="s">
        <v>2244</v>
      </c>
      <c r="M503" t="s">
        <v>2259</v>
      </c>
      <c r="N503">
        <v>1</v>
      </c>
      <c r="O503">
        <f t="shared" si="35"/>
        <v>77440</v>
      </c>
      <c r="P503">
        <f t="shared" si="36"/>
        <v>77440</v>
      </c>
      <c r="Q503">
        <v>0</v>
      </c>
      <c r="R503">
        <f t="shared" si="37"/>
        <v>77440</v>
      </c>
      <c r="S503" t="s">
        <v>2263</v>
      </c>
      <c r="T503" t="s">
        <v>2266</v>
      </c>
      <c r="U503" s="1">
        <f t="shared" si="38"/>
        <v>45711</v>
      </c>
      <c r="V503">
        <f t="shared" si="39"/>
        <v>11616</v>
      </c>
    </row>
    <row r="504" spans="1:22" x14ac:dyDescent="0.3">
      <c r="A504" t="s">
        <v>522</v>
      </c>
      <c r="B504">
        <v>2025</v>
      </c>
      <c r="C504" s="1">
        <v>45711</v>
      </c>
      <c r="D504" t="s">
        <v>828</v>
      </c>
      <c r="E504" t="s">
        <v>1215</v>
      </c>
      <c r="F504" t="s">
        <v>1869</v>
      </c>
      <c r="G504" t="s">
        <v>2167</v>
      </c>
      <c r="H504" t="s">
        <v>2195</v>
      </c>
      <c r="I504" t="s">
        <v>2206</v>
      </c>
      <c r="J504" t="s">
        <v>2210</v>
      </c>
      <c r="K504" t="s">
        <v>2221</v>
      </c>
      <c r="L504" t="s">
        <v>2246</v>
      </c>
      <c r="M504" t="s">
        <v>2253</v>
      </c>
      <c r="N504">
        <v>1</v>
      </c>
      <c r="O504">
        <f t="shared" si="35"/>
        <v>77440</v>
      </c>
      <c r="P504">
        <f t="shared" si="36"/>
        <v>77440</v>
      </c>
      <c r="Q504">
        <v>10</v>
      </c>
      <c r="R504">
        <f t="shared" si="37"/>
        <v>69696</v>
      </c>
      <c r="S504" t="s">
        <v>2260</v>
      </c>
      <c r="T504" t="s">
        <v>2264</v>
      </c>
      <c r="U504" s="1" t="str">
        <f t="shared" si="38"/>
        <v>Not Delivered</v>
      </c>
      <c r="V504">
        <f t="shared" si="39"/>
        <v>11616</v>
      </c>
    </row>
    <row r="505" spans="1:22" x14ac:dyDescent="0.3">
      <c r="A505" t="s">
        <v>523</v>
      </c>
      <c r="B505">
        <v>2025</v>
      </c>
      <c r="C505" s="1">
        <v>45777</v>
      </c>
      <c r="D505" t="s">
        <v>821</v>
      </c>
      <c r="E505" t="s">
        <v>1216</v>
      </c>
      <c r="F505" t="s">
        <v>1870</v>
      </c>
      <c r="G505" t="s">
        <v>2167</v>
      </c>
      <c r="H505" t="s">
        <v>2192</v>
      </c>
      <c r="I505" t="s">
        <v>2207</v>
      </c>
      <c r="J505" t="s">
        <v>2213</v>
      </c>
      <c r="K505" t="s">
        <v>2228</v>
      </c>
      <c r="L505" t="s">
        <v>2243</v>
      </c>
      <c r="M505" t="s">
        <v>2251</v>
      </c>
      <c r="N505">
        <v>3</v>
      </c>
      <c r="O505">
        <f t="shared" si="35"/>
        <v>77440</v>
      </c>
      <c r="P505">
        <f t="shared" si="36"/>
        <v>232320</v>
      </c>
      <c r="Q505">
        <v>0</v>
      </c>
      <c r="R505">
        <f t="shared" si="37"/>
        <v>232320</v>
      </c>
      <c r="S505" t="s">
        <v>2261</v>
      </c>
      <c r="T505" t="s">
        <v>2266</v>
      </c>
      <c r="U505" s="1">
        <f t="shared" si="38"/>
        <v>45784</v>
      </c>
      <c r="V505">
        <f t="shared" si="39"/>
        <v>34848</v>
      </c>
    </row>
    <row r="506" spans="1:22" x14ac:dyDescent="0.3">
      <c r="A506" t="s">
        <v>524</v>
      </c>
      <c r="B506">
        <v>2024</v>
      </c>
      <c r="C506" s="1">
        <v>45325</v>
      </c>
      <c r="D506" t="s">
        <v>820</v>
      </c>
      <c r="E506" t="s">
        <v>1217</v>
      </c>
      <c r="F506" t="s">
        <v>1871</v>
      </c>
      <c r="G506" t="s">
        <v>2167</v>
      </c>
      <c r="H506" t="s">
        <v>2170</v>
      </c>
      <c r="I506" t="s">
        <v>2201</v>
      </c>
      <c r="J506" t="s">
        <v>2211</v>
      </c>
      <c r="K506" t="s">
        <v>2230</v>
      </c>
      <c r="L506" t="s">
        <v>2247</v>
      </c>
      <c r="M506" t="s">
        <v>2255</v>
      </c>
      <c r="N506">
        <v>3</v>
      </c>
      <c r="O506">
        <f t="shared" si="35"/>
        <v>77440</v>
      </c>
      <c r="P506">
        <f t="shared" si="36"/>
        <v>232320</v>
      </c>
      <c r="Q506">
        <v>0</v>
      </c>
      <c r="R506">
        <f t="shared" si="37"/>
        <v>232320</v>
      </c>
      <c r="S506" t="s">
        <v>2261</v>
      </c>
      <c r="T506" t="s">
        <v>2265</v>
      </c>
      <c r="U506" s="1" t="str">
        <f t="shared" si="38"/>
        <v>Not Delivered</v>
      </c>
      <c r="V506">
        <f t="shared" si="39"/>
        <v>34848</v>
      </c>
    </row>
    <row r="507" spans="1:22" x14ac:dyDescent="0.3">
      <c r="A507" t="s">
        <v>525</v>
      </c>
      <c r="B507">
        <v>2025</v>
      </c>
      <c r="C507" s="1">
        <v>45791</v>
      </c>
      <c r="D507" t="s">
        <v>826</v>
      </c>
      <c r="E507" t="s">
        <v>1218</v>
      </c>
      <c r="F507" t="s">
        <v>1872</v>
      </c>
      <c r="G507" t="s">
        <v>2167</v>
      </c>
      <c r="H507" t="s">
        <v>2190</v>
      </c>
      <c r="I507" t="s">
        <v>2208</v>
      </c>
      <c r="J507" t="s">
        <v>2210</v>
      </c>
      <c r="K507" t="s">
        <v>2226</v>
      </c>
      <c r="L507" t="s">
        <v>2244</v>
      </c>
      <c r="M507" t="s">
        <v>2259</v>
      </c>
      <c r="N507">
        <v>1</v>
      </c>
      <c r="O507">
        <f t="shared" si="35"/>
        <v>77440</v>
      </c>
      <c r="P507">
        <f t="shared" si="36"/>
        <v>77440</v>
      </c>
      <c r="Q507">
        <v>5</v>
      </c>
      <c r="R507">
        <f t="shared" si="37"/>
        <v>73568</v>
      </c>
      <c r="S507" t="s">
        <v>2263</v>
      </c>
      <c r="T507" t="s">
        <v>2265</v>
      </c>
      <c r="U507" s="1" t="str">
        <f t="shared" si="38"/>
        <v>Not Delivered</v>
      </c>
      <c r="V507">
        <f t="shared" si="39"/>
        <v>11616</v>
      </c>
    </row>
    <row r="508" spans="1:22" x14ac:dyDescent="0.3">
      <c r="A508" t="s">
        <v>526</v>
      </c>
      <c r="B508">
        <v>2024</v>
      </c>
      <c r="C508" s="1">
        <v>45445</v>
      </c>
      <c r="D508" t="s">
        <v>823</v>
      </c>
      <c r="E508" t="s">
        <v>1002</v>
      </c>
      <c r="F508" t="s">
        <v>1873</v>
      </c>
      <c r="G508" t="s">
        <v>2167</v>
      </c>
      <c r="H508" t="s">
        <v>2186</v>
      </c>
      <c r="I508" t="s">
        <v>2201</v>
      </c>
      <c r="J508" t="s">
        <v>2212</v>
      </c>
      <c r="K508" t="s">
        <v>2219</v>
      </c>
      <c r="L508" t="s">
        <v>2243</v>
      </c>
      <c r="M508" t="s">
        <v>2255</v>
      </c>
      <c r="N508">
        <v>3</v>
      </c>
      <c r="O508">
        <f t="shared" si="35"/>
        <v>77440</v>
      </c>
      <c r="P508">
        <f t="shared" si="36"/>
        <v>232320</v>
      </c>
      <c r="Q508">
        <v>10</v>
      </c>
      <c r="R508">
        <f t="shared" si="37"/>
        <v>209088</v>
      </c>
      <c r="S508" t="s">
        <v>2263</v>
      </c>
      <c r="T508" t="s">
        <v>2265</v>
      </c>
      <c r="U508" s="1" t="str">
        <f t="shared" si="38"/>
        <v>Not Delivered</v>
      </c>
      <c r="V508">
        <f t="shared" si="39"/>
        <v>34848</v>
      </c>
    </row>
    <row r="509" spans="1:22" x14ac:dyDescent="0.3">
      <c r="A509" t="s">
        <v>527</v>
      </c>
      <c r="B509">
        <v>2025</v>
      </c>
      <c r="C509" s="1">
        <v>45746</v>
      </c>
      <c r="D509" t="s">
        <v>826</v>
      </c>
      <c r="E509" t="s">
        <v>1204</v>
      </c>
      <c r="F509" t="s">
        <v>1874</v>
      </c>
      <c r="G509" t="s">
        <v>2167</v>
      </c>
      <c r="H509" t="s">
        <v>2190</v>
      </c>
      <c r="I509" t="s">
        <v>2208</v>
      </c>
      <c r="J509" t="s">
        <v>2210</v>
      </c>
      <c r="K509" t="s">
        <v>2226</v>
      </c>
      <c r="L509" t="s">
        <v>2244</v>
      </c>
      <c r="M509" t="s">
        <v>2253</v>
      </c>
      <c r="N509">
        <v>5</v>
      </c>
      <c r="O509">
        <f t="shared" si="35"/>
        <v>77440</v>
      </c>
      <c r="P509">
        <f t="shared" si="36"/>
        <v>387200</v>
      </c>
      <c r="Q509">
        <v>0</v>
      </c>
      <c r="R509">
        <f t="shared" si="37"/>
        <v>387200</v>
      </c>
      <c r="S509" t="s">
        <v>2261</v>
      </c>
      <c r="T509" t="s">
        <v>2264</v>
      </c>
      <c r="U509" s="1" t="str">
        <f t="shared" si="38"/>
        <v>Not Delivered</v>
      </c>
      <c r="V509">
        <f t="shared" si="39"/>
        <v>58080</v>
      </c>
    </row>
    <row r="510" spans="1:22" x14ac:dyDescent="0.3">
      <c r="A510" t="s">
        <v>528</v>
      </c>
      <c r="B510">
        <v>2025</v>
      </c>
      <c r="C510" s="1">
        <v>45664</v>
      </c>
      <c r="D510" t="s">
        <v>820</v>
      </c>
      <c r="E510" t="s">
        <v>874</v>
      </c>
      <c r="F510" t="s">
        <v>1875</v>
      </c>
      <c r="G510" t="s">
        <v>2167</v>
      </c>
      <c r="H510" t="s">
        <v>2192</v>
      </c>
      <c r="I510" t="s">
        <v>2207</v>
      </c>
      <c r="J510" t="s">
        <v>2212</v>
      </c>
      <c r="K510" t="s">
        <v>2214</v>
      </c>
      <c r="L510" t="s">
        <v>2242</v>
      </c>
      <c r="M510" t="s">
        <v>2259</v>
      </c>
      <c r="N510">
        <v>1</v>
      </c>
      <c r="O510">
        <f t="shared" si="35"/>
        <v>77440</v>
      </c>
      <c r="P510">
        <f t="shared" si="36"/>
        <v>77440</v>
      </c>
      <c r="Q510">
        <v>20</v>
      </c>
      <c r="R510">
        <f t="shared" si="37"/>
        <v>61952</v>
      </c>
      <c r="S510" t="s">
        <v>2260</v>
      </c>
      <c r="T510" t="s">
        <v>2266</v>
      </c>
      <c r="U510" s="1">
        <f t="shared" si="38"/>
        <v>45671</v>
      </c>
      <c r="V510">
        <f t="shared" si="39"/>
        <v>11616</v>
      </c>
    </row>
    <row r="511" spans="1:22" x14ac:dyDescent="0.3">
      <c r="A511" t="s">
        <v>529</v>
      </c>
      <c r="B511">
        <v>2024</v>
      </c>
      <c r="C511" s="1">
        <v>45494</v>
      </c>
      <c r="D511" t="s">
        <v>823</v>
      </c>
      <c r="E511" t="s">
        <v>1219</v>
      </c>
      <c r="F511" t="s">
        <v>1876</v>
      </c>
      <c r="G511" t="s">
        <v>2167</v>
      </c>
      <c r="H511" t="s">
        <v>2170</v>
      </c>
      <c r="I511" t="s">
        <v>2201</v>
      </c>
      <c r="J511" t="s">
        <v>2213</v>
      </c>
      <c r="K511" t="s">
        <v>2236</v>
      </c>
      <c r="L511" t="s">
        <v>2242</v>
      </c>
      <c r="M511" t="s">
        <v>2256</v>
      </c>
      <c r="N511">
        <v>2</v>
      </c>
      <c r="O511">
        <f t="shared" si="35"/>
        <v>77440</v>
      </c>
      <c r="P511">
        <f t="shared" si="36"/>
        <v>154880</v>
      </c>
      <c r="Q511">
        <v>10</v>
      </c>
      <c r="R511">
        <f t="shared" si="37"/>
        <v>139392</v>
      </c>
      <c r="S511" t="s">
        <v>2261</v>
      </c>
      <c r="T511" t="s">
        <v>2264</v>
      </c>
      <c r="U511" s="1" t="str">
        <f t="shared" si="38"/>
        <v>Not Delivered</v>
      </c>
      <c r="V511">
        <f t="shared" si="39"/>
        <v>23232</v>
      </c>
    </row>
    <row r="512" spans="1:22" x14ac:dyDescent="0.3">
      <c r="A512" t="s">
        <v>530</v>
      </c>
      <c r="B512">
        <v>2025</v>
      </c>
      <c r="C512" s="1">
        <v>45793</v>
      </c>
      <c r="D512" t="s">
        <v>821</v>
      </c>
      <c r="E512" t="s">
        <v>939</v>
      </c>
      <c r="F512" t="s">
        <v>1877</v>
      </c>
      <c r="G512" t="s">
        <v>2167</v>
      </c>
      <c r="H512" t="s">
        <v>2168</v>
      </c>
      <c r="I512" t="s">
        <v>2200</v>
      </c>
      <c r="J512" t="s">
        <v>2210</v>
      </c>
      <c r="K512" t="s">
        <v>2235</v>
      </c>
      <c r="L512" t="s">
        <v>2247</v>
      </c>
      <c r="M512" t="s">
        <v>2257</v>
      </c>
      <c r="N512">
        <v>1</v>
      </c>
      <c r="O512">
        <f t="shared" si="35"/>
        <v>77440</v>
      </c>
      <c r="P512">
        <f t="shared" si="36"/>
        <v>77440</v>
      </c>
      <c r="Q512">
        <v>20</v>
      </c>
      <c r="R512">
        <f t="shared" si="37"/>
        <v>61952</v>
      </c>
      <c r="S512" t="s">
        <v>2262</v>
      </c>
      <c r="T512" t="s">
        <v>2265</v>
      </c>
      <c r="U512" s="1" t="str">
        <f t="shared" si="38"/>
        <v>Not Delivered</v>
      </c>
      <c r="V512">
        <f t="shared" si="39"/>
        <v>11616</v>
      </c>
    </row>
    <row r="513" spans="1:22" x14ac:dyDescent="0.3">
      <c r="A513" t="s">
        <v>531</v>
      </c>
      <c r="B513">
        <v>2024</v>
      </c>
      <c r="C513" s="1">
        <v>45390</v>
      </c>
      <c r="D513" t="s">
        <v>821</v>
      </c>
      <c r="E513" t="s">
        <v>1220</v>
      </c>
      <c r="F513" t="s">
        <v>1878</v>
      </c>
      <c r="G513" t="s">
        <v>2167</v>
      </c>
      <c r="H513" t="s">
        <v>2191</v>
      </c>
      <c r="I513" t="s">
        <v>2203</v>
      </c>
      <c r="J513" t="s">
        <v>2211</v>
      </c>
      <c r="K513" t="s">
        <v>2234</v>
      </c>
      <c r="L513" t="s">
        <v>2244</v>
      </c>
      <c r="M513" t="s">
        <v>2259</v>
      </c>
      <c r="N513">
        <v>5</v>
      </c>
      <c r="O513">
        <f t="shared" si="35"/>
        <v>77440</v>
      </c>
      <c r="P513">
        <f t="shared" si="36"/>
        <v>387200</v>
      </c>
      <c r="Q513">
        <v>15</v>
      </c>
      <c r="R513">
        <f t="shared" si="37"/>
        <v>329120</v>
      </c>
      <c r="S513" t="s">
        <v>2262</v>
      </c>
      <c r="T513" t="s">
        <v>2265</v>
      </c>
      <c r="U513" s="1" t="str">
        <f t="shared" si="38"/>
        <v>Not Delivered</v>
      </c>
      <c r="V513">
        <f t="shared" si="39"/>
        <v>58080</v>
      </c>
    </row>
    <row r="514" spans="1:22" x14ac:dyDescent="0.3">
      <c r="A514" t="s">
        <v>532</v>
      </c>
      <c r="B514">
        <v>2024</v>
      </c>
      <c r="C514" s="1">
        <v>45389</v>
      </c>
      <c r="D514" t="s">
        <v>827</v>
      </c>
      <c r="E514" t="s">
        <v>895</v>
      </c>
      <c r="F514" t="s">
        <v>1879</v>
      </c>
      <c r="G514" t="s">
        <v>2167</v>
      </c>
      <c r="H514" t="s">
        <v>2173</v>
      </c>
      <c r="I514" t="s">
        <v>2204</v>
      </c>
      <c r="J514" t="s">
        <v>2211</v>
      </c>
      <c r="K514" t="s">
        <v>2241</v>
      </c>
      <c r="L514" t="s">
        <v>2247</v>
      </c>
      <c r="M514" t="s">
        <v>2250</v>
      </c>
      <c r="N514">
        <v>5</v>
      </c>
      <c r="O514">
        <f t="shared" si="35"/>
        <v>77440</v>
      </c>
      <c r="P514">
        <f t="shared" si="36"/>
        <v>387200</v>
      </c>
      <c r="Q514">
        <v>10</v>
      </c>
      <c r="R514">
        <f t="shared" si="37"/>
        <v>348480</v>
      </c>
      <c r="S514" t="s">
        <v>2263</v>
      </c>
      <c r="T514" t="s">
        <v>2265</v>
      </c>
      <c r="U514" s="1" t="str">
        <f t="shared" si="38"/>
        <v>Not Delivered</v>
      </c>
      <c r="V514">
        <f t="shared" si="39"/>
        <v>58080</v>
      </c>
    </row>
    <row r="515" spans="1:22" x14ac:dyDescent="0.3">
      <c r="A515" t="s">
        <v>533</v>
      </c>
      <c r="B515">
        <v>2025</v>
      </c>
      <c r="C515" s="1">
        <v>45802</v>
      </c>
      <c r="D515" t="s">
        <v>823</v>
      </c>
      <c r="E515" t="s">
        <v>1221</v>
      </c>
      <c r="F515" t="s">
        <v>1880</v>
      </c>
      <c r="G515" t="s">
        <v>2167</v>
      </c>
      <c r="H515" t="s">
        <v>2189</v>
      </c>
      <c r="I515" t="s">
        <v>2202</v>
      </c>
      <c r="J515" t="s">
        <v>2210</v>
      </c>
      <c r="K515" t="s">
        <v>2215</v>
      </c>
      <c r="L515" t="s">
        <v>2243</v>
      </c>
      <c r="M515" t="s">
        <v>2249</v>
      </c>
      <c r="N515">
        <v>3</v>
      </c>
      <c r="O515">
        <f t="shared" ref="O515:O578" si="40">ROUNDUP((77431.41),-1)</f>
        <v>77440</v>
      </c>
      <c r="P515">
        <f t="shared" ref="P515:P578" si="41">O515*N515</f>
        <v>232320</v>
      </c>
      <c r="Q515">
        <v>15</v>
      </c>
      <c r="R515">
        <f t="shared" ref="R515:R578" si="42">P515*(1-Q515/100)</f>
        <v>197472</v>
      </c>
      <c r="S515" t="s">
        <v>2263</v>
      </c>
      <c r="T515" t="s">
        <v>2266</v>
      </c>
      <c r="U515" s="1">
        <f t="shared" ref="U515:U578" si="43">IF(T515="Delivered", C515 + 7, "Not Delivered")</f>
        <v>45809</v>
      </c>
      <c r="V515">
        <f t="shared" ref="V515:V578" si="44">P515*15%</f>
        <v>34848</v>
      </c>
    </row>
    <row r="516" spans="1:22" x14ac:dyDescent="0.3">
      <c r="A516" t="s">
        <v>534</v>
      </c>
      <c r="B516">
        <v>2024</v>
      </c>
      <c r="C516" s="1">
        <v>45520</v>
      </c>
      <c r="D516" t="s">
        <v>822</v>
      </c>
      <c r="E516" t="s">
        <v>1039</v>
      </c>
      <c r="F516" t="s">
        <v>1881</v>
      </c>
      <c r="G516" t="s">
        <v>2167</v>
      </c>
      <c r="H516" t="s">
        <v>2179</v>
      </c>
      <c r="I516" t="s">
        <v>2206</v>
      </c>
      <c r="J516" t="s">
        <v>2211</v>
      </c>
      <c r="K516" t="s">
        <v>2226</v>
      </c>
      <c r="L516" t="s">
        <v>2244</v>
      </c>
      <c r="M516" t="s">
        <v>2259</v>
      </c>
      <c r="N516">
        <v>2</v>
      </c>
      <c r="O516">
        <f t="shared" si="40"/>
        <v>77440</v>
      </c>
      <c r="P516">
        <f t="shared" si="41"/>
        <v>154880</v>
      </c>
      <c r="Q516">
        <v>0</v>
      </c>
      <c r="R516">
        <f t="shared" si="42"/>
        <v>154880</v>
      </c>
      <c r="S516" t="s">
        <v>2261</v>
      </c>
      <c r="T516" t="s">
        <v>2264</v>
      </c>
      <c r="U516" s="1" t="str">
        <f t="shared" si="43"/>
        <v>Not Delivered</v>
      </c>
      <c r="V516">
        <f t="shared" si="44"/>
        <v>23232</v>
      </c>
    </row>
    <row r="517" spans="1:22" x14ac:dyDescent="0.3">
      <c r="A517" t="s">
        <v>535</v>
      </c>
      <c r="B517">
        <v>2024</v>
      </c>
      <c r="C517" s="1">
        <v>45634</v>
      </c>
      <c r="D517" t="s">
        <v>826</v>
      </c>
      <c r="E517" t="s">
        <v>1222</v>
      </c>
      <c r="F517" t="s">
        <v>1882</v>
      </c>
      <c r="G517" t="s">
        <v>2167</v>
      </c>
      <c r="H517" t="s">
        <v>2169</v>
      </c>
      <c r="I517" t="s">
        <v>2201</v>
      </c>
      <c r="J517" t="s">
        <v>2213</v>
      </c>
      <c r="K517" t="s">
        <v>2220</v>
      </c>
      <c r="L517" t="s">
        <v>2245</v>
      </c>
      <c r="M517" t="s">
        <v>2258</v>
      </c>
      <c r="N517">
        <v>1</v>
      </c>
      <c r="O517">
        <f t="shared" si="40"/>
        <v>77440</v>
      </c>
      <c r="P517">
        <f t="shared" si="41"/>
        <v>77440</v>
      </c>
      <c r="Q517">
        <v>20</v>
      </c>
      <c r="R517">
        <f t="shared" si="42"/>
        <v>61952</v>
      </c>
      <c r="S517" t="s">
        <v>2260</v>
      </c>
      <c r="T517" t="s">
        <v>2264</v>
      </c>
      <c r="U517" s="1" t="str">
        <f t="shared" si="43"/>
        <v>Not Delivered</v>
      </c>
      <c r="V517">
        <f t="shared" si="44"/>
        <v>11616</v>
      </c>
    </row>
    <row r="518" spans="1:22" x14ac:dyDescent="0.3">
      <c r="A518" t="s">
        <v>536</v>
      </c>
      <c r="B518">
        <v>2024</v>
      </c>
      <c r="C518" s="1">
        <v>45575</v>
      </c>
      <c r="D518" t="s">
        <v>821</v>
      </c>
      <c r="E518" t="s">
        <v>888</v>
      </c>
      <c r="F518" t="s">
        <v>1883</v>
      </c>
      <c r="G518" t="s">
        <v>2167</v>
      </c>
      <c r="H518" t="s">
        <v>2192</v>
      </c>
      <c r="I518" t="s">
        <v>2207</v>
      </c>
      <c r="J518" t="s">
        <v>2212</v>
      </c>
      <c r="K518" t="s">
        <v>2230</v>
      </c>
      <c r="L518" t="s">
        <v>2247</v>
      </c>
      <c r="M518" t="s">
        <v>2250</v>
      </c>
      <c r="N518">
        <v>5</v>
      </c>
      <c r="O518">
        <f t="shared" si="40"/>
        <v>77440</v>
      </c>
      <c r="P518">
        <f t="shared" si="41"/>
        <v>387200</v>
      </c>
      <c r="Q518">
        <v>10</v>
      </c>
      <c r="R518">
        <f t="shared" si="42"/>
        <v>348480</v>
      </c>
      <c r="S518" t="s">
        <v>2263</v>
      </c>
      <c r="T518" t="s">
        <v>2265</v>
      </c>
      <c r="U518" s="1" t="str">
        <f t="shared" si="43"/>
        <v>Not Delivered</v>
      </c>
      <c r="V518">
        <f t="shared" si="44"/>
        <v>58080</v>
      </c>
    </row>
    <row r="519" spans="1:22" x14ac:dyDescent="0.3">
      <c r="A519" t="s">
        <v>537</v>
      </c>
      <c r="B519">
        <v>2025</v>
      </c>
      <c r="C519" s="1">
        <v>45770</v>
      </c>
      <c r="D519" t="s">
        <v>827</v>
      </c>
      <c r="E519" t="s">
        <v>1223</v>
      </c>
      <c r="F519" t="s">
        <v>1884</v>
      </c>
      <c r="G519" t="s">
        <v>2167</v>
      </c>
      <c r="H519" t="s">
        <v>2168</v>
      </c>
      <c r="I519" t="s">
        <v>2200</v>
      </c>
      <c r="J519" t="s">
        <v>2212</v>
      </c>
      <c r="K519" t="s">
        <v>2225</v>
      </c>
      <c r="L519" t="s">
        <v>2243</v>
      </c>
      <c r="M519" t="s">
        <v>2257</v>
      </c>
      <c r="N519">
        <v>3</v>
      </c>
      <c r="O519">
        <f t="shared" si="40"/>
        <v>77440</v>
      </c>
      <c r="P519">
        <f t="shared" si="41"/>
        <v>232320</v>
      </c>
      <c r="Q519">
        <v>15</v>
      </c>
      <c r="R519">
        <f t="shared" si="42"/>
        <v>197472</v>
      </c>
      <c r="S519" t="s">
        <v>2261</v>
      </c>
      <c r="T519" t="s">
        <v>2264</v>
      </c>
      <c r="U519" s="1" t="str">
        <f t="shared" si="43"/>
        <v>Not Delivered</v>
      </c>
      <c r="V519">
        <f t="shared" si="44"/>
        <v>34848</v>
      </c>
    </row>
    <row r="520" spans="1:22" x14ac:dyDescent="0.3">
      <c r="A520" t="s">
        <v>538</v>
      </c>
      <c r="B520">
        <v>2024</v>
      </c>
      <c r="C520" s="1">
        <v>45354</v>
      </c>
      <c r="D520" t="s">
        <v>824</v>
      </c>
      <c r="E520" t="s">
        <v>898</v>
      </c>
      <c r="F520" t="s">
        <v>1885</v>
      </c>
      <c r="G520" t="s">
        <v>2167</v>
      </c>
      <c r="H520" t="s">
        <v>2198</v>
      </c>
      <c r="I520" t="s">
        <v>2207</v>
      </c>
      <c r="J520" t="s">
        <v>2210</v>
      </c>
      <c r="K520" t="s">
        <v>2222</v>
      </c>
      <c r="L520" t="s">
        <v>2247</v>
      </c>
      <c r="M520" t="s">
        <v>2255</v>
      </c>
      <c r="N520">
        <v>5</v>
      </c>
      <c r="O520">
        <f t="shared" si="40"/>
        <v>77440</v>
      </c>
      <c r="P520">
        <f t="shared" si="41"/>
        <v>387200</v>
      </c>
      <c r="Q520">
        <v>20</v>
      </c>
      <c r="R520">
        <f t="shared" si="42"/>
        <v>309760</v>
      </c>
      <c r="S520" t="s">
        <v>2261</v>
      </c>
      <c r="T520" t="s">
        <v>2266</v>
      </c>
      <c r="U520" s="1">
        <f t="shared" si="43"/>
        <v>45361</v>
      </c>
      <c r="V520">
        <f t="shared" si="44"/>
        <v>58080</v>
      </c>
    </row>
    <row r="521" spans="1:22" x14ac:dyDescent="0.3">
      <c r="A521" t="s">
        <v>539</v>
      </c>
      <c r="B521">
        <v>2024</v>
      </c>
      <c r="C521" s="1">
        <v>45541</v>
      </c>
      <c r="D521" t="s">
        <v>825</v>
      </c>
      <c r="E521" t="s">
        <v>1224</v>
      </c>
      <c r="F521" t="s">
        <v>1886</v>
      </c>
      <c r="G521" t="s">
        <v>2167</v>
      </c>
      <c r="H521" t="s">
        <v>2195</v>
      </c>
      <c r="I521" t="s">
        <v>2206</v>
      </c>
      <c r="J521" t="s">
        <v>2213</v>
      </c>
      <c r="K521" t="s">
        <v>2239</v>
      </c>
      <c r="L521" t="s">
        <v>2245</v>
      </c>
      <c r="M521" t="s">
        <v>2259</v>
      </c>
      <c r="N521">
        <v>2</v>
      </c>
      <c r="O521">
        <f t="shared" si="40"/>
        <v>77440</v>
      </c>
      <c r="P521">
        <f t="shared" si="41"/>
        <v>154880</v>
      </c>
      <c r="Q521">
        <v>15</v>
      </c>
      <c r="R521">
        <f t="shared" si="42"/>
        <v>131648</v>
      </c>
      <c r="S521" t="s">
        <v>2262</v>
      </c>
      <c r="T521" t="s">
        <v>2265</v>
      </c>
      <c r="U521" s="1" t="str">
        <f t="shared" si="43"/>
        <v>Not Delivered</v>
      </c>
      <c r="V521">
        <f t="shared" si="44"/>
        <v>23232</v>
      </c>
    </row>
    <row r="522" spans="1:22" x14ac:dyDescent="0.3">
      <c r="A522" t="s">
        <v>540</v>
      </c>
      <c r="B522">
        <v>2024</v>
      </c>
      <c r="C522" s="1">
        <v>45598</v>
      </c>
      <c r="D522" t="s">
        <v>825</v>
      </c>
      <c r="E522" t="s">
        <v>1209</v>
      </c>
      <c r="F522" t="s">
        <v>1887</v>
      </c>
      <c r="G522" t="s">
        <v>2167</v>
      </c>
      <c r="H522" t="s">
        <v>2181</v>
      </c>
      <c r="I522" t="s">
        <v>2209</v>
      </c>
      <c r="J522" t="s">
        <v>2211</v>
      </c>
      <c r="K522" t="s">
        <v>2227</v>
      </c>
      <c r="L522" t="s">
        <v>2247</v>
      </c>
      <c r="M522" t="s">
        <v>2257</v>
      </c>
      <c r="N522">
        <v>3</v>
      </c>
      <c r="O522">
        <f t="shared" si="40"/>
        <v>77440</v>
      </c>
      <c r="P522">
        <f t="shared" si="41"/>
        <v>232320</v>
      </c>
      <c r="Q522">
        <v>10</v>
      </c>
      <c r="R522">
        <f t="shared" si="42"/>
        <v>209088</v>
      </c>
      <c r="S522" t="s">
        <v>2261</v>
      </c>
      <c r="T522" t="s">
        <v>2265</v>
      </c>
      <c r="U522" s="1" t="str">
        <f t="shared" si="43"/>
        <v>Not Delivered</v>
      </c>
      <c r="V522">
        <f t="shared" si="44"/>
        <v>34848</v>
      </c>
    </row>
    <row r="523" spans="1:22" x14ac:dyDescent="0.3">
      <c r="A523" t="s">
        <v>541</v>
      </c>
      <c r="B523">
        <v>2025</v>
      </c>
      <c r="C523" s="1">
        <v>45766</v>
      </c>
      <c r="D523" t="s">
        <v>822</v>
      </c>
      <c r="E523" t="s">
        <v>1068</v>
      </c>
      <c r="F523" t="s">
        <v>1888</v>
      </c>
      <c r="G523" t="s">
        <v>2167</v>
      </c>
      <c r="H523" t="s">
        <v>2192</v>
      </c>
      <c r="I523" t="s">
        <v>2207</v>
      </c>
      <c r="J523" t="s">
        <v>2210</v>
      </c>
      <c r="K523" t="s">
        <v>2219</v>
      </c>
      <c r="L523" t="s">
        <v>2243</v>
      </c>
      <c r="M523" t="s">
        <v>2259</v>
      </c>
      <c r="N523">
        <v>1</v>
      </c>
      <c r="O523">
        <f t="shared" si="40"/>
        <v>77440</v>
      </c>
      <c r="P523">
        <f t="shared" si="41"/>
        <v>77440</v>
      </c>
      <c r="Q523">
        <v>0</v>
      </c>
      <c r="R523">
        <f t="shared" si="42"/>
        <v>77440</v>
      </c>
      <c r="S523" t="s">
        <v>2260</v>
      </c>
      <c r="T523" t="s">
        <v>2264</v>
      </c>
      <c r="U523" s="1" t="str">
        <f t="shared" si="43"/>
        <v>Not Delivered</v>
      </c>
      <c r="V523">
        <f t="shared" si="44"/>
        <v>11616</v>
      </c>
    </row>
    <row r="524" spans="1:22" x14ac:dyDescent="0.3">
      <c r="A524" t="s">
        <v>542</v>
      </c>
      <c r="B524">
        <v>2024</v>
      </c>
      <c r="C524" s="1">
        <v>45610</v>
      </c>
      <c r="D524" t="s">
        <v>829</v>
      </c>
      <c r="E524" t="s">
        <v>1225</v>
      </c>
      <c r="F524" t="s">
        <v>1889</v>
      </c>
      <c r="G524" t="s">
        <v>2167</v>
      </c>
      <c r="H524" t="s">
        <v>2180</v>
      </c>
      <c r="I524" t="s">
        <v>2208</v>
      </c>
      <c r="J524" t="s">
        <v>2210</v>
      </c>
      <c r="K524" t="s">
        <v>2231</v>
      </c>
      <c r="L524" t="s">
        <v>2244</v>
      </c>
      <c r="M524" t="s">
        <v>2254</v>
      </c>
      <c r="N524">
        <v>2</v>
      </c>
      <c r="O524">
        <f t="shared" si="40"/>
        <v>77440</v>
      </c>
      <c r="P524">
        <f t="shared" si="41"/>
        <v>154880</v>
      </c>
      <c r="Q524">
        <v>0</v>
      </c>
      <c r="R524">
        <f t="shared" si="42"/>
        <v>154880</v>
      </c>
      <c r="S524" t="s">
        <v>2262</v>
      </c>
      <c r="T524" t="s">
        <v>2264</v>
      </c>
      <c r="U524" s="1" t="str">
        <f t="shared" si="43"/>
        <v>Not Delivered</v>
      </c>
      <c r="V524">
        <f t="shared" si="44"/>
        <v>23232</v>
      </c>
    </row>
    <row r="525" spans="1:22" x14ac:dyDescent="0.3">
      <c r="A525" t="s">
        <v>543</v>
      </c>
      <c r="B525">
        <v>2025</v>
      </c>
      <c r="C525" s="1">
        <v>45783</v>
      </c>
      <c r="D525" t="s">
        <v>822</v>
      </c>
      <c r="E525" t="s">
        <v>1018</v>
      </c>
      <c r="F525" t="s">
        <v>1890</v>
      </c>
      <c r="G525" t="s">
        <v>2167</v>
      </c>
      <c r="H525" t="s">
        <v>2178</v>
      </c>
      <c r="I525" t="s">
        <v>2207</v>
      </c>
      <c r="J525" t="s">
        <v>2212</v>
      </c>
      <c r="K525" t="s">
        <v>2218</v>
      </c>
      <c r="L525" t="s">
        <v>2242</v>
      </c>
      <c r="M525" t="s">
        <v>2252</v>
      </c>
      <c r="N525">
        <v>3</v>
      </c>
      <c r="O525">
        <f t="shared" si="40"/>
        <v>77440</v>
      </c>
      <c r="P525">
        <f t="shared" si="41"/>
        <v>232320</v>
      </c>
      <c r="Q525">
        <v>10</v>
      </c>
      <c r="R525">
        <f t="shared" si="42"/>
        <v>209088</v>
      </c>
      <c r="S525" t="s">
        <v>2261</v>
      </c>
      <c r="T525" t="s">
        <v>2265</v>
      </c>
      <c r="U525" s="1" t="str">
        <f t="shared" si="43"/>
        <v>Not Delivered</v>
      </c>
      <c r="V525">
        <f t="shared" si="44"/>
        <v>34848</v>
      </c>
    </row>
    <row r="526" spans="1:22" x14ac:dyDescent="0.3">
      <c r="A526" t="s">
        <v>544</v>
      </c>
      <c r="B526">
        <v>2025</v>
      </c>
      <c r="C526" s="1">
        <v>45846</v>
      </c>
      <c r="D526" t="s">
        <v>825</v>
      </c>
      <c r="E526" t="s">
        <v>996</v>
      </c>
      <c r="F526" t="s">
        <v>1891</v>
      </c>
      <c r="G526" t="s">
        <v>2167</v>
      </c>
      <c r="H526" t="s">
        <v>2192</v>
      </c>
      <c r="I526" t="s">
        <v>2207</v>
      </c>
      <c r="J526" t="s">
        <v>2213</v>
      </c>
      <c r="K526" t="s">
        <v>2240</v>
      </c>
      <c r="L526" t="s">
        <v>2246</v>
      </c>
      <c r="M526" t="s">
        <v>2250</v>
      </c>
      <c r="N526">
        <v>4</v>
      </c>
      <c r="O526">
        <f t="shared" si="40"/>
        <v>77440</v>
      </c>
      <c r="P526">
        <f t="shared" si="41"/>
        <v>309760</v>
      </c>
      <c r="Q526">
        <v>15</v>
      </c>
      <c r="R526">
        <f t="shared" si="42"/>
        <v>263296</v>
      </c>
      <c r="S526" t="s">
        <v>2261</v>
      </c>
      <c r="T526" t="s">
        <v>2266</v>
      </c>
      <c r="U526" s="1">
        <f t="shared" si="43"/>
        <v>45853</v>
      </c>
      <c r="V526">
        <f t="shared" si="44"/>
        <v>46464</v>
      </c>
    </row>
    <row r="527" spans="1:22" x14ac:dyDescent="0.3">
      <c r="A527" t="s">
        <v>545</v>
      </c>
      <c r="B527">
        <v>2025</v>
      </c>
      <c r="C527" s="1">
        <v>45772</v>
      </c>
      <c r="D527" t="s">
        <v>822</v>
      </c>
      <c r="E527" t="s">
        <v>1110</v>
      </c>
      <c r="F527" t="s">
        <v>1892</v>
      </c>
      <c r="G527" t="s">
        <v>2167</v>
      </c>
      <c r="H527" t="s">
        <v>2172</v>
      </c>
      <c r="I527" t="s">
        <v>2203</v>
      </c>
      <c r="J527" t="s">
        <v>2212</v>
      </c>
      <c r="K527" t="s">
        <v>2233</v>
      </c>
      <c r="L527" t="s">
        <v>2245</v>
      </c>
      <c r="M527" t="s">
        <v>2254</v>
      </c>
      <c r="N527">
        <v>4</v>
      </c>
      <c r="O527">
        <f t="shared" si="40"/>
        <v>77440</v>
      </c>
      <c r="P527">
        <f t="shared" si="41"/>
        <v>309760</v>
      </c>
      <c r="Q527">
        <v>10</v>
      </c>
      <c r="R527">
        <f t="shared" si="42"/>
        <v>278784</v>
      </c>
      <c r="S527" t="s">
        <v>2260</v>
      </c>
      <c r="T527" t="s">
        <v>2266</v>
      </c>
      <c r="U527" s="1">
        <f t="shared" si="43"/>
        <v>45779</v>
      </c>
      <c r="V527">
        <f t="shared" si="44"/>
        <v>46464</v>
      </c>
    </row>
    <row r="528" spans="1:22" x14ac:dyDescent="0.3">
      <c r="A528" t="s">
        <v>546</v>
      </c>
      <c r="B528">
        <v>2024</v>
      </c>
      <c r="C528" s="1">
        <v>45400</v>
      </c>
      <c r="D528" t="s">
        <v>827</v>
      </c>
      <c r="E528" t="s">
        <v>984</v>
      </c>
      <c r="F528" t="s">
        <v>1893</v>
      </c>
      <c r="G528" t="s">
        <v>2167</v>
      </c>
      <c r="H528" t="s">
        <v>2183</v>
      </c>
      <c r="I528" t="s">
        <v>2204</v>
      </c>
      <c r="J528" t="s">
        <v>2212</v>
      </c>
      <c r="K528" t="s">
        <v>2219</v>
      </c>
      <c r="L528" t="s">
        <v>2243</v>
      </c>
      <c r="M528" t="s">
        <v>2253</v>
      </c>
      <c r="N528">
        <v>2</v>
      </c>
      <c r="O528">
        <f t="shared" si="40"/>
        <v>77440</v>
      </c>
      <c r="P528">
        <f t="shared" si="41"/>
        <v>154880</v>
      </c>
      <c r="Q528">
        <v>20</v>
      </c>
      <c r="R528">
        <f t="shared" si="42"/>
        <v>123904</v>
      </c>
      <c r="S528" t="s">
        <v>2262</v>
      </c>
      <c r="T528" t="s">
        <v>2266</v>
      </c>
      <c r="U528" s="1">
        <f t="shared" si="43"/>
        <v>45407</v>
      </c>
      <c r="V528">
        <f t="shared" si="44"/>
        <v>23232</v>
      </c>
    </row>
    <row r="529" spans="1:22" x14ac:dyDescent="0.3">
      <c r="A529" t="s">
        <v>547</v>
      </c>
      <c r="B529">
        <v>2024</v>
      </c>
      <c r="C529" s="1">
        <v>45563</v>
      </c>
      <c r="D529" t="s">
        <v>828</v>
      </c>
      <c r="E529" t="s">
        <v>1226</v>
      </c>
      <c r="F529" t="s">
        <v>1894</v>
      </c>
      <c r="G529" t="s">
        <v>2167</v>
      </c>
      <c r="H529" t="s">
        <v>2192</v>
      </c>
      <c r="I529" t="s">
        <v>2207</v>
      </c>
      <c r="J529" t="s">
        <v>2210</v>
      </c>
      <c r="K529" t="s">
        <v>2228</v>
      </c>
      <c r="L529" t="s">
        <v>2243</v>
      </c>
      <c r="M529" t="s">
        <v>2249</v>
      </c>
      <c r="N529">
        <v>2</v>
      </c>
      <c r="O529">
        <f t="shared" si="40"/>
        <v>77440</v>
      </c>
      <c r="P529">
        <f t="shared" si="41"/>
        <v>154880</v>
      </c>
      <c r="Q529">
        <v>5</v>
      </c>
      <c r="R529">
        <f t="shared" si="42"/>
        <v>147136</v>
      </c>
      <c r="S529" t="s">
        <v>2261</v>
      </c>
      <c r="T529" t="s">
        <v>2264</v>
      </c>
      <c r="U529" s="1" t="str">
        <f t="shared" si="43"/>
        <v>Not Delivered</v>
      </c>
      <c r="V529">
        <f t="shared" si="44"/>
        <v>23232</v>
      </c>
    </row>
    <row r="530" spans="1:22" x14ac:dyDescent="0.3">
      <c r="A530" t="s">
        <v>548</v>
      </c>
      <c r="B530">
        <v>2025</v>
      </c>
      <c r="C530" s="1">
        <v>45724</v>
      </c>
      <c r="D530" t="s">
        <v>827</v>
      </c>
      <c r="E530" t="s">
        <v>1227</v>
      </c>
      <c r="F530" t="s">
        <v>1895</v>
      </c>
      <c r="G530" t="s">
        <v>2167</v>
      </c>
      <c r="H530" t="s">
        <v>2184</v>
      </c>
      <c r="I530" t="s">
        <v>2202</v>
      </c>
      <c r="J530" t="s">
        <v>2211</v>
      </c>
      <c r="K530" t="s">
        <v>2224</v>
      </c>
      <c r="L530" t="s">
        <v>2245</v>
      </c>
      <c r="M530" t="s">
        <v>2253</v>
      </c>
      <c r="N530">
        <v>4</v>
      </c>
      <c r="O530">
        <f t="shared" si="40"/>
        <v>77440</v>
      </c>
      <c r="P530">
        <f t="shared" si="41"/>
        <v>309760</v>
      </c>
      <c r="Q530">
        <v>0</v>
      </c>
      <c r="R530">
        <f t="shared" si="42"/>
        <v>309760</v>
      </c>
      <c r="S530" t="s">
        <v>2260</v>
      </c>
      <c r="T530" t="s">
        <v>2264</v>
      </c>
      <c r="U530" s="1" t="str">
        <f t="shared" si="43"/>
        <v>Not Delivered</v>
      </c>
      <c r="V530">
        <f t="shared" si="44"/>
        <v>46464</v>
      </c>
    </row>
    <row r="531" spans="1:22" x14ac:dyDescent="0.3">
      <c r="A531" t="s">
        <v>549</v>
      </c>
      <c r="B531">
        <v>2024</v>
      </c>
      <c r="C531" s="1">
        <v>45589</v>
      </c>
      <c r="D531" t="s">
        <v>824</v>
      </c>
      <c r="E531" t="s">
        <v>1228</v>
      </c>
      <c r="F531" t="s">
        <v>1896</v>
      </c>
      <c r="G531" t="s">
        <v>2167</v>
      </c>
      <c r="H531" t="s">
        <v>2194</v>
      </c>
      <c r="I531" t="s">
        <v>2201</v>
      </c>
      <c r="J531" t="s">
        <v>2212</v>
      </c>
      <c r="K531" t="s">
        <v>2235</v>
      </c>
      <c r="L531" t="s">
        <v>2247</v>
      </c>
      <c r="M531" t="s">
        <v>2249</v>
      </c>
      <c r="N531">
        <v>4</v>
      </c>
      <c r="O531">
        <f t="shared" si="40"/>
        <v>77440</v>
      </c>
      <c r="P531">
        <f t="shared" si="41"/>
        <v>309760</v>
      </c>
      <c r="Q531">
        <v>0</v>
      </c>
      <c r="R531">
        <f t="shared" si="42"/>
        <v>309760</v>
      </c>
      <c r="S531" t="s">
        <v>2260</v>
      </c>
      <c r="T531" t="s">
        <v>2264</v>
      </c>
      <c r="U531" s="1" t="str">
        <f t="shared" si="43"/>
        <v>Not Delivered</v>
      </c>
      <c r="V531">
        <f t="shared" si="44"/>
        <v>46464</v>
      </c>
    </row>
    <row r="532" spans="1:22" x14ac:dyDescent="0.3">
      <c r="A532" t="s">
        <v>550</v>
      </c>
      <c r="B532">
        <v>2024</v>
      </c>
      <c r="C532" s="1">
        <v>45581</v>
      </c>
      <c r="D532" t="s">
        <v>827</v>
      </c>
      <c r="E532" t="s">
        <v>934</v>
      </c>
      <c r="F532" t="s">
        <v>1897</v>
      </c>
      <c r="G532" t="s">
        <v>2167</v>
      </c>
      <c r="H532" t="s">
        <v>2176</v>
      </c>
      <c r="I532" t="s">
        <v>2205</v>
      </c>
      <c r="J532" t="s">
        <v>2212</v>
      </c>
      <c r="K532" t="s">
        <v>2215</v>
      </c>
      <c r="L532" t="s">
        <v>2243</v>
      </c>
      <c r="M532" t="s">
        <v>2253</v>
      </c>
      <c r="N532">
        <v>5</v>
      </c>
      <c r="O532">
        <f t="shared" si="40"/>
        <v>77440</v>
      </c>
      <c r="P532">
        <f t="shared" si="41"/>
        <v>387200</v>
      </c>
      <c r="Q532">
        <v>5</v>
      </c>
      <c r="R532">
        <f t="shared" si="42"/>
        <v>367840</v>
      </c>
      <c r="S532" t="s">
        <v>2262</v>
      </c>
      <c r="T532" t="s">
        <v>2264</v>
      </c>
      <c r="U532" s="1" t="str">
        <f t="shared" si="43"/>
        <v>Not Delivered</v>
      </c>
      <c r="V532">
        <f t="shared" si="44"/>
        <v>58080</v>
      </c>
    </row>
    <row r="533" spans="1:22" x14ac:dyDescent="0.3">
      <c r="A533" t="s">
        <v>551</v>
      </c>
      <c r="B533">
        <v>2024</v>
      </c>
      <c r="C533" s="1">
        <v>45514</v>
      </c>
      <c r="D533" t="s">
        <v>820</v>
      </c>
      <c r="E533" t="s">
        <v>1229</v>
      </c>
      <c r="F533" t="s">
        <v>1898</v>
      </c>
      <c r="G533" t="s">
        <v>2167</v>
      </c>
      <c r="H533" t="s">
        <v>2170</v>
      </c>
      <c r="I533" t="s">
        <v>2201</v>
      </c>
      <c r="J533" t="s">
        <v>2213</v>
      </c>
      <c r="K533" t="s">
        <v>2230</v>
      </c>
      <c r="L533" t="s">
        <v>2247</v>
      </c>
      <c r="M533" t="s">
        <v>2250</v>
      </c>
      <c r="N533">
        <v>2</v>
      </c>
      <c r="O533">
        <f t="shared" si="40"/>
        <v>77440</v>
      </c>
      <c r="P533">
        <f t="shared" si="41"/>
        <v>154880</v>
      </c>
      <c r="Q533">
        <v>20</v>
      </c>
      <c r="R533">
        <f t="shared" si="42"/>
        <v>123904</v>
      </c>
      <c r="S533" t="s">
        <v>2262</v>
      </c>
      <c r="T533" t="s">
        <v>2265</v>
      </c>
      <c r="U533" s="1" t="str">
        <f t="shared" si="43"/>
        <v>Not Delivered</v>
      </c>
      <c r="V533">
        <f t="shared" si="44"/>
        <v>23232</v>
      </c>
    </row>
    <row r="534" spans="1:22" x14ac:dyDescent="0.3">
      <c r="A534" t="s">
        <v>552</v>
      </c>
      <c r="B534">
        <v>2025</v>
      </c>
      <c r="C534" s="1">
        <v>45719</v>
      </c>
      <c r="D534" t="s">
        <v>822</v>
      </c>
      <c r="E534" t="s">
        <v>1230</v>
      </c>
      <c r="F534" t="s">
        <v>1899</v>
      </c>
      <c r="G534" t="s">
        <v>2167</v>
      </c>
      <c r="H534" t="s">
        <v>2184</v>
      </c>
      <c r="I534" t="s">
        <v>2202</v>
      </c>
      <c r="J534" t="s">
        <v>2211</v>
      </c>
      <c r="K534" t="s">
        <v>2231</v>
      </c>
      <c r="L534" t="s">
        <v>2244</v>
      </c>
      <c r="M534" t="s">
        <v>2249</v>
      </c>
      <c r="N534">
        <v>3</v>
      </c>
      <c r="O534">
        <f t="shared" si="40"/>
        <v>77440</v>
      </c>
      <c r="P534">
        <f t="shared" si="41"/>
        <v>232320</v>
      </c>
      <c r="Q534">
        <v>15</v>
      </c>
      <c r="R534">
        <f t="shared" si="42"/>
        <v>197472</v>
      </c>
      <c r="S534" t="s">
        <v>2263</v>
      </c>
      <c r="T534" t="s">
        <v>2266</v>
      </c>
      <c r="U534" s="1">
        <f t="shared" si="43"/>
        <v>45726</v>
      </c>
      <c r="V534">
        <f t="shared" si="44"/>
        <v>34848</v>
      </c>
    </row>
    <row r="535" spans="1:22" x14ac:dyDescent="0.3">
      <c r="A535" t="s">
        <v>553</v>
      </c>
      <c r="B535">
        <v>2024</v>
      </c>
      <c r="C535" s="1">
        <v>45397</v>
      </c>
      <c r="D535" t="s">
        <v>826</v>
      </c>
      <c r="E535" t="s">
        <v>1126</v>
      </c>
      <c r="F535" t="s">
        <v>1900</v>
      </c>
      <c r="G535" t="s">
        <v>2167</v>
      </c>
      <c r="H535" t="s">
        <v>2192</v>
      </c>
      <c r="I535" t="s">
        <v>2207</v>
      </c>
      <c r="J535" t="s">
        <v>2210</v>
      </c>
      <c r="K535" t="s">
        <v>2233</v>
      </c>
      <c r="L535" t="s">
        <v>2245</v>
      </c>
      <c r="M535" t="s">
        <v>2251</v>
      </c>
      <c r="N535">
        <v>3</v>
      </c>
      <c r="O535">
        <f t="shared" si="40"/>
        <v>77440</v>
      </c>
      <c r="P535">
        <f t="shared" si="41"/>
        <v>232320</v>
      </c>
      <c r="Q535">
        <v>0</v>
      </c>
      <c r="R535">
        <f t="shared" si="42"/>
        <v>232320</v>
      </c>
      <c r="S535" t="s">
        <v>2263</v>
      </c>
      <c r="T535" t="s">
        <v>2264</v>
      </c>
      <c r="U535" s="1" t="str">
        <f t="shared" si="43"/>
        <v>Not Delivered</v>
      </c>
      <c r="V535">
        <f t="shared" si="44"/>
        <v>34848</v>
      </c>
    </row>
    <row r="536" spans="1:22" x14ac:dyDescent="0.3">
      <c r="A536" t="s">
        <v>554</v>
      </c>
      <c r="B536">
        <v>2025</v>
      </c>
      <c r="C536" s="1">
        <v>45836</v>
      </c>
      <c r="D536" t="s">
        <v>827</v>
      </c>
      <c r="E536" t="s">
        <v>1193</v>
      </c>
      <c r="F536" t="s">
        <v>1901</v>
      </c>
      <c r="G536" t="s">
        <v>2167</v>
      </c>
      <c r="H536" t="s">
        <v>2192</v>
      </c>
      <c r="I536" t="s">
        <v>2207</v>
      </c>
      <c r="J536" t="s">
        <v>2213</v>
      </c>
      <c r="K536" t="s">
        <v>2226</v>
      </c>
      <c r="L536" t="s">
        <v>2244</v>
      </c>
      <c r="M536" t="s">
        <v>2255</v>
      </c>
      <c r="N536">
        <v>2</v>
      </c>
      <c r="O536">
        <f t="shared" si="40"/>
        <v>77440</v>
      </c>
      <c r="P536">
        <f t="shared" si="41"/>
        <v>154880</v>
      </c>
      <c r="Q536">
        <v>0</v>
      </c>
      <c r="R536">
        <f t="shared" si="42"/>
        <v>154880</v>
      </c>
      <c r="S536" t="s">
        <v>2261</v>
      </c>
      <c r="T536" t="s">
        <v>2266</v>
      </c>
      <c r="U536" s="1">
        <f t="shared" si="43"/>
        <v>45843</v>
      </c>
      <c r="V536">
        <f t="shared" si="44"/>
        <v>23232</v>
      </c>
    </row>
    <row r="537" spans="1:22" x14ac:dyDescent="0.3">
      <c r="A537" t="s">
        <v>555</v>
      </c>
      <c r="B537">
        <v>2024</v>
      </c>
      <c r="C537" s="1">
        <v>45423</v>
      </c>
      <c r="D537" t="s">
        <v>822</v>
      </c>
      <c r="E537" t="s">
        <v>1231</v>
      </c>
      <c r="F537" t="s">
        <v>1902</v>
      </c>
      <c r="G537" t="s">
        <v>2167</v>
      </c>
      <c r="H537" t="s">
        <v>2185</v>
      </c>
      <c r="I537" t="s">
        <v>2204</v>
      </c>
      <c r="J537" t="s">
        <v>2210</v>
      </c>
      <c r="K537" t="s">
        <v>2239</v>
      </c>
      <c r="L537" t="s">
        <v>2245</v>
      </c>
      <c r="M537" t="s">
        <v>2259</v>
      </c>
      <c r="N537">
        <v>5</v>
      </c>
      <c r="O537">
        <f t="shared" si="40"/>
        <v>77440</v>
      </c>
      <c r="P537">
        <f t="shared" si="41"/>
        <v>387200</v>
      </c>
      <c r="Q537">
        <v>10</v>
      </c>
      <c r="R537">
        <f t="shared" si="42"/>
        <v>348480</v>
      </c>
      <c r="S537" t="s">
        <v>2263</v>
      </c>
      <c r="T537" t="s">
        <v>2265</v>
      </c>
      <c r="U537" s="1" t="str">
        <f t="shared" si="43"/>
        <v>Not Delivered</v>
      </c>
      <c r="V537">
        <f t="shared" si="44"/>
        <v>58080</v>
      </c>
    </row>
    <row r="538" spans="1:22" x14ac:dyDescent="0.3">
      <c r="A538" t="s">
        <v>556</v>
      </c>
      <c r="B538">
        <v>2024</v>
      </c>
      <c r="C538" s="1">
        <v>45599</v>
      </c>
      <c r="D538" t="s">
        <v>828</v>
      </c>
      <c r="E538" t="s">
        <v>1232</v>
      </c>
      <c r="F538" t="s">
        <v>1903</v>
      </c>
      <c r="G538" t="s">
        <v>2167</v>
      </c>
      <c r="H538" t="s">
        <v>2168</v>
      </c>
      <c r="I538" t="s">
        <v>2200</v>
      </c>
      <c r="J538" t="s">
        <v>2212</v>
      </c>
      <c r="K538" t="s">
        <v>2230</v>
      </c>
      <c r="L538" t="s">
        <v>2247</v>
      </c>
      <c r="M538" t="s">
        <v>2252</v>
      </c>
      <c r="N538">
        <v>3</v>
      </c>
      <c r="O538">
        <f t="shared" si="40"/>
        <v>77440</v>
      </c>
      <c r="P538">
        <f t="shared" si="41"/>
        <v>232320</v>
      </c>
      <c r="Q538">
        <v>0</v>
      </c>
      <c r="R538">
        <f t="shared" si="42"/>
        <v>232320</v>
      </c>
      <c r="S538" t="s">
        <v>2260</v>
      </c>
      <c r="T538" t="s">
        <v>2265</v>
      </c>
      <c r="U538" s="1" t="str">
        <f t="shared" si="43"/>
        <v>Not Delivered</v>
      </c>
      <c r="V538">
        <f t="shared" si="44"/>
        <v>34848</v>
      </c>
    </row>
    <row r="539" spans="1:22" x14ac:dyDescent="0.3">
      <c r="A539" t="s">
        <v>557</v>
      </c>
      <c r="B539">
        <v>2025</v>
      </c>
      <c r="C539" s="1">
        <v>45694</v>
      </c>
      <c r="D539" t="s">
        <v>824</v>
      </c>
      <c r="E539" t="s">
        <v>1233</v>
      </c>
      <c r="F539" t="s">
        <v>1904</v>
      </c>
      <c r="G539" t="s">
        <v>2167</v>
      </c>
      <c r="H539" t="s">
        <v>2184</v>
      </c>
      <c r="I539" t="s">
        <v>2202</v>
      </c>
      <c r="J539" t="s">
        <v>2213</v>
      </c>
      <c r="K539" t="s">
        <v>2217</v>
      </c>
      <c r="L539" t="s">
        <v>2244</v>
      </c>
      <c r="M539" t="s">
        <v>2253</v>
      </c>
      <c r="N539">
        <v>1</v>
      </c>
      <c r="O539">
        <f t="shared" si="40"/>
        <v>77440</v>
      </c>
      <c r="P539">
        <f t="shared" si="41"/>
        <v>77440</v>
      </c>
      <c r="Q539">
        <v>0</v>
      </c>
      <c r="R539">
        <f t="shared" si="42"/>
        <v>77440</v>
      </c>
      <c r="S539" t="s">
        <v>2261</v>
      </c>
      <c r="T539" t="s">
        <v>2264</v>
      </c>
      <c r="U539" s="1" t="str">
        <f t="shared" si="43"/>
        <v>Not Delivered</v>
      </c>
      <c r="V539">
        <f t="shared" si="44"/>
        <v>11616</v>
      </c>
    </row>
    <row r="540" spans="1:22" x14ac:dyDescent="0.3">
      <c r="A540" t="s">
        <v>558</v>
      </c>
      <c r="B540">
        <v>2024</v>
      </c>
      <c r="C540" s="1">
        <v>45329</v>
      </c>
      <c r="D540" t="s">
        <v>827</v>
      </c>
      <c r="E540" t="s">
        <v>1206</v>
      </c>
      <c r="F540" t="s">
        <v>1905</v>
      </c>
      <c r="G540" t="s">
        <v>2167</v>
      </c>
      <c r="H540" t="s">
        <v>2173</v>
      </c>
      <c r="I540" t="s">
        <v>2204</v>
      </c>
      <c r="J540" t="s">
        <v>2213</v>
      </c>
      <c r="K540" t="s">
        <v>2231</v>
      </c>
      <c r="L540" t="s">
        <v>2244</v>
      </c>
      <c r="M540" t="s">
        <v>2258</v>
      </c>
      <c r="N540">
        <v>3</v>
      </c>
      <c r="O540">
        <f t="shared" si="40"/>
        <v>77440</v>
      </c>
      <c r="P540">
        <f t="shared" si="41"/>
        <v>232320</v>
      </c>
      <c r="Q540">
        <v>10</v>
      </c>
      <c r="R540">
        <f t="shared" si="42"/>
        <v>209088</v>
      </c>
      <c r="S540" t="s">
        <v>2262</v>
      </c>
      <c r="T540" t="s">
        <v>2264</v>
      </c>
      <c r="U540" s="1" t="str">
        <f t="shared" si="43"/>
        <v>Not Delivered</v>
      </c>
      <c r="V540">
        <f t="shared" si="44"/>
        <v>34848</v>
      </c>
    </row>
    <row r="541" spans="1:22" x14ac:dyDescent="0.3">
      <c r="A541" t="s">
        <v>559</v>
      </c>
      <c r="B541">
        <v>2025</v>
      </c>
      <c r="C541" s="1">
        <v>45731</v>
      </c>
      <c r="D541" t="s">
        <v>820</v>
      </c>
      <c r="E541" t="s">
        <v>1224</v>
      </c>
      <c r="F541" t="s">
        <v>1906</v>
      </c>
      <c r="G541" t="s">
        <v>2167</v>
      </c>
      <c r="H541" t="s">
        <v>2181</v>
      </c>
      <c r="I541" t="s">
        <v>2209</v>
      </c>
      <c r="J541" t="s">
        <v>2210</v>
      </c>
      <c r="K541" t="s">
        <v>2216</v>
      </c>
      <c r="L541" t="s">
        <v>2242</v>
      </c>
      <c r="M541" t="s">
        <v>2254</v>
      </c>
      <c r="N541">
        <v>2</v>
      </c>
      <c r="O541">
        <f t="shared" si="40"/>
        <v>77440</v>
      </c>
      <c r="P541">
        <f t="shared" si="41"/>
        <v>154880</v>
      </c>
      <c r="Q541">
        <v>10</v>
      </c>
      <c r="R541">
        <f t="shared" si="42"/>
        <v>139392</v>
      </c>
      <c r="S541" t="s">
        <v>2260</v>
      </c>
      <c r="T541" t="s">
        <v>2265</v>
      </c>
      <c r="U541" s="1" t="str">
        <f t="shared" si="43"/>
        <v>Not Delivered</v>
      </c>
      <c r="V541">
        <f t="shared" si="44"/>
        <v>23232</v>
      </c>
    </row>
    <row r="542" spans="1:22" x14ac:dyDescent="0.3">
      <c r="A542" t="s">
        <v>560</v>
      </c>
      <c r="B542">
        <v>2025</v>
      </c>
      <c r="C542" s="1">
        <v>45682</v>
      </c>
      <c r="D542" t="s">
        <v>822</v>
      </c>
      <c r="E542" t="s">
        <v>1234</v>
      </c>
      <c r="F542" t="s">
        <v>1907</v>
      </c>
      <c r="G542" t="s">
        <v>2167</v>
      </c>
      <c r="H542" t="s">
        <v>2185</v>
      </c>
      <c r="I542" t="s">
        <v>2204</v>
      </c>
      <c r="J542" t="s">
        <v>2210</v>
      </c>
      <c r="K542" t="s">
        <v>2225</v>
      </c>
      <c r="L542" t="s">
        <v>2243</v>
      </c>
      <c r="M542" t="s">
        <v>2253</v>
      </c>
      <c r="N542">
        <v>3</v>
      </c>
      <c r="O542">
        <f t="shared" si="40"/>
        <v>77440</v>
      </c>
      <c r="P542">
        <f t="shared" si="41"/>
        <v>232320</v>
      </c>
      <c r="Q542">
        <v>15</v>
      </c>
      <c r="R542">
        <f t="shared" si="42"/>
        <v>197472</v>
      </c>
      <c r="S542" t="s">
        <v>2262</v>
      </c>
      <c r="T542" t="s">
        <v>2265</v>
      </c>
      <c r="U542" s="1" t="str">
        <f t="shared" si="43"/>
        <v>Not Delivered</v>
      </c>
      <c r="V542">
        <f t="shared" si="44"/>
        <v>34848</v>
      </c>
    </row>
    <row r="543" spans="1:22" x14ac:dyDescent="0.3">
      <c r="A543" t="s">
        <v>561</v>
      </c>
      <c r="B543">
        <v>2024</v>
      </c>
      <c r="C543" s="1">
        <v>45363</v>
      </c>
      <c r="D543" t="s">
        <v>829</v>
      </c>
      <c r="E543" t="s">
        <v>1235</v>
      </c>
      <c r="F543" t="s">
        <v>1908</v>
      </c>
      <c r="G543" t="s">
        <v>2167</v>
      </c>
      <c r="H543" t="s">
        <v>2168</v>
      </c>
      <c r="I543" t="s">
        <v>2200</v>
      </c>
      <c r="J543" t="s">
        <v>2213</v>
      </c>
      <c r="K543" t="s">
        <v>2219</v>
      </c>
      <c r="L543" t="s">
        <v>2243</v>
      </c>
      <c r="M543" t="s">
        <v>2249</v>
      </c>
      <c r="N543">
        <v>3</v>
      </c>
      <c r="O543">
        <f t="shared" si="40"/>
        <v>77440</v>
      </c>
      <c r="P543">
        <f t="shared" si="41"/>
        <v>232320</v>
      </c>
      <c r="Q543">
        <v>5</v>
      </c>
      <c r="R543">
        <f t="shared" si="42"/>
        <v>220704</v>
      </c>
      <c r="S543" t="s">
        <v>2261</v>
      </c>
      <c r="T543" t="s">
        <v>2265</v>
      </c>
      <c r="U543" s="1" t="str">
        <f t="shared" si="43"/>
        <v>Not Delivered</v>
      </c>
      <c r="V543">
        <f t="shared" si="44"/>
        <v>34848</v>
      </c>
    </row>
    <row r="544" spans="1:22" x14ac:dyDescent="0.3">
      <c r="A544" t="s">
        <v>562</v>
      </c>
      <c r="B544">
        <v>2025</v>
      </c>
      <c r="C544" s="1">
        <v>45865</v>
      </c>
      <c r="D544" t="s">
        <v>821</v>
      </c>
      <c r="E544" t="s">
        <v>1236</v>
      </c>
      <c r="F544" t="s">
        <v>1909</v>
      </c>
      <c r="G544" t="s">
        <v>2167</v>
      </c>
      <c r="H544" t="s">
        <v>2184</v>
      </c>
      <c r="I544" t="s">
        <v>2202</v>
      </c>
      <c r="J544" t="s">
        <v>2212</v>
      </c>
      <c r="K544" t="s">
        <v>2237</v>
      </c>
      <c r="L544" t="s">
        <v>2246</v>
      </c>
      <c r="M544" t="s">
        <v>2251</v>
      </c>
      <c r="N544">
        <v>4</v>
      </c>
      <c r="O544">
        <f t="shared" si="40"/>
        <v>77440</v>
      </c>
      <c r="P544">
        <f t="shared" si="41"/>
        <v>309760</v>
      </c>
      <c r="Q544">
        <v>20</v>
      </c>
      <c r="R544">
        <f t="shared" si="42"/>
        <v>247808</v>
      </c>
      <c r="S544" t="s">
        <v>2263</v>
      </c>
      <c r="T544" t="s">
        <v>2264</v>
      </c>
      <c r="U544" s="1" t="str">
        <f t="shared" si="43"/>
        <v>Not Delivered</v>
      </c>
      <c r="V544">
        <f t="shared" si="44"/>
        <v>46464</v>
      </c>
    </row>
    <row r="545" spans="1:22" x14ac:dyDescent="0.3">
      <c r="A545" t="s">
        <v>563</v>
      </c>
      <c r="B545">
        <v>2025</v>
      </c>
      <c r="C545" s="1">
        <v>45763</v>
      </c>
      <c r="D545" t="s">
        <v>821</v>
      </c>
      <c r="E545" t="s">
        <v>944</v>
      </c>
      <c r="F545" t="s">
        <v>1910</v>
      </c>
      <c r="G545" t="s">
        <v>2167</v>
      </c>
      <c r="H545" t="s">
        <v>2179</v>
      </c>
      <c r="I545" t="s">
        <v>2206</v>
      </c>
      <c r="J545" t="s">
        <v>2210</v>
      </c>
      <c r="K545" t="s">
        <v>2214</v>
      </c>
      <c r="L545" t="s">
        <v>2242</v>
      </c>
      <c r="M545" t="s">
        <v>2258</v>
      </c>
      <c r="N545">
        <v>3</v>
      </c>
      <c r="O545">
        <f t="shared" si="40"/>
        <v>77440</v>
      </c>
      <c r="P545">
        <f t="shared" si="41"/>
        <v>232320</v>
      </c>
      <c r="Q545">
        <v>10</v>
      </c>
      <c r="R545">
        <f t="shared" si="42"/>
        <v>209088</v>
      </c>
      <c r="S545" t="s">
        <v>2263</v>
      </c>
      <c r="T545" t="s">
        <v>2266</v>
      </c>
      <c r="U545" s="1">
        <f t="shared" si="43"/>
        <v>45770</v>
      </c>
      <c r="V545">
        <f t="shared" si="44"/>
        <v>34848</v>
      </c>
    </row>
    <row r="546" spans="1:22" x14ac:dyDescent="0.3">
      <c r="A546" t="s">
        <v>564</v>
      </c>
      <c r="B546">
        <v>2025</v>
      </c>
      <c r="C546" s="1">
        <v>45753</v>
      </c>
      <c r="D546" t="s">
        <v>827</v>
      </c>
      <c r="E546" t="s">
        <v>1187</v>
      </c>
      <c r="F546" t="s">
        <v>1911</v>
      </c>
      <c r="G546" t="s">
        <v>2167</v>
      </c>
      <c r="H546" t="s">
        <v>2192</v>
      </c>
      <c r="I546" t="s">
        <v>2207</v>
      </c>
      <c r="J546" t="s">
        <v>2212</v>
      </c>
      <c r="K546" t="s">
        <v>2219</v>
      </c>
      <c r="L546" t="s">
        <v>2243</v>
      </c>
      <c r="M546" t="s">
        <v>2253</v>
      </c>
      <c r="N546">
        <v>2</v>
      </c>
      <c r="O546">
        <f t="shared" si="40"/>
        <v>77440</v>
      </c>
      <c r="P546">
        <f t="shared" si="41"/>
        <v>154880</v>
      </c>
      <c r="Q546">
        <v>10</v>
      </c>
      <c r="R546">
        <f t="shared" si="42"/>
        <v>139392</v>
      </c>
      <c r="S546" t="s">
        <v>2260</v>
      </c>
      <c r="T546" t="s">
        <v>2264</v>
      </c>
      <c r="U546" s="1" t="str">
        <f t="shared" si="43"/>
        <v>Not Delivered</v>
      </c>
      <c r="V546">
        <f t="shared" si="44"/>
        <v>23232</v>
      </c>
    </row>
    <row r="547" spans="1:22" x14ac:dyDescent="0.3">
      <c r="A547" t="s">
        <v>565</v>
      </c>
      <c r="B547">
        <v>2025</v>
      </c>
      <c r="C547" s="1">
        <v>45660</v>
      </c>
      <c r="D547" t="s">
        <v>823</v>
      </c>
      <c r="E547" t="s">
        <v>1085</v>
      </c>
      <c r="F547" t="s">
        <v>1912</v>
      </c>
      <c r="G547" t="s">
        <v>2167</v>
      </c>
      <c r="H547" t="s">
        <v>2177</v>
      </c>
      <c r="I547" t="s">
        <v>2206</v>
      </c>
      <c r="J547" t="s">
        <v>2211</v>
      </c>
      <c r="K547" t="s">
        <v>2228</v>
      </c>
      <c r="L547" t="s">
        <v>2243</v>
      </c>
      <c r="M547" t="s">
        <v>2256</v>
      </c>
      <c r="N547">
        <v>2</v>
      </c>
      <c r="O547">
        <f t="shared" si="40"/>
        <v>77440</v>
      </c>
      <c r="P547">
        <f t="shared" si="41"/>
        <v>154880</v>
      </c>
      <c r="Q547">
        <v>10</v>
      </c>
      <c r="R547">
        <f t="shared" si="42"/>
        <v>139392</v>
      </c>
      <c r="S547" t="s">
        <v>2262</v>
      </c>
      <c r="T547" t="s">
        <v>2264</v>
      </c>
      <c r="U547" s="1" t="str">
        <f t="shared" si="43"/>
        <v>Not Delivered</v>
      </c>
      <c r="V547">
        <f t="shared" si="44"/>
        <v>23232</v>
      </c>
    </row>
    <row r="548" spans="1:22" x14ac:dyDescent="0.3">
      <c r="A548" t="s">
        <v>566</v>
      </c>
      <c r="B548">
        <v>2024</v>
      </c>
      <c r="C548" s="1">
        <v>45644</v>
      </c>
      <c r="D548" t="s">
        <v>821</v>
      </c>
      <c r="E548" t="s">
        <v>1237</v>
      </c>
      <c r="F548" t="s">
        <v>1913</v>
      </c>
      <c r="G548" t="s">
        <v>2167</v>
      </c>
      <c r="H548" t="s">
        <v>2189</v>
      </c>
      <c r="I548" t="s">
        <v>2202</v>
      </c>
      <c r="J548" t="s">
        <v>2213</v>
      </c>
      <c r="K548" t="s">
        <v>2217</v>
      </c>
      <c r="L548" t="s">
        <v>2244</v>
      </c>
      <c r="M548" t="s">
        <v>2257</v>
      </c>
      <c r="N548">
        <v>2</v>
      </c>
      <c r="O548">
        <f t="shared" si="40"/>
        <v>77440</v>
      </c>
      <c r="P548">
        <f t="shared" si="41"/>
        <v>154880</v>
      </c>
      <c r="Q548">
        <v>0</v>
      </c>
      <c r="R548">
        <f t="shared" si="42"/>
        <v>154880</v>
      </c>
      <c r="S548" t="s">
        <v>2261</v>
      </c>
      <c r="T548" t="s">
        <v>2265</v>
      </c>
      <c r="U548" s="1" t="str">
        <f t="shared" si="43"/>
        <v>Not Delivered</v>
      </c>
      <c r="V548">
        <f t="shared" si="44"/>
        <v>23232</v>
      </c>
    </row>
    <row r="549" spans="1:22" x14ac:dyDescent="0.3">
      <c r="A549" t="s">
        <v>567</v>
      </c>
      <c r="B549">
        <v>2024</v>
      </c>
      <c r="C549" s="1">
        <v>45613</v>
      </c>
      <c r="D549" t="s">
        <v>826</v>
      </c>
      <c r="E549" t="s">
        <v>1238</v>
      </c>
      <c r="F549" t="s">
        <v>1914</v>
      </c>
      <c r="G549" t="s">
        <v>2167</v>
      </c>
      <c r="H549" t="s">
        <v>2180</v>
      </c>
      <c r="I549" t="s">
        <v>2208</v>
      </c>
      <c r="J549" t="s">
        <v>2212</v>
      </c>
      <c r="K549" t="s">
        <v>2219</v>
      </c>
      <c r="L549" t="s">
        <v>2243</v>
      </c>
      <c r="M549" t="s">
        <v>2258</v>
      </c>
      <c r="N549">
        <v>5</v>
      </c>
      <c r="O549">
        <f t="shared" si="40"/>
        <v>77440</v>
      </c>
      <c r="P549">
        <f t="shared" si="41"/>
        <v>387200</v>
      </c>
      <c r="Q549">
        <v>10</v>
      </c>
      <c r="R549">
        <f t="shared" si="42"/>
        <v>348480</v>
      </c>
      <c r="S549" t="s">
        <v>2261</v>
      </c>
      <c r="T549" t="s">
        <v>2266</v>
      </c>
      <c r="U549" s="1">
        <f t="shared" si="43"/>
        <v>45620</v>
      </c>
      <c r="V549">
        <f t="shared" si="44"/>
        <v>58080</v>
      </c>
    </row>
    <row r="550" spans="1:22" x14ac:dyDescent="0.3">
      <c r="A550" t="s">
        <v>568</v>
      </c>
      <c r="B550">
        <v>2024</v>
      </c>
      <c r="C550" s="1">
        <v>45309</v>
      </c>
      <c r="D550" t="s">
        <v>821</v>
      </c>
      <c r="E550" t="s">
        <v>1172</v>
      </c>
      <c r="F550" t="s">
        <v>1915</v>
      </c>
      <c r="G550" t="s">
        <v>2167</v>
      </c>
      <c r="H550" t="s">
        <v>2183</v>
      </c>
      <c r="I550" t="s">
        <v>2204</v>
      </c>
      <c r="J550" t="s">
        <v>2211</v>
      </c>
      <c r="K550" t="s">
        <v>2239</v>
      </c>
      <c r="L550" t="s">
        <v>2245</v>
      </c>
      <c r="M550" t="s">
        <v>2259</v>
      </c>
      <c r="N550">
        <v>2</v>
      </c>
      <c r="O550">
        <f t="shared" si="40"/>
        <v>77440</v>
      </c>
      <c r="P550">
        <f t="shared" si="41"/>
        <v>154880</v>
      </c>
      <c r="Q550">
        <v>5</v>
      </c>
      <c r="R550">
        <f t="shared" si="42"/>
        <v>147136</v>
      </c>
      <c r="S550" t="s">
        <v>2263</v>
      </c>
      <c r="T550" t="s">
        <v>2266</v>
      </c>
      <c r="U550" s="1">
        <f t="shared" si="43"/>
        <v>45316</v>
      </c>
      <c r="V550">
        <f t="shared" si="44"/>
        <v>23232</v>
      </c>
    </row>
    <row r="551" spans="1:22" x14ac:dyDescent="0.3">
      <c r="A551" t="s">
        <v>569</v>
      </c>
      <c r="B551">
        <v>2024</v>
      </c>
      <c r="C551" s="1">
        <v>45292</v>
      </c>
      <c r="D551" t="s">
        <v>829</v>
      </c>
      <c r="E551" t="s">
        <v>870</v>
      </c>
      <c r="F551" t="s">
        <v>1916</v>
      </c>
      <c r="G551" t="s">
        <v>2167</v>
      </c>
      <c r="H551" t="s">
        <v>2197</v>
      </c>
      <c r="I551" t="s">
        <v>2209</v>
      </c>
      <c r="J551" t="s">
        <v>2213</v>
      </c>
      <c r="K551" t="s">
        <v>2223</v>
      </c>
      <c r="L551" t="s">
        <v>2245</v>
      </c>
      <c r="M551" t="s">
        <v>2257</v>
      </c>
      <c r="N551">
        <v>4</v>
      </c>
      <c r="O551">
        <f t="shared" si="40"/>
        <v>77440</v>
      </c>
      <c r="P551">
        <f t="shared" si="41"/>
        <v>309760</v>
      </c>
      <c r="Q551">
        <v>5</v>
      </c>
      <c r="R551">
        <f t="shared" si="42"/>
        <v>294272</v>
      </c>
      <c r="S551" t="s">
        <v>2262</v>
      </c>
      <c r="T551" t="s">
        <v>2265</v>
      </c>
      <c r="U551" s="1" t="str">
        <f t="shared" si="43"/>
        <v>Not Delivered</v>
      </c>
      <c r="V551">
        <f t="shared" si="44"/>
        <v>46464</v>
      </c>
    </row>
    <row r="552" spans="1:22" x14ac:dyDescent="0.3">
      <c r="A552" t="s">
        <v>570</v>
      </c>
      <c r="B552">
        <v>2024</v>
      </c>
      <c r="C552" s="1">
        <v>45376</v>
      </c>
      <c r="D552" t="s">
        <v>827</v>
      </c>
      <c r="E552" t="s">
        <v>1119</v>
      </c>
      <c r="F552" t="s">
        <v>1917</v>
      </c>
      <c r="G552" t="s">
        <v>2167</v>
      </c>
      <c r="H552" t="s">
        <v>2191</v>
      </c>
      <c r="I552" t="s">
        <v>2203</v>
      </c>
      <c r="J552" t="s">
        <v>2213</v>
      </c>
      <c r="K552" t="s">
        <v>2225</v>
      </c>
      <c r="L552" t="s">
        <v>2243</v>
      </c>
      <c r="M552" t="s">
        <v>2257</v>
      </c>
      <c r="N552">
        <v>3</v>
      </c>
      <c r="O552">
        <f t="shared" si="40"/>
        <v>77440</v>
      </c>
      <c r="P552">
        <f t="shared" si="41"/>
        <v>232320</v>
      </c>
      <c r="Q552">
        <v>15</v>
      </c>
      <c r="R552">
        <f t="shared" si="42"/>
        <v>197472</v>
      </c>
      <c r="S552" t="s">
        <v>2263</v>
      </c>
      <c r="T552" t="s">
        <v>2265</v>
      </c>
      <c r="U552" s="1" t="str">
        <f t="shared" si="43"/>
        <v>Not Delivered</v>
      </c>
      <c r="V552">
        <f t="shared" si="44"/>
        <v>34848</v>
      </c>
    </row>
    <row r="553" spans="1:22" x14ac:dyDescent="0.3">
      <c r="A553" t="s">
        <v>571</v>
      </c>
      <c r="B553">
        <v>2024</v>
      </c>
      <c r="C553" s="1">
        <v>45393</v>
      </c>
      <c r="D553" t="s">
        <v>824</v>
      </c>
      <c r="E553" t="s">
        <v>1239</v>
      </c>
      <c r="F553" t="s">
        <v>1918</v>
      </c>
      <c r="G553" t="s">
        <v>2167</v>
      </c>
      <c r="H553" t="s">
        <v>2168</v>
      </c>
      <c r="I553" t="s">
        <v>2200</v>
      </c>
      <c r="J553" t="s">
        <v>2213</v>
      </c>
      <c r="K553" t="s">
        <v>2241</v>
      </c>
      <c r="L553" t="s">
        <v>2247</v>
      </c>
      <c r="M553" t="s">
        <v>2250</v>
      </c>
      <c r="N553">
        <v>1</v>
      </c>
      <c r="O553">
        <f t="shared" si="40"/>
        <v>77440</v>
      </c>
      <c r="P553">
        <f t="shared" si="41"/>
        <v>77440</v>
      </c>
      <c r="Q553">
        <v>10</v>
      </c>
      <c r="R553">
        <f t="shared" si="42"/>
        <v>69696</v>
      </c>
      <c r="S553" t="s">
        <v>2261</v>
      </c>
      <c r="T553" t="s">
        <v>2265</v>
      </c>
      <c r="U553" s="1" t="str">
        <f t="shared" si="43"/>
        <v>Not Delivered</v>
      </c>
      <c r="V553">
        <f t="shared" si="44"/>
        <v>11616</v>
      </c>
    </row>
    <row r="554" spans="1:22" x14ac:dyDescent="0.3">
      <c r="A554" t="s">
        <v>572</v>
      </c>
      <c r="B554">
        <v>2025</v>
      </c>
      <c r="C554" s="1">
        <v>45805</v>
      </c>
      <c r="D554" t="s">
        <v>828</v>
      </c>
      <c r="E554" t="s">
        <v>1240</v>
      </c>
      <c r="F554" t="s">
        <v>1919</v>
      </c>
      <c r="G554" t="s">
        <v>2167</v>
      </c>
      <c r="H554" t="s">
        <v>2168</v>
      </c>
      <c r="I554" t="s">
        <v>2200</v>
      </c>
      <c r="J554" t="s">
        <v>2212</v>
      </c>
      <c r="K554" t="s">
        <v>2230</v>
      </c>
      <c r="L554" t="s">
        <v>2247</v>
      </c>
      <c r="M554" t="s">
        <v>2256</v>
      </c>
      <c r="N554">
        <v>2</v>
      </c>
      <c r="O554">
        <f t="shared" si="40"/>
        <v>77440</v>
      </c>
      <c r="P554">
        <f t="shared" si="41"/>
        <v>154880</v>
      </c>
      <c r="Q554">
        <v>0</v>
      </c>
      <c r="R554">
        <f t="shared" si="42"/>
        <v>154880</v>
      </c>
      <c r="S554" t="s">
        <v>2261</v>
      </c>
      <c r="T554" t="s">
        <v>2264</v>
      </c>
      <c r="U554" s="1" t="str">
        <f t="shared" si="43"/>
        <v>Not Delivered</v>
      </c>
      <c r="V554">
        <f t="shared" si="44"/>
        <v>23232</v>
      </c>
    </row>
    <row r="555" spans="1:22" x14ac:dyDescent="0.3">
      <c r="A555" t="s">
        <v>573</v>
      </c>
      <c r="B555">
        <v>2024</v>
      </c>
      <c r="C555" s="1">
        <v>45479</v>
      </c>
      <c r="D555" t="s">
        <v>828</v>
      </c>
      <c r="E555" t="s">
        <v>1241</v>
      </c>
      <c r="F555" t="s">
        <v>1920</v>
      </c>
      <c r="G555" t="s">
        <v>2167</v>
      </c>
      <c r="H555" t="s">
        <v>2184</v>
      </c>
      <c r="I555" t="s">
        <v>2202</v>
      </c>
      <c r="J555" t="s">
        <v>2212</v>
      </c>
      <c r="K555" t="s">
        <v>2238</v>
      </c>
      <c r="L555" t="s">
        <v>2246</v>
      </c>
      <c r="M555" t="s">
        <v>2255</v>
      </c>
      <c r="N555">
        <v>2</v>
      </c>
      <c r="O555">
        <f t="shared" si="40"/>
        <v>77440</v>
      </c>
      <c r="P555">
        <f t="shared" si="41"/>
        <v>154880</v>
      </c>
      <c r="Q555">
        <v>5</v>
      </c>
      <c r="R555">
        <f t="shared" si="42"/>
        <v>147136</v>
      </c>
      <c r="S555" t="s">
        <v>2263</v>
      </c>
      <c r="T555" t="s">
        <v>2266</v>
      </c>
      <c r="U555" s="1">
        <f t="shared" si="43"/>
        <v>45486</v>
      </c>
      <c r="V555">
        <f t="shared" si="44"/>
        <v>23232</v>
      </c>
    </row>
    <row r="556" spans="1:22" x14ac:dyDescent="0.3">
      <c r="A556" t="s">
        <v>574</v>
      </c>
      <c r="B556">
        <v>2024</v>
      </c>
      <c r="C556" s="1">
        <v>45530</v>
      </c>
      <c r="D556" t="s">
        <v>825</v>
      </c>
      <c r="E556" t="s">
        <v>876</v>
      </c>
      <c r="F556" t="s">
        <v>1921</v>
      </c>
      <c r="G556" t="s">
        <v>2167</v>
      </c>
      <c r="H556" t="s">
        <v>2199</v>
      </c>
      <c r="I556" t="s">
        <v>2205</v>
      </c>
      <c r="J556" t="s">
        <v>2210</v>
      </c>
      <c r="K556" t="s">
        <v>2216</v>
      </c>
      <c r="L556" t="s">
        <v>2242</v>
      </c>
      <c r="M556" t="s">
        <v>2254</v>
      </c>
      <c r="N556">
        <v>1</v>
      </c>
      <c r="O556">
        <f t="shared" si="40"/>
        <v>77440</v>
      </c>
      <c r="P556">
        <f t="shared" si="41"/>
        <v>77440</v>
      </c>
      <c r="Q556">
        <v>20</v>
      </c>
      <c r="R556">
        <f t="shared" si="42"/>
        <v>61952</v>
      </c>
      <c r="S556" t="s">
        <v>2263</v>
      </c>
      <c r="T556" t="s">
        <v>2266</v>
      </c>
      <c r="U556" s="1">
        <f t="shared" si="43"/>
        <v>45537</v>
      </c>
      <c r="V556">
        <f t="shared" si="44"/>
        <v>11616</v>
      </c>
    </row>
    <row r="557" spans="1:22" x14ac:dyDescent="0.3">
      <c r="A557" t="s">
        <v>575</v>
      </c>
      <c r="B557">
        <v>2025</v>
      </c>
      <c r="C557" s="1">
        <v>45740</v>
      </c>
      <c r="D557" t="s">
        <v>828</v>
      </c>
      <c r="E557" t="s">
        <v>1242</v>
      </c>
      <c r="F557" t="s">
        <v>1922</v>
      </c>
      <c r="G557" t="s">
        <v>2167</v>
      </c>
      <c r="H557" t="s">
        <v>2185</v>
      </c>
      <c r="I557" t="s">
        <v>2204</v>
      </c>
      <c r="J557" t="s">
        <v>2210</v>
      </c>
      <c r="K557" t="s">
        <v>2239</v>
      </c>
      <c r="L557" t="s">
        <v>2245</v>
      </c>
      <c r="M557" t="s">
        <v>2249</v>
      </c>
      <c r="N557">
        <v>1</v>
      </c>
      <c r="O557">
        <f t="shared" si="40"/>
        <v>77440</v>
      </c>
      <c r="P557">
        <f t="shared" si="41"/>
        <v>77440</v>
      </c>
      <c r="Q557">
        <v>20</v>
      </c>
      <c r="R557">
        <f t="shared" si="42"/>
        <v>61952</v>
      </c>
      <c r="S557" t="s">
        <v>2262</v>
      </c>
      <c r="T557" t="s">
        <v>2264</v>
      </c>
      <c r="U557" s="1" t="str">
        <f t="shared" si="43"/>
        <v>Not Delivered</v>
      </c>
      <c r="V557">
        <f t="shared" si="44"/>
        <v>11616</v>
      </c>
    </row>
    <row r="558" spans="1:22" x14ac:dyDescent="0.3">
      <c r="A558" t="s">
        <v>576</v>
      </c>
      <c r="B558">
        <v>2025</v>
      </c>
      <c r="C558" s="1">
        <v>45858</v>
      </c>
      <c r="D558" t="s">
        <v>827</v>
      </c>
      <c r="E558" t="s">
        <v>1243</v>
      </c>
      <c r="F558" t="s">
        <v>1923</v>
      </c>
      <c r="G558" t="s">
        <v>2167</v>
      </c>
      <c r="H558" t="s">
        <v>2175</v>
      </c>
      <c r="I558" t="s">
        <v>2203</v>
      </c>
      <c r="J558" t="s">
        <v>2213</v>
      </c>
      <c r="K558" t="s">
        <v>2234</v>
      </c>
      <c r="L558" t="s">
        <v>2244</v>
      </c>
      <c r="M558" t="s">
        <v>2252</v>
      </c>
      <c r="N558">
        <v>3</v>
      </c>
      <c r="O558">
        <f t="shared" si="40"/>
        <v>77440</v>
      </c>
      <c r="P558">
        <f t="shared" si="41"/>
        <v>232320</v>
      </c>
      <c r="Q558">
        <v>5</v>
      </c>
      <c r="R558">
        <f t="shared" si="42"/>
        <v>220704</v>
      </c>
      <c r="S558" t="s">
        <v>2263</v>
      </c>
      <c r="T558" t="s">
        <v>2266</v>
      </c>
      <c r="U558" s="1">
        <f t="shared" si="43"/>
        <v>45865</v>
      </c>
      <c r="V558">
        <f t="shared" si="44"/>
        <v>34848</v>
      </c>
    </row>
    <row r="559" spans="1:22" x14ac:dyDescent="0.3">
      <c r="A559" t="s">
        <v>577</v>
      </c>
      <c r="B559">
        <v>2024</v>
      </c>
      <c r="C559" s="1">
        <v>45422</v>
      </c>
      <c r="D559" t="s">
        <v>828</v>
      </c>
      <c r="E559" t="s">
        <v>1244</v>
      </c>
      <c r="F559" t="s">
        <v>1924</v>
      </c>
      <c r="G559" t="s">
        <v>2167</v>
      </c>
      <c r="H559" t="s">
        <v>2187</v>
      </c>
      <c r="I559" t="s">
        <v>2209</v>
      </c>
      <c r="J559" t="s">
        <v>2210</v>
      </c>
      <c r="K559" t="s">
        <v>2224</v>
      </c>
      <c r="L559" t="s">
        <v>2245</v>
      </c>
      <c r="M559" t="s">
        <v>2251</v>
      </c>
      <c r="N559">
        <v>1</v>
      </c>
      <c r="O559">
        <f t="shared" si="40"/>
        <v>77440</v>
      </c>
      <c r="P559">
        <f t="shared" si="41"/>
        <v>77440</v>
      </c>
      <c r="Q559">
        <v>0</v>
      </c>
      <c r="R559">
        <f t="shared" si="42"/>
        <v>77440</v>
      </c>
      <c r="S559" t="s">
        <v>2260</v>
      </c>
      <c r="T559" t="s">
        <v>2266</v>
      </c>
      <c r="U559" s="1">
        <f t="shared" si="43"/>
        <v>45429</v>
      </c>
      <c r="V559">
        <f t="shared" si="44"/>
        <v>11616</v>
      </c>
    </row>
    <row r="560" spans="1:22" x14ac:dyDescent="0.3">
      <c r="A560" t="s">
        <v>578</v>
      </c>
      <c r="B560">
        <v>2025</v>
      </c>
      <c r="C560" s="1">
        <v>45733</v>
      </c>
      <c r="D560" t="s">
        <v>828</v>
      </c>
      <c r="E560" t="s">
        <v>1245</v>
      </c>
      <c r="F560" t="s">
        <v>1925</v>
      </c>
      <c r="G560" t="s">
        <v>2167</v>
      </c>
      <c r="H560" t="s">
        <v>2189</v>
      </c>
      <c r="I560" t="s">
        <v>2202</v>
      </c>
      <c r="J560" t="s">
        <v>2213</v>
      </c>
      <c r="K560" t="s">
        <v>2214</v>
      </c>
      <c r="L560" t="s">
        <v>2242</v>
      </c>
      <c r="M560" t="s">
        <v>2256</v>
      </c>
      <c r="N560">
        <v>5</v>
      </c>
      <c r="O560">
        <f t="shared" si="40"/>
        <v>77440</v>
      </c>
      <c r="P560">
        <f t="shared" si="41"/>
        <v>387200</v>
      </c>
      <c r="Q560">
        <v>5</v>
      </c>
      <c r="R560">
        <f t="shared" si="42"/>
        <v>367840</v>
      </c>
      <c r="S560" t="s">
        <v>2261</v>
      </c>
      <c r="T560" t="s">
        <v>2265</v>
      </c>
      <c r="U560" s="1" t="str">
        <f t="shared" si="43"/>
        <v>Not Delivered</v>
      </c>
      <c r="V560">
        <f t="shared" si="44"/>
        <v>58080</v>
      </c>
    </row>
    <row r="561" spans="1:22" x14ac:dyDescent="0.3">
      <c r="A561" t="s">
        <v>579</v>
      </c>
      <c r="B561">
        <v>2024</v>
      </c>
      <c r="C561" s="1">
        <v>45434</v>
      </c>
      <c r="D561" t="s">
        <v>825</v>
      </c>
      <c r="E561" t="s">
        <v>1246</v>
      </c>
      <c r="F561" t="s">
        <v>1926</v>
      </c>
      <c r="G561" t="s">
        <v>2167</v>
      </c>
      <c r="H561" t="s">
        <v>2189</v>
      </c>
      <c r="I561" t="s">
        <v>2202</v>
      </c>
      <c r="J561" t="s">
        <v>2211</v>
      </c>
      <c r="K561" t="s">
        <v>2214</v>
      </c>
      <c r="L561" t="s">
        <v>2242</v>
      </c>
      <c r="M561" t="s">
        <v>2251</v>
      </c>
      <c r="N561">
        <v>4</v>
      </c>
      <c r="O561">
        <f t="shared" si="40"/>
        <v>77440</v>
      </c>
      <c r="P561">
        <f t="shared" si="41"/>
        <v>309760</v>
      </c>
      <c r="Q561">
        <v>10</v>
      </c>
      <c r="R561">
        <f t="shared" si="42"/>
        <v>278784</v>
      </c>
      <c r="S561" t="s">
        <v>2262</v>
      </c>
      <c r="T561" t="s">
        <v>2265</v>
      </c>
      <c r="U561" s="1" t="str">
        <f t="shared" si="43"/>
        <v>Not Delivered</v>
      </c>
      <c r="V561">
        <f t="shared" si="44"/>
        <v>46464</v>
      </c>
    </row>
    <row r="562" spans="1:22" x14ac:dyDescent="0.3">
      <c r="A562" t="s">
        <v>580</v>
      </c>
      <c r="B562">
        <v>2024</v>
      </c>
      <c r="C562" s="1">
        <v>45303</v>
      </c>
      <c r="D562" t="s">
        <v>823</v>
      </c>
      <c r="E562" t="s">
        <v>1247</v>
      </c>
      <c r="F562" t="s">
        <v>1927</v>
      </c>
      <c r="G562" t="s">
        <v>2167</v>
      </c>
      <c r="H562" t="s">
        <v>2184</v>
      </c>
      <c r="I562" t="s">
        <v>2202</v>
      </c>
      <c r="J562" t="s">
        <v>2211</v>
      </c>
      <c r="K562" t="s">
        <v>2229</v>
      </c>
      <c r="L562" t="s">
        <v>2246</v>
      </c>
      <c r="M562" t="s">
        <v>2258</v>
      </c>
      <c r="N562">
        <v>1</v>
      </c>
      <c r="O562">
        <f t="shared" si="40"/>
        <v>77440</v>
      </c>
      <c r="P562">
        <f t="shared" si="41"/>
        <v>77440</v>
      </c>
      <c r="Q562">
        <v>10</v>
      </c>
      <c r="R562">
        <f t="shared" si="42"/>
        <v>69696</v>
      </c>
      <c r="S562" t="s">
        <v>2261</v>
      </c>
      <c r="T562" t="s">
        <v>2264</v>
      </c>
      <c r="U562" s="1" t="str">
        <f t="shared" si="43"/>
        <v>Not Delivered</v>
      </c>
      <c r="V562">
        <f t="shared" si="44"/>
        <v>11616</v>
      </c>
    </row>
    <row r="563" spans="1:22" x14ac:dyDescent="0.3">
      <c r="A563" t="s">
        <v>581</v>
      </c>
      <c r="B563">
        <v>2024</v>
      </c>
      <c r="C563" s="1">
        <v>45422</v>
      </c>
      <c r="D563" t="s">
        <v>824</v>
      </c>
      <c r="E563" t="s">
        <v>1101</v>
      </c>
      <c r="F563" t="s">
        <v>1928</v>
      </c>
      <c r="G563" t="s">
        <v>2167</v>
      </c>
      <c r="H563" t="s">
        <v>2188</v>
      </c>
      <c r="I563" t="s">
        <v>2208</v>
      </c>
      <c r="J563" t="s">
        <v>2212</v>
      </c>
      <c r="K563" t="s">
        <v>2238</v>
      </c>
      <c r="L563" t="s">
        <v>2246</v>
      </c>
      <c r="M563" t="s">
        <v>2253</v>
      </c>
      <c r="N563">
        <v>5</v>
      </c>
      <c r="O563">
        <f t="shared" si="40"/>
        <v>77440</v>
      </c>
      <c r="P563">
        <f t="shared" si="41"/>
        <v>387200</v>
      </c>
      <c r="Q563">
        <v>0</v>
      </c>
      <c r="R563">
        <f t="shared" si="42"/>
        <v>387200</v>
      </c>
      <c r="S563" t="s">
        <v>2262</v>
      </c>
      <c r="T563" t="s">
        <v>2265</v>
      </c>
      <c r="U563" s="1" t="str">
        <f t="shared" si="43"/>
        <v>Not Delivered</v>
      </c>
      <c r="V563">
        <f t="shared" si="44"/>
        <v>58080</v>
      </c>
    </row>
    <row r="564" spans="1:22" x14ac:dyDescent="0.3">
      <c r="A564" t="s">
        <v>582</v>
      </c>
      <c r="B564">
        <v>2025</v>
      </c>
      <c r="C564" s="1">
        <v>45838</v>
      </c>
      <c r="D564" t="s">
        <v>829</v>
      </c>
      <c r="E564" t="s">
        <v>891</v>
      </c>
      <c r="F564" t="s">
        <v>1929</v>
      </c>
      <c r="G564" t="s">
        <v>2167</v>
      </c>
      <c r="H564" t="s">
        <v>2175</v>
      </c>
      <c r="I564" t="s">
        <v>2203</v>
      </c>
      <c r="J564" t="s">
        <v>2210</v>
      </c>
      <c r="K564" t="s">
        <v>2235</v>
      </c>
      <c r="L564" t="s">
        <v>2247</v>
      </c>
      <c r="M564" t="s">
        <v>2256</v>
      </c>
      <c r="N564">
        <v>4</v>
      </c>
      <c r="O564">
        <f t="shared" si="40"/>
        <v>77440</v>
      </c>
      <c r="P564">
        <f t="shared" si="41"/>
        <v>309760</v>
      </c>
      <c r="Q564">
        <v>0</v>
      </c>
      <c r="R564">
        <f t="shared" si="42"/>
        <v>309760</v>
      </c>
      <c r="S564" t="s">
        <v>2260</v>
      </c>
      <c r="T564" t="s">
        <v>2265</v>
      </c>
      <c r="U564" s="1" t="str">
        <f t="shared" si="43"/>
        <v>Not Delivered</v>
      </c>
      <c r="V564">
        <f t="shared" si="44"/>
        <v>46464</v>
      </c>
    </row>
    <row r="565" spans="1:22" x14ac:dyDescent="0.3">
      <c r="A565" t="s">
        <v>583</v>
      </c>
      <c r="B565">
        <v>2024</v>
      </c>
      <c r="C565" s="1">
        <v>45338</v>
      </c>
      <c r="D565" t="s">
        <v>820</v>
      </c>
      <c r="E565" t="s">
        <v>1248</v>
      </c>
      <c r="F565" t="s">
        <v>1930</v>
      </c>
      <c r="G565" t="s">
        <v>2167</v>
      </c>
      <c r="H565" t="s">
        <v>2173</v>
      </c>
      <c r="I565" t="s">
        <v>2204</v>
      </c>
      <c r="J565" t="s">
        <v>2210</v>
      </c>
      <c r="K565" t="s">
        <v>2240</v>
      </c>
      <c r="L565" t="s">
        <v>2246</v>
      </c>
      <c r="M565" t="s">
        <v>2250</v>
      </c>
      <c r="N565">
        <v>4</v>
      </c>
      <c r="O565">
        <f t="shared" si="40"/>
        <v>77440</v>
      </c>
      <c r="P565">
        <f t="shared" si="41"/>
        <v>309760</v>
      </c>
      <c r="Q565">
        <v>20</v>
      </c>
      <c r="R565">
        <f t="shared" si="42"/>
        <v>247808</v>
      </c>
      <c r="S565" t="s">
        <v>2263</v>
      </c>
      <c r="T565" t="s">
        <v>2265</v>
      </c>
      <c r="U565" s="1" t="str">
        <f t="shared" si="43"/>
        <v>Not Delivered</v>
      </c>
      <c r="V565">
        <f t="shared" si="44"/>
        <v>46464</v>
      </c>
    </row>
    <row r="566" spans="1:22" x14ac:dyDescent="0.3">
      <c r="A566" t="s">
        <v>584</v>
      </c>
      <c r="B566">
        <v>2024</v>
      </c>
      <c r="C566" s="1">
        <v>45542</v>
      </c>
      <c r="D566" t="s">
        <v>821</v>
      </c>
      <c r="E566" t="s">
        <v>1249</v>
      </c>
      <c r="F566" t="s">
        <v>1931</v>
      </c>
      <c r="G566" t="s">
        <v>2167</v>
      </c>
      <c r="H566" t="s">
        <v>2181</v>
      </c>
      <c r="I566" t="s">
        <v>2209</v>
      </c>
      <c r="J566" t="s">
        <v>2213</v>
      </c>
      <c r="K566" t="s">
        <v>2236</v>
      </c>
      <c r="L566" t="s">
        <v>2242</v>
      </c>
      <c r="M566" t="s">
        <v>2252</v>
      </c>
      <c r="N566">
        <v>2</v>
      </c>
      <c r="O566">
        <f t="shared" si="40"/>
        <v>77440</v>
      </c>
      <c r="P566">
        <f t="shared" si="41"/>
        <v>154880</v>
      </c>
      <c r="Q566">
        <v>0</v>
      </c>
      <c r="R566">
        <f t="shared" si="42"/>
        <v>154880</v>
      </c>
      <c r="S566" t="s">
        <v>2262</v>
      </c>
      <c r="T566" t="s">
        <v>2265</v>
      </c>
      <c r="U566" s="1" t="str">
        <f t="shared" si="43"/>
        <v>Not Delivered</v>
      </c>
      <c r="V566">
        <f t="shared" si="44"/>
        <v>23232</v>
      </c>
    </row>
    <row r="567" spans="1:22" x14ac:dyDescent="0.3">
      <c r="A567" t="s">
        <v>585</v>
      </c>
      <c r="B567">
        <v>2024</v>
      </c>
      <c r="C567" s="1">
        <v>45313</v>
      </c>
      <c r="D567" t="s">
        <v>822</v>
      </c>
      <c r="E567" t="s">
        <v>1250</v>
      </c>
      <c r="F567" t="s">
        <v>1932</v>
      </c>
      <c r="G567" t="s">
        <v>2167</v>
      </c>
      <c r="H567" t="s">
        <v>2173</v>
      </c>
      <c r="I567" t="s">
        <v>2204</v>
      </c>
      <c r="J567" t="s">
        <v>2213</v>
      </c>
      <c r="K567" t="s">
        <v>2233</v>
      </c>
      <c r="L567" t="s">
        <v>2245</v>
      </c>
      <c r="M567" t="s">
        <v>2252</v>
      </c>
      <c r="N567">
        <v>3</v>
      </c>
      <c r="O567">
        <f t="shared" si="40"/>
        <v>77440</v>
      </c>
      <c r="P567">
        <f t="shared" si="41"/>
        <v>232320</v>
      </c>
      <c r="Q567">
        <v>0</v>
      </c>
      <c r="R567">
        <f t="shared" si="42"/>
        <v>232320</v>
      </c>
      <c r="S567" t="s">
        <v>2260</v>
      </c>
      <c r="T567" t="s">
        <v>2266</v>
      </c>
      <c r="U567" s="1">
        <f t="shared" si="43"/>
        <v>45320</v>
      </c>
      <c r="V567">
        <f t="shared" si="44"/>
        <v>34848</v>
      </c>
    </row>
    <row r="568" spans="1:22" x14ac:dyDescent="0.3">
      <c r="A568" t="s">
        <v>586</v>
      </c>
      <c r="B568">
        <v>2024</v>
      </c>
      <c r="C568" s="1">
        <v>45307</v>
      </c>
      <c r="D568" t="s">
        <v>829</v>
      </c>
      <c r="E568" t="s">
        <v>1184</v>
      </c>
      <c r="F568" t="s">
        <v>1933</v>
      </c>
      <c r="G568" t="s">
        <v>2167</v>
      </c>
      <c r="H568" t="s">
        <v>2172</v>
      </c>
      <c r="I568" t="s">
        <v>2203</v>
      </c>
      <c r="J568" t="s">
        <v>2212</v>
      </c>
      <c r="K568" t="s">
        <v>2215</v>
      </c>
      <c r="L568" t="s">
        <v>2243</v>
      </c>
      <c r="M568" t="s">
        <v>2253</v>
      </c>
      <c r="N568">
        <v>5</v>
      </c>
      <c r="O568">
        <f t="shared" si="40"/>
        <v>77440</v>
      </c>
      <c r="P568">
        <f t="shared" si="41"/>
        <v>387200</v>
      </c>
      <c r="Q568">
        <v>10</v>
      </c>
      <c r="R568">
        <f t="shared" si="42"/>
        <v>348480</v>
      </c>
      <c r="S568" t="s">
        <v>2262</v>
      </c>
      <c r="T568" t="s">
        <v>2264</v>
      </c>
      <c r="U568" s="1" t="str">
        <f t="shared" si="43"/>
        <v>Not Delivered</v>
      </c>
      <c r="V568">
        <f t="shared" si="44"/>
        <v>58080</v>
      </c>
    </row>
    <row r="569" spans="1:22" x14ac:dyDescent="0.3">
      <c r="A569" t="s">
        <v>587</v>
      </c>
      <c r="B569">
        <v>2024</v>
      </c>
      <c r="C569" s="1">
        <v>45398</v>
      </c>
      <c r="D569" t="s">
        <v>829</v>
      </c>
      <c r="E569" t="s">
        <v>1251</v>
      </c>
      <c r="F569" t="s">
        <v>1934</v>
      </c>
      <c r="G569" t="s">
        <v>2167</v>
      </c>
      <c r="H569" t="s">
        <v>2168</v>
      </c>
      <c r="I569" t="s">
        <v>2200</v>
      </c>
      <c r="J569" t="s">
        <v>2210</v>
      </c>
      <c r="K569" t="s">
        <v>2219</v>
      </c>
      <c r="L569" t="s">
        <v>2243</v>
      </c>
      <c r="M569" t="s">
        <v>2255</v>
      </c>
      <c r="N569">
        <v>1</v>
      </c>
      <c r="O569">
        <f t="shared" si="40"/>
        <v>77440</v>
      </c>
      <c r="P569">
        <f t="shared" si="41"/>
        <v>77440</v>
      </c>
      <c r="Q569">
        <v>20</v>
      </c>
      <c r="R569">
        <f t="shared" si="42"/>
        <v>61952</v>
      </c>
      <c r="S569" t="s">
        <v>2260</v>
      </c>
      <c r="T569" t="s">
        <v>2266</v>
      </c>
      <c r="U569" s="1">
        <f t="shared" si="43"/>
        <v>45405</v>
      </c>
      <c r="V569">
        <f t="shared" si="44"/>
        <v>11616</v>
      </c>
    </row>
    <row r="570" spans="1:22" x14ac:dyDescent="0.3">
      <c r="A570" t="s">
        <v>588</v>
      </c>
      <c r="B570">
        <v>2024</v>
      </c>
      <c r="C570" s="1">
        <v>45561</v>
      </c>
      <c r="D570" t="s">
        <v>823</v>
      </c>
      <c r="E570" t="s">
        <v>978</v>
      </c>
      <c r="F570" t="s">
        <v>1935</v>
      </c>
      <c r="G570" t="s">
        <v>2167</v>
      </c>
      <c r="H570" t="s">
        <v>2168</v>
      </c>
      <c r="I570" t="s">
        <v>2200</v>
      </c>
      <c r="J570" t="s">
        <v>2212</v>
      </c>
      <c r="K570" t="s">
        <v>2214</v>
      </c>
      <c r="L570" t="s">
        <v>2242</v>
      </c>
      <c r="M570" t="s">
        <v>2253</v>
      </c>
      <c r="N570">
        <v>2</v>
      </c>
      <c r="O570">
        <f t="shared" si="40"/>
        <v>77440</v>
      </c>
      <c r="P570">
        <f t="shared" si="41"/>
        <v>154880</v>
      </c>
      <c r="Q570">
        <v>5</v>
      </c>
      <c r="R570">
        <f t="shared" si="42"/>
        <v>147136</v>
      </c>
      <c r="S570" t="s">
        <v>2263</v>
      </c>
      <c r="T570" t="s">
        <v>2264</v>
      </c>
      <c r="U570" s="1" t="str">
        <f t="shared" si="43"/>
        <v>Not Delivered</v>
      </c>
      <c r="V570">
        <f t="shared" si="44"/>
        <v>23232</v>
      </c>
    </row>
    <row r="571" spans="1:22" x14ac:dyDescent="0.3">
      <c r="A571" t="s">
        <v>589</v>
      </c>
      <c r="B571">
        <v>2024</v>
      </c>
      <c r="C571" s="1">
        <v>45491</v>
      </c>
      <c r="D571" t="s">
        <v>826</v>
      </c>
      <c r="E571" t="s">
        <v>1190</v>
      </c>
      <c r="F571" t="s">
        <v>1936</v>
      </c>
      <c r="G571" t="s">
        <v>2167</v>
      </c>
      <c r="H571" t="s">
        <v>2169</v>
      </c>
      <c r="I571" t="s">
        <v>2201</v>
      </c>
      <c r="J571" t="s">
        <v>2213</v>
      </c>
      <c r="K571" t="s">
        <v>2217</v>
      </c>
      <c r="L571" t="s">
        <v>2244</v>
      </c>
      <c r="M571" t="s">
        <v>2259</v>
      </c>
      <c r="N571">
        <v>4</v>
      </c>
      <c r="O571">
        <f t="shared" si="40"/>
        <v>77440</v>
      </c>
      <c r="P571">
        <f t="shared" si="41"/>
        <v>309760</v>
      </c>
      <c r="Q571">
        <v>10</v>
      </c>
      <c r="R571">
        <f t="shared" si="42"/>
        <v>278784</v>
      </c>
      <c r="S571" t="s">
        <v>2263</v>
      </c>
      <c r="T571" t="s">
        <v>2264</v>
      </c>
      <c r="U571" s="1" t="str">
        <f t="shared" si="43"/>
        <v>Not Delivered</v>
      </c>
      <c r="V571">
        <f t="shared" si="44"/>
        <v>46464</v>
      </c>
    </row>
    <row r="572" spans="1:22" x14ac:dyDescent="0.3">
      <c r="A572" t="s">
        <v>590</v>
      </c>
      <c r="B572">
        <v>2024</v>
      </c>
      <c r="C572" s="1">
        <v>45326</v>
      </c>
      <c r="D572" t="s">
        <v>821</v>
      </c>
      <c r="E572" t="s">
        <v>913</v>
      </c>
      <c r="F572" t="s">
        <v>1937</v>
      </c>
      <c r="G572" t="s">
        <v>2167</v>
      </c>
      <c r="H572" t="s">
        <v>2187</v>
      </c>
      <c r="I572" t="s">
        <v>2209</v>
      </c>
      <c r="J572" t="s">
        <v>2211</v>
      </c>
      <c r="K572" t="s">
        <v>2226</v>
      </c>
      <c r="L572" t="s">
        <v>2244</v>
      </c>
      <c r="M572" t="s">
        <v>2259</v>
      </c>
      <c r="N572">
        <v>5</v>
      </c>
      <c r="O572">
        <f t="shared" si="40"/>
        <v>77440</v>
      </c>
      <c r="P572">
        <f t="shared" si="41"/>
        <v>387200</v>
      </c>
      <c r="Q572">
        <v>20</v>
      </c>
      <c r="R572">
        <f t="shared" si="42"/>
        <v>309760</v>
      </c>
      <c r="S572" t="s">
        <v>2261</v>
      </c>
      <c r="T572" t="s">
        <v>2264</v>
      </c>
      <c r="U572" s="1" t="str">
        <f t="shared" si="43"/>
        <v>Not Delivered</v>
      </c>
      <c r="V572">
        <f t="shared" si="44"/>
        <v>58080</v>
      </c>
    </row>
    <row r="573" spans="1:22" x14ac:dyDescent="0.3">
      <c r="A573" t="s">
        <v>591</v>
      </c>
      <c r="B573">
        <v>2024</v>
      </c>
      <c r="C573" s="1">
        <v>45326</v>
      </c>
      <c r="D573" t="s">
        <v>825</v>
      </c>
      <c r="E573" t="s">
        <v>945</v>
      </c>
      <c r="F573" t="s">
        <v>1938</v>
      </c>
      <c r="G573" t="s">
        <v>2167</v>
      </c>
      <c r="H573" t="s">
        <v>2188</v>
      </c>
      <c r="I573" t="s">
        <v>2208</v>
      </c>
      <c r="J573" t="s">
        <v>2211</v>
      </c>
      <c r="K573" t="s">
        <v>2214</v>
      </c>
      <c r="L573" t="s">
        <v>2242</v>
      </c>
      <c r="M573" t="s">
        <v>2251</v>
      </c>
      <c r="N573">
        <v>1</v>
      </c>
      <c r="O573">
        <f t="shared" si="40"/>
        <v>77440</v>
      </c>
      <c r="P573">
        <f t="shared" si="41"/>
        <v>77440</v>
      </c>
      <c r="Q573">
        <v>0</v>
      </c>
      <c r="R573">
        <f t="shared" si="42"/>
        <v>77440</v>
      </c>
      <c r="S573" t="s">
        <v>2263</v>
      </c>
      <c r="T573" t="s">
        <v>2266</v>
      </c>
      <c r="U573" s="1">
        <f t="shared" si="43"/>
        <v>45333</v>
      </c>
      <c r="V573">
        <f t="shared" si="44"/>
        <v>11616</v>
      </c>
    </row>
    <row r="574" spans="1:22" x14ac:dyDescent="0.3">
      <c r="A574" t="s">
        <v>592</v>
      </c>
      <c r="B574">
        <v>2024</v>
      </c>
      <c r="C574" s="1">
        <v>45627</v>
      </c>
      <c r="D574" t="s">
        <v>822</v>
      </c>
      <c r="E574" t="s">
        <v>1252</v>
      </c>
      <c r="F574" t="s">
        <v>1939</v>
      </c>
      <c r="G574" t="s">
        <v>2167</v>
      </c>
      <c r="H574" t="s">
        <v>2172</v>
      </c>
      <c r="I574" t="s">
        <v>2203</v>
      </c>
      <c r="J574" t="s">
        <v>2210</v>
      </c>
      <c r="K574" t="s">
        <v>2236</v>
      </c>
      <c r="L574" t="s">
        <v>2242</v>
      </c>
      <c r="M574" t="s">
        <v>2257</v>
      </c>
      <c r="N574">
        <v>2</v>
      </c>
      <c r="O574">
        <f t="shared" si="40"/>
        <v>77440</v>
      </c>
      <c r="P574">
        <f t="shared" si="41"/>
        <v>154880</v>
      </c>
      <c r="Q574">
        <v>0</v>
      </c>
      <c r="R574">
        <f t="shared" si="42"/>
        <v>154880</v>
      </c>
      <c r="S574" t="s">
        <v>2260</v>
      </c>
      <c r="T574" t="s">
        <v>2265</v>
      </c>
      <c r="U574" s="1" t="str">
        <f t="shared" si="43"/>
        <v>Not Delivered</v>
      </c>
      <c r="V574">
        <f t="shared" si="44"/>
        <v>23232</v>
      </c>
    </row>
    <row r="575" spans="1:22" x14ac:dyDescent="0.3">
      <c r="A575" t="s">
        <v>593</v>
      </c>
      <c r="B575">
        <v>2025</v>
      </c>
      <c r="C575" s="1">
        <v>45735</v>
      </c>
      <c r="D575" t="s">
        <v>822</v>
      </c>
      <c r="E575" t="s">
        <v>1253</v>
      </c>
      <c r="F575" t="s">
        <v>1940</v>
      </c>
      <c r="G575" t="s">
        <v>2167</v>
      </c>
      <c r="H575" t="s">
        <v>2168</v>
      </c>
      <c r="I575" t="s">
        <v>2200</v>
      </c>
      <c r="J575" t="s">
        <v>2213</v>
      </c>
      <c r="K575" t="s">
        <v>2228</v>
      </c>
      <c r="L575" t="s">
        <v>2243</v>
      </c>
      <c r="M575" t="s">
        <v>2249</v>
      </c>
      <c r="N575">
        <v>3</v>
      </c>
      <c r="O575">
        <f t="shared" si="40"/>
        <v>77440</v>
      </c>
      <c r="P575">
        <f t="shared" si="41"/>
        <v>232320</v>
      </c>
      <c r="Q575">
        <v>0</v>
      </c>
      <c r="R575">
        <f t="shared" si="42"/>
        <v>232320</v>
      </c>
      <c r="S575" t="s">
        <v>2262</v>
      </c>
      <c r="T575" t="s">
        <v>2266</v>
      </c>
      <c r="U575" s="1">
        <f t="shared" si="43"/>
        <v>45742</v>
      </c>
      <c r="V575">
        <f t="shared" si="44"/>
        <v>34848</v>
      </c>
    </row>
    <row r="576" spans="1:22" x14ac:dyDescent="0.3">
      <c r="A576" t="s">
        <v>594</v>
      </c>
      <c r="B576">
        <v>2024</v>
      </c>
      <c r="C576" s="1">
        <v>45434</v>
      </c>
      <c r="D576" t="s">
        <v>825</v>
      </c>
      <c r="E576" t="s">
        <v>1254</v>
      </c>
      <c r="F576" t="s">
        <v>1941</v>
      </c>
      <c r="G576" t="s">
        <v>2167</v>
      </c>
      <c r="H576" t="s">
        <v>2186</v>
      </c>
      <c r="I576" t="s">
        <v>2201</v>
      </c>
      <c r="J576" t="s">
        <v>2210</v>
      </c>
      <c r="K576" t="s">
        <v>2220</v>
      </c>
      <c r="L576" t="s">
        <v>2245</v>
      </c>
      <c r="M576" t="s">
        <v>2255</v>
      </c>
      <c r="N576">
        <v>1</v>
      </c>
      <c r="O576">
        <f t="shared" si="40"/>
        <v>77440</v>
      </c>
      <c r="P576">
        <f t="shared" si="41"/>
        <v>77440</v>
      </c>
      <c r="Q576">
        <v>0</v>
      </c>
      <c r="R576">
        <f t="shared" si="42"/>
        <v>77440</v>
      </c>
      <c r="S576" t="s">
        <v>2263</v>
      </c>
      <c r="T576" t="s">
        <v>2264</v>
      </c>
      <c r="U576" s="1" t="str">
        <f t="shared" si="43"/>
        <v>Not Delivered</v>
      </c>
      <c r="V576">
        <f t="shared" si="44"/>
        <v>11616</v>
      </c>
    </row>
    <row r="577" spans="1:22" x14ac:dyDescent="0.3">
      <c r="A577" t="s">
        <v>595</v>
      </c>
      <c r="B577">
        <v>2025</v>
      </c>
      <c r="C577" s="1">
        <v>45690</v>
      </c>
      <c r="D577" t="s">
        <v>820</v>
      </c>
      <c r="E577" t="s">
        <v>1255</v>
      </c>
      <c r="F577" t="s">
        <v>1942</v>
      </c>
      <c r="G577" t="s">
        <v>2167</v>
      </c>
      <c r="H577" t="s">
        <v>2179</v>
      </c>
      <c r="I577" t="s">
        <v>2206</v>
      </c>
      <c r="J577" t="s">
        <v>2213</v>
      </c>
      <c r="K577" t="s">
        <v>2234</v>
      </c>
      <c r="L577" t="s">
        <v>2244</v>
      </c>
      <c r="M577" t="s">
        <v>2248</v>
      </c>
      <c r="N577">
        <v>5</v>
      </c>
      <c r="O577">
        <f t="shared" si="40"/>
        <v>77440</v>
      </c>
      <c r="P577">
        <f t="shared" si="41"/>
        <v>387200</v>
      </c>
      <c r="Q577">
        <v>15</v>
      </c>
      <c r="R577">
        <f t="shared" si="42"/>
        <v>329120</v>
      </c>
      <c r="S577" t="s">
        <v>2263</v>
      </c>
      <c r="T577" t="s">
        <v>2266</v>
      </c>
      <c r="U577" s="1">
        <f t="shared" si="43"/>
        <v>45697</v>
      </c>
      <c r="V577">
        <f t="shared" si="44"/>
        <v>58080</v>
      </c>
    </row>
    <row r="578" spans="1:22" x14ac:dyDescent="0.3">
      <c r="A578" t="s">
        <v>596</v>
      </c>
      <c r="B578">
        <v>2024</v>
      </c>
      <c r="C578" s="1">
        <v>45465</v>
      </c>
      <c r="D578" t="s">
        <v>825</v>
      </c>
      <c r="E578" t="s">
        <v>1214</v>
      </c>
      <c r="F578" t="s">
        <v>1943</v>
      </c>
      <c r="G578" t="s">
        <v>2167</v>
      </c>
      <c r="H578" t="s">
        <v>2195</v>
      </c>
      <c r="I578" t="s">
        <v>2206</v>
      </c>
      <c r="J578" t="s">
        <v>2210</v>
      </c>
      <c r="K578" t="s">
        <v>2216</v>
      </c>
      <c r="L578" t="s">
        <v>2242</v>
      </c>
      <c r="M578" t="s">
        <v>2257</v>
      </c>
      <c r="N578">
        <v>3</v>
      </c>
      <c r="O578">
        <f t="shared" si="40"/>
        <v>77440</v>
      </c>
      <c r="P578">
        <f t="shared" si="41"/>
        <v>232320</v>
      </c>
      <c r="Q578">
        <v>0</v>
      </c>
      <c r="R578">
        <f t="shared" si="42"/>
        <v>232320</v>
      </c>
      <c r="S578" t="s">
        <v>2261</v>
      </c>
      <c r="T578" t="s">
        <v>2264</v>
      </c>
      <c r="U578" s="1" t="str">
        <f t="shared" si="43"/>
        <v>Not Delivered</v>
      </c>
      <c r="V578">
        <f t="shared" si="44"/>
        <v>34848</v>
      </c>
    </row>
    <row r="579" spans="1:22" x14ac:dyDescent="0.3">
      <c r="A579" t="s">
        <v>597</v>
      </c>
      <c r="B579">
        <v>2024</v>
      </c>
      <c r="C579" s="1">
        <v>45625</v>
      </c>
      <c r="D579" t="s">
        <v>827</v>
      </c>
      <c r="E579" t="s">
        <v>1256</v>
      </c>
      <c r="F579" t="s">
        <v>1944</v>
      </c>
      <c r="G579" t="s">
        <v>2167</v>
      </c>
      <c r="H579" t="s">
        <v>2195</v>
      </c>
      <c r="I579" t="s">
        <v>2206</v>
      </c>
      <c r="J579" t="s">
        <v>2210</v>
      </c>
      <c r="K579" t="s">
        <v>2230</v>
      </c>
      <c r="L579" t="s">
        <v>2247</v>
      </c>
      <c r="M579" t="s">
        <v>2255</v>
      </c>
      <c r="N579">
        <v>1</v>
      </c>
      <c r="O579">
        <f t="shared" ref="O579:O642" si="45">ROUNDUP((77431.41),-1)</f>
        <v>77440</v>
      </c>
      <c r="P579">
        <f t="shared" ref="P579:P642" si="46">O579*N579</f>
        <v>77440</v>
      </c>
      <c r="Q579">
        <v>20</v>
      </c>
      <c r="R579">
        <f t="shared" ref="R579:R642" si="47">P579*(1-Q579/100)</f>
        <v>61952</v>
      </c>
      <c r="S579" t="s">
        <v>2262</v>
      </c>
      <c r="T579" t="s">
        <v>2266</v>
      </c>
      <c r="U579" s="1">
        <f t="shared" ref="U579:U642" si="48">IF(T579="Delivered", C579 + 7, "Not Delivered")</f>
        <v>45632</v>
      </c>
      <c r="V579">
        <f t="shared" ref="V579:V642" si="49">P579*15%</f>
        <v>11616</v>
      </c>
    </row>
    <row r="580" spans="1:22" x14ac:dyDescent="0.3">
      <c r="A580" t="s">
        <v>598</v>
      </c>
      <c r="B580">
        <v>2025</v>
      </c>
      <c r="C580" s="1">
        <v>45800</v>
      </c>
      <c r="D580" t="s">
        <v>823</v>
      </c>
      <c r="E580" t="s">
        <v>1257</v>
      </c>
      <c r="F580" t="s">
        <v>1945</v>
      </c>
      <c r="G580" t="s">
        <v>2167</v>
      </c>
      <c r="H580" t="s">
        <v>2189</v>
      </c>
      <c r="I580" t="s">
        <v>2202</v>
      </c>
      <c r="J580" t="s">
        <v>2212</v>
      </c>
      <c r="K580" t="s">
        <v>2217</v>
      </c>
      <c r="L580" t="s">
        <v>2244</v>
      </c>
      <c r="M580" t="s">
        <v>2249</v>
      </c>
      <c r="N580">
        <v>2</v>
      </c>
      <c r="O580">
        <f t="shared" si="45"/>
        <v>77440</v>
      </c>
      <c r="P580">
        <f t="shared" si="46"/>
        <v>154880</v>
      </c>
      <c r="Q580">
        <v>20</v>
      </c>
      <c r="R580">
        <f t="shared" si="47"/>
        <v>123904</v>
      </c>
      <c r="S580" t="s">
        <v>2261</v>
      </c>
      <c r="T580" t="s">
        <v>2266</v>
      </c>
      <c r="U580" s="1">
        <f t="shared" si="48"/>
        <v>45807</v>
      </c>
      <c r="V580">
        <f t="shared" si="49"/>
        <v>23232</v>
      </c>
    </row>
    <row r="581" spans="1:22" x14ac:dyDescent="0.3">
      <c r="A581" t="s">
        <v>599</v>
      </c>
      <c r="B581">
        <v>2024</v>
      </c>
      <c r="C581" s="1">
        <v>45565</v>
      </c>
      <c r="D581" t="s">
        <v>820</v>
      </c>
      <c r="E581" t="s">
        <v>1038</v>
      </c>
      <c r="F581" t="s">
        <v>1946</v>
      </c>
      <c r="G581" t="s">
        <v>2167</v>
      </c>
      <c r="H581" t="s">
        <v>2192</v>
      </c>
      <c r="I581" t="s">
        <v>2207</v>
      </c>
      <c r="J581" t="s">
        <v>2212</v>
      </c>
      <c r="K581" t="s">
        <v>2233</v>
      </c>
      <c r="L581" t="s">
        <v>2245</v>
      </c>
      <c r="M581" t="s">
        <v>2252</v>
      </c>
      <c r="N581">
        <v>5</v>
      </c>
      <c r="O581">
        <f t="shared" si="45"/>
        <v>77440</v>
      </c>
      <c r="P581">
        <f t="shared" si="46"/>
        <v>387200</v>
      </c>
      <c r="Q581">
        <v>5</v>
      </c>
      <c r="R581">
        <f t="shared" si="47"/>
        <v>367840</v>
      </c>
      <c r="S581" t="s">
        <v>2260</v>
      </c>
      <c r="T581" t="s">
        <v>2265</v>
      </c>
      <c r="U581" s="1" t="str">
        <f t="shared" si="48"/>
        <v>Not Delivered</v>
      </c>
      <c r="V581">
        <f t="shared" si="49"/>
        <v>58080</v>
      </c>
    </row>
    <row r="582" spans="1:22" x14ac:dyDescent="0.3">
      <c r="A582" t="s">
        <v>600</v>
      </c>
      <c r="B582">
        <v>2025</v>
      </c>
      <c r="C582" s="1">
        <v>45744</v>
      </c>
      <c r="D582" t="s">
        <v>825</v>
      </c>
      <c r="E582" t="s">
        <v>1124</v>
      </c>
      <c r="F582" t="s">
        <v>1947</v>
      </c>
      <c r="G582" t="s">
        <v>2167</v>
      </c>
      <c r="H582" t="s">
        <v>2187</v>
      </c>
      <c r="I582" t="s">
        <v>2209</v>
      </c>
      <c r="J582" t="s">
        <v>2213</v>
      </c>
      <c r="K582" t="s">
        <v>2234</v>
      </c>
      <c r="L582" t="s">
        <v>2244</v>
      </c>
      <c r="M582" t="s">
        <v>2253</v>
      </c>
      <c r="N582">
        <v>2</v>
      </c>
      <c r="O582">
        <f t="shared" si="45"/>
        <v>77440</v>
      </c>
      <c r="P582">
        <f t="shared" si="46"/>
        <v>154880</v>
      </c>
      <c r="Q582">
        <v>20</v>
      </c>
      <c r="R582">
        <f t="shared" si="47"/>
        <v>123904</v>
      </c>
      <c r="S582" t="s">
        <v>2263</v>
      </c>
      <c r="T582" t="s">
        <v>2265</v>
      </c>
      <c r="U582" s="1" t="str">
        <f t="shared" si="48"/>
        <v>Not Delivered</v>
      </c>
      <c r="V582">
        <f t="shared" si="49"/>
        <v>23232</v>
      </c>
    </row>
    <row r="583" spans="1:22" x14ac:dyDescent="0.3">
      <c r="A583" t="s">
        <v>601</v>
      </c>
      <c r="B583">
        <v>2024</v>
      </c>
      <c r="C583" s="1">
        <v>45352</v>
      </c>
      <c r="D583" t="s">
        <v>829</v>
      </c>
      <c r="E583" t="s">
        <v>1097</v>
      </c>
      <c r="F583" t="s">
        <v>1948</v>
      </c>
      <c r="G583" t="s">
        <v>2167</v>
      </c>
      <c r="H583" t="s">
        <v>2196</v>
      </c>
      <c r="I583" t="s">
        <v>2205</v>
      </c>
      <c r="J583" t="s">
        <v>2213</v>
      </c>
      <c r="K583" t="s">
        <v>2235</v>
      </c>
      <c r="L583" t="s">
        <v>2247</v>
      </c>
      <c r="M583" t="s">
        <v>2258</v>
      </c>
      <c r="N583">
        <v>1</v>
      </c>
      <c r="O583">
        <f t="shared" si="45"/>
        <v>77440</v>
      </c>
      <c r="P583">
        <f t="shared" si="46"/>
        <v>77440</v>
      </c>
      <c r="Q583">
        <v>10</v>
      </c>
      <c r="R583">
        <f t="shared" si="47"/>
        <v>69696</v>
      </c>
      <c r="S583" t="s">
        <v>2262</v>
      </c>
      <c r="T583" t="s">
        <v>2264</v>
      </c>
      <c r="U583" s="1" t="str">
        <f t="shared" si="48"/>
        <v>Not Delivered</v>
      </c>
      <c r="V583">
        <f t="shared" si="49"/>
        <v>11616</v>
      </c>
    </row>
    <row r="584" spans="1:22" x14ac:dyDescent="0.3">
      <c r="A584" t="s">
        <v>602</v>
      </c>
      <c r="B584">
        <v>2024</v>
      </c>
      <c r="C584" s="1">
        <v>45496</v>
      </c>
      <c r="D584" t="s">
        <v>828</v>
      </c>
      <c r="E584" t="s">
        <v>1238</v>
      </c>
      <c r="F584" t="s">
        <v>1949</v>
      </c>
      <c r="G584" t="s">
        <v>2167</v>
      </c>
      <c r="H584" t="s">
        <v>2184</v>
      </c>
      <c r="I584" t="s">
        <v>2202</v>
      </c>
      <c r="J584" t="s">
        <v>2213</v>
      </c>
      <c r="K584" t="s">
        <v>2216</v>
      </c>
      <c r="L584" t="s">
        <v>2242</v>
      </c>
      <c r="M584" t="s">
        <v>2251</v>
      </c>
      <c r="N584">
        <v>1</v>
      </c>
      <c r="O584">
        <f t="shared" si="45"/>
        <v>77440</v>
      </c>
      <c r="P584">
        <f t="shared" si="46"/>
        <v>77440</v>
      </c>
      <c r="Q584">
        <v>20</v>
      </c>
      <c r="R584">
        <f t="shared" si="47"/>
        <v>61952</v>
      </c>
      <c r="S584" t="s">
        <v>2261</v>
      </c>
      <c r="T584" t="s">
        <v>2265</v>
      </c>
      <c r="U584" s="1" t="str">
        <f t="shared" si="48"/>
        <v>Not Delivered</v>
      </c>
      <c r="V584">
        <f t="shared" si="49"/>
        <v>11616</v>
      </c>
    </row>
    <row r="585" spans="1:22" x14ac:dyDescent="0.3">
      <c r="A585" t="s">
        <v>603</v>
      </c>
      <c r="B585">
        <v>2024</v>
      </c>
      <c r="C585" s="1">
        <v>45298</v>
      </c>
      <c r="D585" t="s">
        <v>829</v>
      </c>
      <c r="E585" t="s">
        <v>1258</v>
      </c>
      <c r="F585" t="s">
        <v>1950</v>
      </c>
      <c r="G585" t="s">
        <v>2167</v>
      </c>
      <c r="H585" t="s">
        <v>2199</v>
      </c>
      <c r="I585" t="s">
        <v>2205</v>
      </c>
      <c r="J585" t="s">
        <v>2213</v>
      </c>
      <c r="K585" t="s">
        <v>2224</v>
      </c>
      <c r="L585" t="s">
        <v>2245</v>
      </c>
      <c r="M585" t="s">
        <v>2256</v>
      </c>
      <c r="N585">
        <v>5</v>
      </c>
      <c r="O585">
        <f t="shared" si="45"/>
        <v>77440</v>
      </c>
      <c r="P585">
        <f t="shared" si="46"/>
        <v>387200</v>
      </c>
      <c r="Q585">
        <v>0</v>
      </c>
      <c r="R585">
        <f t="shared" si="47"/>
        <v>387200</v>
      </c>
      <c r="S585" t="s">
        <v>2261</v>
      </c>
      <c r="T585" t="s">
        <v>2264</v>
      </c>
      <c r="U585" s="1" t="str">
        <f t="shared" si="48"/>
        <v>Not Delivered</v>
      </c>
      <c r="V585">
        <f t="shared" si="49"/>
        <v>58080</v>
      </c>
    </row>
    <row r="586" spans="1:22" x14ac:dyDescent="0.3">
      <c r="A586" t="s">
        <v>604</v>
      </c>
      <c r="B586">
        <v>2024</v>
      </c>
      <c r="C586" s="1">
        <v>45645</v>
      </c>
      <c r="D586" t="s">
        <v>821</v>
      </c>
      <c r="E586" t="s">
        <v>1114</v>
      </c>
      <c r="F586" t="s">
        <v>1951</v>
      </c>
      <c r="G586" t="s">
        <v>2167</v>
      </c>
      <c r="H586" t="s">
        <v>2177</v>
      </c>
      <c r="I586" t="s">
        <v>2206</v>
      </c>
      <c r="J586" t="s">
        <v>2211</v>
      </c>
      <c r="K586" t="s">
        <v>2241</v>
      </c>
      <c r="L586" t="s">
        <v>2247</v>
      </c>
      <c r="M586" t="s">
        <v>2252</v>
      </c>
      <c r="N586">
        <v>3</v>
      </c>
      <c r="O586">
        <f t="shared" si="45"/>
        <v>77440</v>
      </c>
      <c r="P586">
        <f t="shared" si="46"/>
        <v>232320</v>
      </c>
      <c r="Q586">
        <v>20</v>
      </c>
      <c r="R586">
        <f t="shared" si="47"/>
        <v>185856</v>
      </c>
      <c r="S586" t="s">
        <v>2260</v>
      </c>
      <c r="T586" t="s">
        <v>2264</v>
      </c>
      <c r="U586" s="1" t="str">
        <f t="shared" si="48"/>
        <v>Not Delivered</v>
      </c>
      <c r="V586">
        <f t="shared" si="49"/>
        <v>34848</v>
      </c>
    </row>
    <row r="587" spans="1:22" x14ac:dyDescent="0.3">
      <c r="A587" t="s">
        <v>605</v>
      </c>
      <c r="B587">
        <v>2025</v>
      </c>
      <c r="C587" s="1">
        <v>45746</v>
      </c>
      <c r="D587" t="s">
        <v>828</v>
      </c>
      <c r="E587" t="s">
        <v>882</v>
      </c>
      <c r="F587" t="s">
        <v>1952</v>
      </c>
      <c r="G587" t="s">
        <v>2167</v>
      </c>
      <c r="H587" t="s">
        <v>2170</v>
      </c>
      <c r="I587" t="s">
        <v>2201</v>
      </c>
      <c r="J587" t="s">
        <v>2211</v>
      </c>
      <c r="K587" t="s">
        <v>2232</v>
      </c>
      <c r="L587" t="s">
        <v>2243</v>
      </c>
      <c r="M587" t="s">
        <v>2253</v>
      </c>
      <c r="N587">
        <v>4</v>
      </c>
      <c r="O587">
        <f t="shared" si="45"/>
        <v>77440</v>
      </c>
      <c r="P587">
        <f t="shared" si="46"/>
        <v>309760</v>
      </c>
      <c r="Q587">
        <v>10</v>
      </c>
      <c r="R587">
        <f t="shared" si="47"/>
        <v>278784</v>
      </c>
      <c r="S587" t="s">
        <v>2262</v>
      </c>
      <c r="T587" t="s">
        <v>2266</v>
      </c>
      <c r="U587" s="1">
        <f t="shared" si="48"/>
        <v>45753</v>
      </c>
      <c r="V587">
        <f t="shared" si="49"/>
        <v>46464</v>
      </c>
    </row>
    <row r="588" spans="1:22" x14ac:dyDescent="0.3">
      <c r="A588" t="s">
        <v>606</v>
      </c>
      <c r="B588">
        <v>2024</v>
      </c>
      <c r="C588" s="1">
        <v>45295</v>
      </c>
      <c r="D588" t="s">
        <v>829</v>
      </c>
      <c r="E588" t="s">
        <v>1259</v>
      </c>
      <c r="F588" t="s">
        <v>1953</v>
      </c>
      <c r="G588" t="s">
        <v>2167</v>
      </c>
      <c r="H588" t="s">
        <v>2178</v>
      </c>
      <c r="I588" t="s">
        <v>2207</v>
      </c>
      <c r="J588" t="s">
        <v>2211</v>
      </c>
      <c r="K588" t="s">
        <v>2237</v>
      </c>
      <c r="L588" t="s">
        <v>2246</v>
      </c>
      <c r="M588" t="s">
        <v>2256</v>
      </c>
      <c r="N588">
        <v>2</v>
      </c>
      <c r="O588">
        <f t="shared" si="45"/>
        <v>77440</v>
      </c>
      <c r="P588">
        <f t="shared" si="46"/>
        <v>154880</v>
      </c>
      <c r="Q588">
        <v>20</v>
      </c>
      <c r="R588">
        <f t="shared" si="47"/>
        <v>123904</v>
      </c>
      <c r="S588" t="s">
        <v>2263</v>
      </c>
      <c r="T588" t="s">
        <v>2266</v>
      </c>
      <c r="U588" s="1">
        <f t="shared" si="48"/>
        <v>45302</v>
      </c>
      <c r="V588">
        <f t="shared" si="49"/>
        <v>23232</v>
      </c>
    </row>
    <row r="589" spans="1:22" x14ac:dyDescent="0.3">
      <c r="A589" t="s">
        <v>607</v>
      </c>
      <c r="B589">
        <v>2024</v>
      </c>
      <c r="C589" s="1">
        <v>45323</v>
      </c>
      <c r="D589" t="s">
        <v>822</v>
      </c>
      <c r="E589" t="s">
        <v>887</v>
      </c>
      <c r="F589" t="s">
        <v>1954</v>
      </c>
      <c r="G589" t="s">
        <v>2167</v>
      </c>
      <c r="H589" t="s">
        <v>2188</v>
      </c>
      <c r="I589" t="s">
        <v>2208</v>
      </c>
      <c r="J589" t="s">
        <v>2211</v>
      </c>
      <c r="K589" t="s">
        <v>2234</v>
      </c>
      <c r="L589" t="s">
        <v>2244</v>
      </c>
      <c r="M589" t="s">
        <v>2253</v>
      </c>
      <c r="N589">
        <v>3</v>
      </c>
      <c r="O589">
        <f t="shared" si="45"/>
        <v>77440</v>
      </c>
      <c r="P589">
        <f t="shared" si="46"/>
        <v>232320</v>
      </c>
      <c r="Q589">
        <v>15</v>
      </c>
      <c r="R589">
        <f t="shared" si="47"/>
        <v>197472</v>
      </c>
      <c r="S589" t="s">
        <v>2260</v>
      </c>
      <c r="T589" t="s">
        <v>2264</v>
      </c>
      <c r="U589" s="1" t="str">
        <f t="shared" si="48"/>
        <v>Not Delivered</v>
      </c>
      <c r="V589">
        <f t="shared" si="49"/>
        <v>34848</v>
      </c>
    </row>
    <row r="590" spans="1:22" x14ac:dyDescent="0.3">
      <c r="A590" t="s">
        <v>608</v>
      </c>
      <c r="B590">
        <v>2024</v>
      </c>
      <c r="C590" s="1">
        <v>45520</v>
      </c>
      <c r="D590" t="s">
        <v>821</v>
      </c>
      <c r="E590" t="s">
        <v>1066</v>
      </c>
      <c r="F590" t="s">
        <v>1955</v>
      </c>
      <c r="G590" t="s">
        <v>2167</v>
      </c>
      <c r="H590" t="s">
        <v>2195</v>
      </c>
      <c r="I590" t="s">
        <v>2206</v>
      </c>
      <c r="J590" t="s">
        <v>2213</v>
      </c>
      <c r="K590" t="s">
        <v>2214</v>
      </c>
      <c r="L590" t="s">
        <v>2242</v>
      </c>
      <c r="M590" t="s">
        <v>2252</v>
      </c>
      <c r="N590">
        <v>5</v>
      </c>
      <c r="O590">
        <f t="shared" si="45"/>
        <v>77440</v>
      </c>
      <c r="P590">
        <f t="shared" si="46"/>
        <v>387200</v>
      </c>
      <c r="Q590">
        <v>5</v>
      </c>
      <c r="R590">
        <f t="shared" si="47"/>
        <v>367840</v>
      </c>
      <c r="S590" t="s">
        <v>2263</v>
      </c>
      <c r="T590" t="s">
        <v>2265</v>
      </c>
      <c r="U590" s="1" t="str">
        <f t="shared" si="48"/>
        <v>Not Delivered</v>
      </c>
      <c r="V590">
        <f t="shared" si="49"/>
        <v>58080</v>
      </c>
    </row>
    <row r="591" spans="1:22" x14ac:dyDescent="0.3">
      <c r="A591" t="s">
        <v>609</v>
      </c>
      <c r="B591">
        <v>2024</v>
      </c>
      <c r="C591" s="1">
        <v>45385</v>
      </c>
      <c r="D591" t="s">
        <v>821</v>
      </c>
      <c r="E591" t="s">
        <v>1260</v>
      </c>
      <c r="F591" t="s">
        <v>1956</v>
      </c>
      <c r="G591" t="s">
        <v>2167</v>
      </c>
      <c r="H591" t="s">
        <v>2192</v>
      </c>
      <c r="I591" t="s">
        <v>2207</v>
      </c>
      <c r="J591" t="s">
        <v>2213</v>
      </c>
      <c r="K591" t="s">
        <v>2223</v>
      </c>
      <c r="L591" t="s">
        <v>2245</v>
      </c>
      <c r="M591" t="s">
        <v>2256</v>
      </c>
      <c r="N591">
        <v>1</v>
      </c>
      <c r="O591">
        <f t="shared" si="45"/>
        <v>77440</v>
      </c>
      <c r="P591">
        <f t="shared" si="46"/>
        <v>77440</v>
      </c>
      <c r="Q591">
        <v>5</v>
      </c>
      <c r="R591">
        <f t="shared" si="47"/>
        <v>73568</v>
      </c>
      <c r="S591" t="s">
        <v>2263</v>
      </c>
      <c r="T591" t="s">
        <v>2266</v>
      </c>
      <c r="U591" s="1">
        <f t="shared" si="48"/>
        <v>45392</v>
      </c>
      <c r="V591">
        <f t="shared" si="49"/>
        <v>11616</v>
      </c>
    </row>
    <row r="592" spans="1:22" x14ac:dyDescent="0.3">
      <c r="A592" t="s">
        <v>610</v>
      </c>
      <c r="B592">
        <v>2024</v>
      </c>
      <c r="C592" s="1">
        <v>45545</v>
      </c>
      <c r="D592" t="s">
        <v>829</v>
      </c>
      <c r="E592" t="s">
        <v>896</v>
      </c>
      <c r="F592" t="s">
        <v>1957</v>
      </c>
      <c r="G592" t="s">
        <v>2167</v>
      </c>
      <c r="H592" t="s">
        <v>2176</v>
      </c>
      <c r="I592" t="s">
        <v>2205</v>
      </c>
      <c r="J592" t="s">
        <v>2210</v>
      </c>
      <c r="K592" t="s">
        <v>2222</v>
      </c>
      <c r="L592" t="s">
        <v>2247</v>
      </c>
      <c r="M592" t="s">
        <v>2248</v>
      </c>
      <c r="N592">
        <v>4</v>
      </c>
      <c r="O592">
        <f t="shared" si="45"/>
        <v>77440</v>
      </c>
      <c r="P592">
        <f t="shared" si="46"/>
        <v>309760</v>
      </c>
      <c r="Q592">
        <v>20</v>
      </c>
      <c r="R592">
        <f t="shared" si="47"/>
        <v>247808</v>
      </c>
      <c r="S592" t="s">
        <v>2262</v>
      </c>
      <c r="T592" t="s">
        <v>2264</v>
      </c>
      <c r="U592" s="1" t="str">
        <f t="shared" si="48"/>
        <v>Not Delivered</v>
      </c>
      <c r="V592">
        <f t="shared" si="49"/>
        <v>46464</v>
      </c>
    </row>
    <row r="593" spans="1:22" x14ac:dyDescent="0.3">
      <c r="A593" t="s">
        <v>611</v>
      </c>
      <c r="B593">
        <v>2024</v>
      </c>
      <c r="C593" s="1">
        <v>45398</v>
      </c>
      <c r="D593" t="s">
        <v>829</v>
      </c>
      <c r="E593" t="s">
        <v>1025</v>
      </c>
      <c r="F593" t="s">
        <v>1958</v>
      </c>
      <c r="G593" t="s">
        <v>2167</v>
      </c>
      <c r="H593" t="s">
        <v>2189</v>
      </c>
      <c r="I593" t="s">
        <v>2202</v>
      </c>
      <c r="J593" t="s">
        <v>2213</v>
      </c>
      <c r="K593" t="s">
        <v>2239</v>
      </c>
      <c r="L593" t="s">
        <v>2245</v>
      </c>
      <c r="M593" t="s">
        <v>2250</v>
      </c>
      <c r="N593">
        <v>5</v>
      </c>
      <c r="O593">
        <f t="shared" si="45"/>
        <v>77440</v>
      </c>
      <c r="P593">
        <f t="shared" si="46"/>
        <v>387200</v>
      </c>
      <c r="Q593">
        <v>5</v>
      </c>
      <c r="R593">
        <f t="shared" si="47"/>
        <v>367840</v>
      </c>
      <c r="S593" t="s">
        <v>2263</v>
      </c>
      <c r="T593" t="s">
        <v>2265</v>
      </c>
      <c r="U593" s="1" t="str">
        <f t="shared" si="48"/>
        <v>Not Delivered</v>
      </c>
      <c r="V593">
        <f t="shared" si="49"/>
        <v>58080</v>
      </c>
    </row>
    <row r="594" spans="1:22" x14ac:dyDescent="0.3">
      <c r="A594" t="s">
        <v>612</v>
      </c>
      <c r="B594">
        <v>2025</v>
      </c>
      <c r="C594" s="1">
        <v>45741</v>
      </c>
      <c r="D594" t="s">
        <v>823</v>
      </c>
      <c r="E594" t="s">
        <v>1233</v>
      </c>
      <c r="F594" t="s">
        <v>1959</v>
      </c>
      <c r="G594" t="s">
        <v>2167</v>
      </c>
      <c r="H594" t="s">
        <v>2171</v>
      </c>
      <c r="I594" t="s">
        <v>2202</v>
      </c>
      <c r="J594" t="s">
        <v>2212</v>
      </c>
      <c r="K594" t="s">
        <v>2226</v>
      </c>
      <c r="L594" t="s">
        <v>2244</v>
      </c>
      <c r="M594" t="s">
        <v>2250</v>
      </c>
      <c r="N594">
        <v>3</v>
      </c>
      <c r="O594">
        <f t="shared" si="45"/>
        <v>77440</v>
      </c>
      <c r="P594">
        <f t="shared" si="46"/>
        <v>232320</v>
      </c>
      <c r="Q594">
        <v>20</v>
      </c>
      <c r="R594">
        <f t="shared" si="47"/>
        <v>185856</v>
      </c>
      <c r="S594" t="s">
        <v>2263</v>
      </c>
      <c r="T594" t="s">
        <v>2264</v>
      </c>
      <c r="U594" s="1" t="str">
        <f t="shared" si="48"/>
        <v>Not Delivered</v>
      </c>
      <c r="V594">
        <f t="shared" si="49"/>
        <v>34848</v>
      </c>
    </row>
    <row r="595" spans="1:22" x14ac:dyDescent="0.3">
      <c r="A595" t="s">
        <v>613</v>
      </c>
      <c r="B595">
        <v>2025</v>
      </c>
      <c r="C595" s="1">
        <v>45699</v>
      </c>
      <c r="D595" t="s">
        <v>821</v>
      </c>
      <c r="E595" t="s">
        <v>1261</v>
      </c>
      <c r="F595" t="s">
        <v>1960</v>
      </c>
      <c r="G595" t="s">
        <v>2167</v>
      </c>
      <c r="H595" t="s">
        <v>2170</v>
      </c>
      <c r="I595" t="s">
        <v>2201</v>
      </c>
      <c r="J595" t="s">
        <v>2213</v>
      </c>
      <c r="K595" t="s">
        <v>2239</v>
      </c>
      <c r="L595" t="s">
        <v>2245</v>
      </c>
      <c r="M595" t="s">
        <v>2252</v>
      </c>
      <c r="N595">
        <v>2</v>
      </c>
      <c r="O595">
        <f t="shared" si="45"/>
        <v>77440</v>
      </c>
      <c r="P595">
        <f t="shared" si="46"/>
        <v>154880</v>
      </c>
      <c r="Q595">
        <v>5</v>
      </c>
      <c r="R595">
        <f t="shared" si="47"/>
        <v>147136</v>
      </c>
      <c r="S595" t="s">
        <v>2263</v>
      </c>
      <c r="T595" t="s">
        <v>2266</v>
      </c>
      <c r="U595" s="1">
        <f t="shared" si="48"/>
        <v>45706</v>
      </c>
      <c r="V595">
        <f t="shared" si="49"/>
        <v>23232</v>
      </c>
    </row>
    <row r="596" spans="1:22" x14ac:dyDescent="0.3">
      <c r="A596" t="s">
        <v>614</v>
      </c>
      <c r="B596">
        <v>2024</v>
      </c>
      <c r="C596" s="1">
        <v>45385</v>
      </c>
      <c r="D596" t="s">
        <v>824</v>
      </c>
      <c r="E596" t="s">
        <v>1262</v>
      </c>
      <c r="F596" t="s">
        <v>1961</v>
      </c>
      <c r="G596" t="s">
        <v>2167</v>
      </c>
      <c r="H596" t="s">
        <v>2198</v>
      </c>
      <c r="I596" t="s">
        <v>2207</v>
      </c>
      <c r="J596" t="s">
        <v>2213</v>
      </c>
      <c r="K596" t="s">
        <v>2215</v>
      </c>
      <c r="L596" t="s">
        <v>2243</v>
      </c>
      <c r="M596" t="s">
        <v>2253</v>
      </c>
      <c r="N596">
        <v>2</v>
      </c>
      <c r="O596">
        <f t="shared" si="45"/>
        <v>77440</v>
      </c>
      <c r="P596">
        <f t="shared" si="46"/>
        <v>154880</v>
      </c>
      <c r="Q596">
        <v>0</v>
      </c>
      <c r="R596">
        <f t="shared" si="47"/>
        <v>154880</v>
      </c>
      <c r="S596" t="s">
        <v>2260</v>
      </c>
      <c r="T596" t="s">
        <v>2266</v>
      </c>
      <c r="U596" s="1">
        <f t="shared" si="48"/>
        <v>45392</v>
      </c>
      <c r="V596">
        <f t="shared" si="49"/>
        <v>23232</v>
      </c>
    </row>
    <row r="597" spans="1:22" x14ac:dyDescent="0.3">
      <c r="A597" t="s">
        <v>615</v>
      </c>
      <c r="B597">
        <v>2024</v>
      </c>
      <c r="C597" s="1">
        <v>45362</v>
      </c>
      <c r="D597" t="s">
        <v>828</v>
      </c>
      <c r="E597" t="s">
        <v>887</v>
      </c>
      <c r="F597" t="s">
        <v>1962</v>
      </c>
      <c r="G597" t="s">
        <v>2167</v>
      </c>
      <c r="H597" t="s">
        <v>2184</v>
      </c>
      <c r="I597" t="s">
        <v>2202</v>
      </c>
      <c r="J597" t="s">
        <v>2213</v>
      </c>
      <c r="K597" t="s">
        <v>2216</v>
      </c>
      <c r="L597" t="s">
        <v>2242</v>
      </c>
      <c r="M597" t="s">
        <v>2251</v>
      </c>
      <c r="N597">
        <v>5</v>
      </c>
      <c r="O597">
        <f t="shared" si="45"/>
        <v>77440</v>
      </c>
      <c r="P597">
        <f t="shared" si="46"/>
        <v>387200</v>
      </c>
      <c r="Q597">
        <v>10</v>
      </c>
      <c r="R597">
        <f t="shared" si="47"/>
        <v>348480</v>
      </c>
      <c r="S597" t="s">
        <v>2262</v>
      </c>
      <c r="T597" t="s">
        <v>2266</v>
      </c>
      <c r="U597" s="1">
        <f t="shared" si="48"/>
        <v>45369</v>
      </c>
      <c r="V597">
        <f t="shared" si="49"/>
        <v>58080</v>
      </c>
    </row>
    <row r="598" spans="1:22" x14ac:dyDescent="0.3">
      <c r="A598" t="s">
        <v>616</v>
      </c>
      <c r="B598">
        <v>2024</v>
      </c>
      <c r="C598" s="1">
        <v>45411</v>
      </c>
      <c r="D598" t="s">
        <v>828</v>
      </c>
      <c r="E598" t="s">
        <v>1263</v>
      </c>
      <c r="F598" t="s">
        <v>1963</v>
      </c>
      <c r="G598" t="s">
        <v>2167</v>
      </c>
      <c r="H598" t="s">
        <v>2185</v>
      </c>
      <c r="I598" t="s">
        <v>2204</v>
      </c>
      <c r="J598" t="s">
        <v>2210</v>
      </c>
      <c r="K598" t="s">
        <v>2214</v>
      </c>
      <c r="L598" t="s">
        <v>2242</v>
      </c>
      <c r="M598" t="s">
        <v>2257</v>
      </c>
      <c r="N598">
        <v>1</v>
      </c>
      <c r="O598">
        <f t="shared" si="45"/>
        <v>77440</v>
      </c>
      <c r="P598">
        <f t="shared" si="46"/>
        <v>77440</v>
      </c>
      <c r="Q598">
        <v>15</v>
      </c>
      <c r="R598">
        <f t="shared" si="47"/>
        <v>65824</v>
      </c>
      <c r="S598" t="s">
        <v>2260</v>
      </c>
      <c r="T598" t="s">
        <v>2265</v>
      </c>
      <c r="U598" s="1" t="str">
        <f t="shared" si="48"/>
        <v>Not Delivered</v>
      </c>
      <c r="V598">
        <f t="shared" si="49"/>
        <v>11616</v>
      </c>
    </row>
    <row r="599" spans="1:22" x14ac:dyDescent="0.3">
      <c r="A599" t="s">
        <v>617</v>
      </c>
      <c r="B599">
        <v>2024</v>
      </c>
      <c r="C599" s="1">
        <v>45454</v>
      </c>
      <c r="D599" t="s">
        <v>827</v>
      </c>
      <c r="E599" t="s">
        <v>1264</v>
      </c>
      <c r="F599" t="s">
        <v>1964</v>
      </c>
      <c r="G599" t="s">
        <v>2167</v>
      </c>
      <c r="H599" t="s">
        <v>2186</v>
      </c>
      <c r="I599" t="s">
        <v>2201</v>
      </c>
      <c r="J599" t="s">
        <v>2213</v>
      </c>
      <c r="K599" t="s">
        <v>2229</v>
      </c>
      <c r="L599" t="s">
        <v>2246</v>
      </c>
      <c r="M599" t="s">
        <v>2249</v>
      </c>
      <c r="N599">
        <v>5</v>
      </c>
      <c r="O599">
        <f t="shared" si="45"/>
        <v>77440</v>
      </c>
      <c r="P599">
        <f t="shared" si="46"/>
        <v>387200</v>
      </c>
      <c r="Q599">
        <v>10</v>
      </c>
      <c r="R599">
        <f t="shared" si="47"/>
        <v>348480</v>
      </c>
      <c r="S599" t="s">
        <v>2263</v>
      </c>
      <c r="T599" t="s">
        <v>2265</v>
      </c>
      <c r="U599" s="1" t="str">
        <f t="shared" si="48"/>
        <v>Not Delivered</v>
      </c>
      <c r="V599">
        <f t="shared" si="49"/>
        <v>58080</v>
      </c>
    </row>
    <row r="600" spans="1:22" x14ac:dyDescent="0.3">
      <c r="A600" t="s">
        <v>618</v>
      </c>
      <c r="B600">
        <v>2024</v>
      </c>
      <c r="C600" s="1">
        <v>45582</v>
      </c>
      <c r="D600" t="s">
        <v>822</v>
      </c>
      <c r="E600" t="s">
        <v>1265</v>
      </c>
      <c r="F600" t="s">
        <v>1965</v>
      </c>
      <c r="G600" t="s">
        <v>2167</v>
      </c>
      <c r="H600" t="s">
        <v>2172</v>
      </c>
      <c r="I600" t="s">
        <v>2203</v>
      </c>
      <c r="J600" t="s">
        <v>2212</v>
      </c>
      <c r="K600" t="s">
        <v>2240</v>
      </c>
      <c r="L600" t="s">
        <v>2246</v>
      </c>
      <c r="M600" t="s">
        <v>2249</v>
      </c>
      <c r="N600">
        <v>5</v>
      </c>
      <c r="O600">
        <f t="shared" si="45"/>
        <v>77440</v>
      </c>
      <c r="P600">
        <f t="shared" si="46"/>
        <v>387200</v>
      </c>
      <c r="Q600">
        <v>5</v>
      </c>
      <c r="R600">
        <f t="shared" si="47"/>
        <v>367840</v>
      </c>
      <c r="S600" t="s">
        <v>2260</v>
      </c>
      <c r="T600" t="s">
        <v>2265</v>
      </c>
      <c r="U600" s="1" t="str">
        <f t="shared" si="48"/>
        <v>Not Delivered</v>
      </c>
      <c r="V600">
        <f t="shared" si="49"/>
        <v>58080</v>
      </c>
    </row>
    <row r="601" spans="1:22" x14ac:dyDescent="0.3">
      <c r="A601" t="s">
        <v>619</v>
      </c>
      <c r="B601">
        <v>2024</v>
      </c>
      <c r="C601" s="1">
        <v>45578</v>
      </c>
      <c r="D601" t="s">
        <v>825</v>
      </c>
      <c r="E601" t="s">
        <v>1023</v>
      </c>
      <c r="F601" t="s">
        <v>1966</v>
      </c>
      <c r="G601" t="s">
        <v>2167</v>
      </c>
      <c r="H601" t="s">
        <v>2168</v>
      </c>
      <c r="I601" t="s">
        <v>2200</v>
      </c>
      <c r="J601" t="s">
        <v>2212</v>
      </c>
      <c r="K601" t="s">
        <v>2233</v>
      </c>
      <c r="L601" t="s">
        <v>2245</v>
      </c>
      <c r="M601" t="s">
        <v>2248</v>
      </c>
      <c r="N601">
        <v>1</v>
      </c>
      <c r="O601">
        <f t="shared" si="45"/>
        <v>77440</v>
      </c>
      <c r="P601">
        <f t="shared" si="46"/>
        <v>77440</v>
      </c>
      <c r="Q601">
        <v>10</v>
      </c>
      <c r="R601">
        <f t="shared" si="47"/>
        <v>69696</v>
      </c>
      <c r="S601" t="s">
        <v>2260</v>
      </c>
      <c r="T601" t="s">
        <v>2266</v>
      </c>
      <c r="U601" s="1">
        <f t="shared" si="48"/>
        <v>45585</v>
      </c>
      <c r="V601">
        <f t="shared" si="49"/>
        <v>11616</v>
      </c>
    </row>
    <row r="602" spans="1:22" x14ac:dyDescent="0.3">
      <c r="A602" t="s">
        <v>620</v>
      </c>
      <c r="B602">
        <v>2024</v>
      </c>
      <c r="C602" s="1">
        <v>45415</v>
      </c>
      <c r="D602" t="s">
        <v>828</v>
      </c>
      <c r="E602" t="s">
        <v>952</v>
      </c>
      <c r="F602" t="s">
        <v>1967</v>
      </c>
      <c r="G602" t="s">
        <v>2167</v>
      </c>
      <c r="H602" t="s">
        <v>2195</v>
      </c>
      <c r="I602" t="s">
        <v>2206</v>
      </c>
      <c r="J602" t="s">
        <v>2213</v>
      </c>
      <c r="K602" t="s">
        <v>2236</v>
      </c>
      <c r="L602" t="s">
        <v>2242</v>
      </c>
      <c r="M602" t="s">
        <v>2248</v>
      </c>
      <c r="N602">
        <v>4</v>
      </c>
      <c r="O602">
        <f t="shared" si="45"/>
        <v>77440</v>
      </c>
      <c r="P602">
        <f t="shared" si="46"/>
        <v>309760</v>
      </c>
      <c r="Q602">
        <v>20</v>
      </c>
      <c r="R602">
        <f t="shared" si="47"/>
        <v>247808</v>
      </c>
      <c r="S602" t="s">
        <v>2261</v>
      </c>
      <c r="T602" t="s">
        <v>2265</v>
      </c>
      <c r="U602" s="1" t="str">
        <f t="shared" si="48"/>
        <v>Not Delivered</v>
      </c>
      <c r="V602">
        <f t="shared" si="49"/>
        <v>46464</v>
      </c>
    </row>
    <row r="603" spans="1:22" x14ac:dyDescent="0.3">
      <c r="A603" t="s">
        <v>621</v>
      </c>
      <c r="B603">
        <v>2025</v>
      </c>
      <c r="C603" s="1">
        <v>45723</v>
      </c>
      <c r="D603" t="s">
        <v>823</v>
      </c>
      <c r="E603" t="s">
        <v>1133</v>
      </c>
      <c r="F603" t="s">
        <v>1968</v>
      </c>
      <c r="G603" t="s">
        <v>2167</v>
      </c>
      <c r="H603" t="s">
        <v>2185</v>
      </c>
      <c r="I603" t="s">
        <v>2204</v>
      </c>
      <c r="J603" t="s">
        <v>2210</v>
      </c>
      <c r="K603" t="s">
        <v>2234</v>
      </c>
      <c r="L603" t="s">
        <v>2244</v>
      </c>
      <c r="M603" t="s">
        <v>2249</v>
      </c>
      <c r="N603">
        <v>1</v>
      </c>
      <c r="O603">
        <f t="shared" si="45"/>
        <v>77440</v>
      </c>
      <c r="P603">
        <f t="shared" si="46"/>
        <v>77440</v>
      </c>
      <c r="Q603">
        <v>0</v>
      </c>
      <c r="R603">
        <f t="shared" si="47"/>
        <v>77440</v>
      </c>
      <c r="S603" t="s">
        <v>2261</v>
      </c>
      <c r="T603" t="s">
        <v>2265</v>
      </c>
      <c r="U603" s="1" t="str">
        <f t="shared" si="48"/>
        <v>Not Delivered</v>
      </c>
      <c r="V603">
        <f t="shared" si="49"/>
        <v>11616</v>
      </c>
    </row>
    <row r="604" spans="1:22" x14ac:dyDescent="0.3">
      <c r="A604" t="s">
        <v>622</v>
      </c>
      <c r="B604">
        <v>2024</v>
      </c>
      <c r="C604" s="1">
        <v>45502</v>
      </c>
      <c r="D604" t="s">
        <v>822</v>
      </c>
      <c r="E604" t="s">
        <v>1266</v>
      </c>
      <c r="F604" t="s">
        <v>1969</v>
      </c>
      <c r="G604" t="s">
        <v>2167</v>
      </c>
      <c r="H604" t="s">
        <v>2181</v>
      </c>
      <c r="I604" t="s">
        <v>2209</v>
      </c>
      <c r="J604" t="s">
        <v>2211</v>
      </c>
      <c r="K604" t="s">
        <v>2241</v>
      </c>
      <c r="L604" t="s">
        <v>2247</v>
      </c>
      <c r="M604" t="s">
        <v>2249</v>
      </c>
      <c r="N604">
        <v>3</v>
      </c>
      <c r="O604">
        <f t="shared" si="45"/>
        <v>77440</v>
      </c>
      <c r="P604">
        <f t="shared" si="46"/>
        <v>232320</v>
      </c>
      <c r="Q604">
        <v>5</v>
      </c>
      <c r="R604">
        <f t="shared" si="47"/>
        <v>220704</v>
      </c>
      <c r="S604" t="s">
        <v>2263</v>
      </c>
      <c r="T604" t="s">
        <v>2265</v>
      </c>
      <c r="U604" s="1" t="str">
        <f t="shared" si="48"/>
        <v>Not Delivered</v>
      </c>
      <c r="V604">
        <f t="shared" si="49"/>
        <v>34848</v>
      </c>
    </row>
    <row r="605" spans="1:22" x14ac:dyDescent="0.3">
      <c r="A605" t="s">
        <v>623</v>
      </c>
      <c r="B605">
        <v>2025</v>
      </c>
      <c r="C605" s="1">
        <v>45741</v>
      </c>
      <c r="D605" t="s">
        <v>827</v>
      </c>
      <c r="E605" t="s">
        <v>1267</v>
      </c>
      <c r="F605" t="s">
        <v>1970</v>
      </c>
      <c r="G605" t="s">
        <v>2167</v>
      </c>
      <c r="H605" t="s">
        <v>2170</v>
      </c>
      <c r="I605" t="s">
        <v>2201</v>
      </c>
      <c r="J605" t="s">
        <v>2213</v>
      </c>
      <c r="K605" t="s">
        <v>2238</v>
      </c>
      <c r="L605" t="s">
        <v>2246</v>
      </c>
      <c r="M605" t="s">
        <v>2248</v>
      </c>
      <c r="N605">
        <v>5</v>
      </c>
      <c r="O605">
        <f t="shared" si="45"/>
        <v>77440</v>
      </c>
      <c r="P605">
        <f t="shared" si="46"/>
        <v>387200</v>
      </c>
      <c r="Q605">
        <v>0</v>
      </c>
      <c r="R605">
        <f t="shared" si="47"/>
        <v>387200</v>
      </c>
      <c r="S605" t="s">
        <v>2261</v>
      </c>
      <c r="T605" t="s">
        <v>2264</v>
      </c>
      <c r="U605" s="1" t="str">
        <f t="shared" si="48"/>
        <v>Not Delivered</v>
      </c>
      <c r="V605">
        <f t="shared" si="49"/>
        <v>58080</v>
      </c>
    </row>
    <row r="606" spans="1:22" x14ac:dyDescent="0.3">
      <c r="A606" t="s">
        <v>624</v>
      </c>
      <c r="B606">
        <v>2025</v>
      </c>
      <c r="C606" s="1">
        <v>45833</v>
      </c>
      <c r="D606" t="s">
        <v>823</v>
      </c>
      <c r="E606" t="s">
        <v>1176</v>
      </c>
      <c r="F606" t="s">
        <v>1971</v>
      </c>
      <c r="G606" t="s">
        <v>2167</v>
      </c>
      <c r="H606" t="s">
        <v>2181</v>
      </c>
      <c r="I606" t="s">
        <v>2209</v>
      </c>
      <c r="J606" t="s">
        <v>2211</v>
      </c>
      <c r="K606" t="s">
        <v>2226</v>
      </c>
      <c r="L606" t="s">
        <v>2244</v>
      </c>
      <c r="M606" t="s">
        <v>2256</v>
      </c>
      <c r="N606">
        <v>2</v>
      </c>
      <c r="O606">
        <f t="shared" si="45"/>
        <v>77440</v>
      </c>
      <c r="P606">
        <f t="shared" si="46"/>
        <v>154880</v>
      </c>
      <c r="Q606">
        <v>15</v>
      </c>
      <c r="R606">
        <f t="shared" si="47"/>
        <v>131648</v>
      </c>
      <c r="S606" t="s">
        <v>2263</v>
      </c>
      <c r="T606" t="s">
        <v>2265</v>
      </c>
      <c r="U606" s="1" t="str">
        <f t="shared" si="48"/>
        <v>Not Delivered</v>
      </c>
      <c r="V606">
        <f t="shared" si="49"/>
        <v>23232</v>
      </c>
    </row>
    <row r="607" spans="1:22" x14ac:dyDescent="0.3">
      <c r="A607" t="s">
        <v>625</v>
      </c>
      <c r="B607">
        <v>2024</v>
      </c>
      <c r="C607" s="1">
        <v>45656</v>
      </c>
      <c r="D607" t="s">
        <v>821</v>
      </c>
      <c r="E607" t="s">
        <v>1268</v>
      </c>
      <c r="F607" t="s">
        <v>1972</v>
      </c>
      <c r="G607" t="s">
        <v>2167</v>
      </c>
      <c r="H607" t="s">
        <v>2188</v>
      </c>
      <c r="I607" t="s">
        <v>2208</v>
      </c>
      <c r="J607" t="s">
        <v>2213</v>
      </c>
      <c r="K607" t="s">
        <v>2241</v>
      </c>
      <c r="L607" t="s">
        <v>2247</v>
      </c>
      <c r="M607" t="s">
        <v>2258</v>
      </c>
      <c r="N607">
        <v>5</v>
      </c>
      <c r="O607">
        <f t="shared" si="45"/>
        <v>77440</v>
      </c>
      <c r="P607">
        <f t="shared" si="46"/>
        <v>387200</v>
      </c>
      <c r="Q607">
        <v>20</v>
      </c>
      <c r="R607">
        <f t="shared" si="47"/>
        <v>309760</v>
      </c>
      <c r="S607" t="s">
        <v>2263</v>
      </c>
      <c r="T607" t="s">
        <v>2265</v>
      </c>
      <c r="U607" s="1" t="str">
        <f t="shared" si="48"/>
        <v>Not Delivered</v>
      </c>
      <c r="V607">
        <f t="shared" si="49"/>
        <v>58080</v>
      </c>
    </row>
    <row r="608" spans="1:22" x14ac:dyDescent="0.3">
      <c r="A608" t="s">
        <v>626</v>
      </c>
      <c r="B608">
        <v>2024</v>
      </c>
      <c r="C608" s="1">
        <v>45298</v>
      </c>
      <c r="D608" t="s">
        <v>820</v>
      </c>
      <c r="E608" t="s">
        <v>890</v>
      </c>
      <c r="F608" t="s">
        <v>1973</v>
      </c>
      <c r="G608" t="s">
        <v>2167</v>
      </c>
      <c r="H608" t="s">
        <v>2185</v>
      </c>
      <c r="I608" t="s">
        <v>2204</v>
      </c>
      <c r="J608" t="s">
        <v>2212</v>
      </c>
      <c r="K608" t="s">
        <v>2231</v>
      </c>
      <c r="L608" t="s">
        <v>2244</v>
      </c>
      <c r="M608" t="s">
        <v>2253</v>
      </c>
      <c r="N608">
        <v>2</v>
      </c>
      <c r="O608">
        <f t="shared" si="45"/>
        <v>77440</v>
      </c>
      <c r="P608">
        <f t="shared" si="46"/>
        <v>154880</v>
      </c>
      <c r="Q608">
        <v>0</v>
      </c>
      <c r="R608">
        <f t="shared" si="47"/>
        <v>154880</v>
      </c>
      <c r="S608" t="s">
        <v>2261</v>
      </c>
      <c r="T608" t="s">
        <v>2266</v>
      </c>
      <c r="U608" s="1">
        <f t="shared" si="48"/>
        <v>45305</v>
      </c>
      <c r="V608">
        <f t="shared" si="49"/>
        <v>23232</v>
      </c>
    </row>
    <row r="609" spans="1:22" x14ac:dyDescent="0.3">
      <c r="A609" t="s">
        <v>627</v>
      </c>
      <c r="B609">
        <v>2024</v>
      </c>
      <c r="C609" s="1">
        <v>45639</v>
      </c>
      <c r="D609" t="s">
        <v>829</v>
      </c>
      <c r="E609" t="s">
        <v>1009</v>
      </c>
      <c r="F609" t="s">
        <v>1974</v>
      </c>
      <c r="G609" t="s">
        <v>2167</v>
      </c>
      <c r="H609" t="s">
        <v>2198</v>
      </c>
      <c r="I609" t="s">
        <v>2207</v>
      </c>
      <c r="J609" t="s">
        <v>2213</v>
      </c>
      <c r="K609" t="s">
        <v>2238</v>
      </c>
      <c r="L609" t="s">
        <v>2246</v>
      </c>
      <c r="M609" t="s">
        <v>2259</v>
      </c>
      <c r="N609">
        <v>5</v>
      </c>
      <c r="O609">
        <f t="shared" si="45"/>
        <v>77440</v>
      </c>
      <c r="P609">
        <f t="shared" si="46"/>
        <v>387200</v>
      </c>
      <c r="Q609">
        <v>5</v>
      </c>
      <c r="R609">
        <f t="shared" si="47"/>
        <v>367840</v>
      </c>
      <c r="S609" t="s">
        <v>2263</v>
      </c>
      <c r="T609" t="s">
        <v>2266</v>
      </c>
      <c r="U609" s="1">
        <f t="shared" si="48"/>
        <v>45646</v>
      </c>
      <c r="V609">
        <f t="shared" si="49"/>
        <v>58080</v>
      </c>
    </row>
    <row r="610" spans="1:22" x14ac:dyDescent="0.3">
      <c r="A610" t="s">
        <v>628</v>
      </c>
      <c r="B610">
        <v>2025</v>
      </c>
      <c r="C610" s="1">
        <v>45706</v>
      </c>
      <c r="D610" t="s">
        <v>828</v>
      </c>
      <c r="E610" t="s">
        <v>973</v>
      </c>
      <c r="F610" t="s">
        <v>1975</v>
      </c>
      <c r="G610" t="s">
        <v>2167</v>
      </c>
      <c r="H610" t="s">
        <v>2184</v>
      </c>
      <c r="I610" t="s">
        <v>2202</v>
      </c>
      <c r="J610" t="s">
        <v>2210</v>
      </c>
      <c r="K610" t="s">
        <v>2214</v>
      </c>
      <c r="L610" t="s">
        <v>2242</v>
      </c>
      <c r="M610" t="s">
        <v>2251</v>
      </c>
      <c r="N610">
        <v>4</v>
      </c>
      <c r="O610">
        <f t="shared" si="45"/>
        <v>77440</v>
      </c>
      <c r="P610">
        <f t="shared" si="46"/>
        <v>309760</v>
      </c>
      <c r="Q610">
        <v>0</v>
      </c>
      <c r="R610">
        <f t="shared" si="47"/>
        <v>309760</v>
      </c>
      <c r="S610" t="s">
        <v>2261</v>
      </c>
      <c r="T610" t="s">
        <v>2265</v>
      </c>
      <c r="U610" s="1" t="str">
        <f t="shared" si="48"/>
        <v>Not Delivered</v>
      </c>
      <c r="V610">
        <f t="shared" si="49"/>
        <v>46464</v>
      </c>
    </row>
    <row r="611" spans="1:22" x14ac:dyDescent="0.3">
      <c r="A611" t="s">
        <v>629</v>
      </c>
      <c r="B611">
        <v>2024</v>
      </c>
      <c r="C611" s="1">
        <v>45517</v>
      </c>
      <c r="D611" t="s">
        <v>828</v>
      </c>
      <c r="E611" t="s">
        <v>1169</v>
      </c>
      <c r="F611" t="s">
        <v>1976</v>
      </c>
      <c r="G611" t="s">
        <v>2167</v>
      </c>
      <c r="H611" t="s">
        <v>2178</v>
      </c>
      <c r="I611" t="s">
        <v>2207</v>
      </c>
      <c r="J611" t="s">
        <v>2211</v>
      </c>
      <c r="K611" t="s">
        <v>2226</v>
      </c>
      <c r="L611" t="s">
        <v>2244</v>
      </c>
      <c r="M611" t="s">
        <v>2257</v>
      </c>
      <c r="N611">
        <v>3</v>
      </c>
      <c r="O611">
        <f t="shared" si="45"/>
        <v>77440</v>
      </c>
      <c r="P611">
        <f t="shared" si="46"/>
        <v>232320</v>
      </c>
      <c r="Q611">
        <v>0</v>
      </c>
      <c r="R611">
        <f t="shared" si="47"/>
        <v>232320</v>
      </c>
      <c r="S611" t="s">
        <v>2262</v>
      </c>
      <c r="T611" t="s">
        <v>2265</v>
      </c>
      <c r="U611" s="1" t="str">
        <f t="shared" si="48"/>
        <v>Not Delivered</v>
      </c>
      <c r="V611">
        <f t="shared" si="49"/>
        <v>34848</v>
      </c>
    </row>
    <row r="612" spans="1:22" x14ac:dyDescent="0.3">
      <c r="A612" t="s">
        <v>630</v>
      </c>
      <c r="B612">
        <v>2024</v>
      </c>
      <c r="C612" s="1">
        <v>45593</v>
      </c>
      <c r="D612" t="s">
        <v>820</v>
      </c>
      <c r="E612" t="s">
        <v>1269</v>
      </c>
      <c r="F612" t="s">
        <v>1977</v>
      </c>
      <c r="G612" t="s">
        <v>2167</v>
      </c>
      <c r="H612" t="s">
        <v>2196</v>
      </c>
      <c r="I612" t="s">
        <v>2205</v>
      </c>
      <c r="J612" t="s">
        <v>2210</v>
      </c>
      <c r="K612" t="s">
        <v>2232</v>
      </c>
      <c r="L612" t="s">
        <v>2243</v>
      </c>
      <c r="M612" t="s">
        <v>2251</v>
      </c>
      <c r="N612">
        <v>4</v>
      </c>
      <c r="O612">
        <f t="shared" si="45"/>
        <v>77440</v>
      </c>
      <c r="P612">
        <f t="shared" si="46"/>
        <v>309760</v>
      </c>
      <c r="Q612">
        <v>15</v>
      </c>
      <c r="R612">
        <f t="shared" si="47"/>
        <v>263296</v>
      </c>
      <c r="S612" t="s">
        <v>2262</v>
      </c>
      <c r="T612" t="s">
        <v>2264</v>
      </c>
      <c r="U612" s="1" t="str">
        <f t="shared" si="48"/>
        <v>Not Delivered</v>
      </c>
      <c r="V612">
        <f t="shared" si="49"/>
        <v>46464</v>
      </c>
    </row>
    <row r="613" spans="1:22" x14ac:dyDescent="0.3">
      <c r="A613" t="s">
        <v>631</v>
      </c>
      <c r="B613">
        <v>2024</v>
      </c>
      <c r="C613" s="1">
        <v>45526</v>
      </c>
      <c r="D613" t="s">
        <v>825</v>
      </c>
      <c r="E613" t="s">
        <v>1270</v>
      </c>
      <c r="F613" t="s">
        <v>1978</v>
      </c>
      <c r="G613" t="s">
        <v>2167</v>
      </c>
      <c r="H613" t="s">
        <v>2178</v>
      </c>
      <c r="I613" t="s">
        <v>2207</v>
      </c>
      <c r="J613" t="s">
        <v>2210</v>
      </c>
      <c r="K613" t="s">
        <v>2234</v>
      </c>
      <c r="L613" t="s">
        <v>2244</v>
      </c>
      <c r="M613" t="s">
        <v>2257</v>
      </c>
      <c r="N613">
        <v>2</v>
      </c>
      <c r="O613">
        <f t="shared" si="45"/>
        <v>77440</v>
      </c>
      <c r="P613">
        <f t="shared" si="46"/>
        <v>154880</v>
      </c>
      <c r="Q613">
        <v>10</v>
      </c>
      <c r="R613">
        <f t="shared" si="47"/>
        <v>139392</v>
      </c>
      <c r="S613" t="s">
        <v>2261</v>
      </c>
      <c r="T613" t="s">
        <v>2265</v>
      </c>
      <c r="U613" s="1" t="str">
        <f t="shared" si="48"/>
        <v>Not Delivered</v>
      </c>
      <c r="V613">
        <f t="shared" si="49"/>
        <v>23232</v>
      </c>
    </row>
    <row r="614" spans="1:22" x14ac:dyDescent="0.3">
      <c r="A614" t="s">
        <v>632</v>
      </c>
      <c r="B614">
        <v>2024</v>
      </c>
      <c r="C614" s="1">
        <v>45459</v>
      </c>
      <c r="D614" t="s">
        <v>821</v>
      </c>
      <c r="E614" t="s">
        <v>1271</v>
      </c>
      <c r="F614" t="s">
        <v>1979</v>
      </c>
      <c r="G614" t="s">
        <v>2167</v>
      </c>
      <c r="H614" t="s">
        <v>2193</v>
      </c>
      <c r="I614" t="s">
        <v>2206</v>
      </c>
      <c r="J614" t="s">
        <v>2211</v>
      </c>
      <c r="K614" t="s">
        <v>2229</v>
      </c>
      <c r="L614" t="s">
        <v>2246</v>
      </c>
      <c r="M614" t="s">
        <v>2254</v>
      </c>
      <c r="N614">
        <v>3</v>
      </c>
      <c r="O614">
        <f t="shared" si="45"/>
        <v>77440</v>
      </c>
      <c r="P614">
        <f t="shared" si="46"/>
        <v>232320</v>
      </c>
      <c r="Q614">
        <v>5</v>
      </c>
      <c r="R614">
        <f t="shared" si="47"/>
        <v>220704</v>
      </c>
      <c r="S614" t="s">
        <v>2262</v>
      </c>
      <c r="T614" t="s">
        <v>2265</v>
      </c>
      <c r="U614" s="1" t="str">
        <f t="shared" si="48"/>
        <v>Not Delivered</v>
      </c>
      <c r="V614">
        <f t="shared" si="49"/>
        <v>34848</v>
      </c>
    </row>
    <row r="615" spans="1:22" x14ac:dyDescent="0.3">
      <c r="A615" t="s">
        <v>633</v>
      </c>
      <c r="B615">
        <v>2025</v>
      </c>
      <c r="C615" s="1">
        <v>45675</v>
      </c>
      <c r="D615" t="s">
        <v>827</v>
      </c>
      <c r="E615" t="s">
        <v>1169</v>
      </c>
      <c r="F615" t="s">
        <v>1980</v>
      </c>
      <c r="G615" t="s">
        <v>2167</v>
      </c>
      <c r="H615" t="s">
        <v>2194</v>
      </c>
      <c r="I615" t="s">
        <v>2201</v>
      </c>
      <c r="J615" t="s">
        <v>2212</v>
      </c>
      <c r="K615" t="s">
        <v>2240</v>
      </c>
      <c r="L615" t="s">
        <v>2246</v>
      </c>
      <c r="M615" t="s">
        <v>2256</v>
      </c>
      <c r="N615">
        <v>2</v>
      </c>
      <c r="O615">
        <f t="shared" si="45"/>
        <v>77440</v>
      </c>
      <c r="P615">
        <f t="shared" si="46"/>
        <v>154880</v>
      </c>
      <c r="Q615">
        <v>20</v>
      </c>
      <c r="R615">
        <f t="shared" si="47"/>
        <v>123904</v>
      </c>
      <c r="S615" t="s">
        <v>2262</v>
      </c>
      <c r="T615" t="s">
        <v>2264</v>
      </c>
      <c r="U615" s="1" t="str">
        <f t="shared" si="48"/>
        <v>Not Delivered</v>
      </c>
      <c r="V615">
        <f t="shared" si="49"/>
        <v>23232</v>
      </c>
    </row>
    <row r="616" spans="1:22" x14ac:dyDescent="0.3">
      <c r="A616" t="s">
        <v>634</v>
      </c>
      <c r="B616">
        <v>2025</v>
      </c>
      <c r="C616" s="1">
        <v>45862</v>
      </c>
      <c r="D616" t="s">
        <v>823</v>
      </c>
      <c r="E616" t="s">
        <v>1272</v>
      </c>
      <c r="F616" t="s">
        <v>1981</v>
      </c>
      <c r="G616" t="s">
        <v>2167</v>
      </c>
      <c r="H616" t="s">
        <v>2193</v>
      </c>
      <c r="I616" t="s">
        <v>2206</v>
      </c>
      <c r="J616" t="s">
        <v>2210</v>
      </c>
      <c r="K616" t="s">
        <v>2219</v>
      </c>
      <c r="L616" t="s">
        <v>2243</v>
      </c>
      <c r="M616" t="s">
        <v>2255</v>
      </c>
      <c r="N616">
        <v>5</v>
      </c>
      <c r="O616">
        <f t="shared" si="45"/>
        <v>77440</v>
      </c>
      <c r="P616">
        <f t="shared" si="46"/>
        <v>387200</v>
      </c>
      <c r="Q616">
        <v>10</v>
      </c>
      <c r="R616">
        <f t="shared" si="47"/>
        <v>348480</v>
      </c>
      <c r="S616" t="s">
        <v>2261</v>
      </c>
      <c r="T616" t="s">
        <v>2266</v>
      </c>
      <c r="U616" s="1">
        <f t="shared" si="48"/>
        <v>45869</v>
      </c>
      <c r="V616">
        <f t="shared" si="49"/>
        <v>58080</v>
      </c>
    </row>
    <row r="617" spans="1:22" x14ac:dyDescent="0.3">
      <c r="A617" t="s">
        <v>635</v>
      </c>
      <c r="B617">
        <v>2024</v>
      </c>
      <c r="C617" s="1">
        <v>45325</v>
      </c>
      <c r="D617" t="s">
        <v>823</v>
      </c>
      <c r="E617" t="s">
        <v>853</v>
      </c>
      <c r="F617" t="s">
        <v>1982</v>
      </c>
      <c r="G617" t="s">
        <v>2167</v>
      </c>
      <c r="H617" t="s">
        <v>2187</v>
      </c>
      <c r="I617" t="s">
        <v>2209</v>
      </c>
      <c r="J617" t="s">
        <v>2211</v>
      </c>
      <c r="K617" t="s">
        <v>2235</v>
      </c>
      <c r="L617" t="s">
        <v>2247</v>
      </c>
      <c r="M617" t="s">
        <v>2252</v>
      </c>
      <c r="N617">
        <v>5</v>
      </c>
      <c r="O617">
        <f t="shared" si="45"/>
        <v>77440</v>
      </c>
      <c r="P617">
        <f t="shared" si="46"/>
        <v>387200</v>
      </c>
      <c r="Q617">
        <v>15</v>
      </c>
      <c r="R617">
        <f t="shared" si="47"/>
        <v>329120</v>
      </c>
      <c r="S617" t="s">
        <v>2261</v>
      </c>
      <c r="T617" t="s">
        <v>2264</v>
      </c>
      <c r="U617" s="1" t="str">
        <f t="shared" si="48"/>
        <v>Not Delivered</v>
      </c>
      <c r="V617">
        <f t="shared" si="49"/>
        <v>58080</v>
      </c>
    </row>
    <row r="618" spans="1:22" x14ac:dyDescent="0.3">
      <c r="A618" t="s">
        <v>636</v>
      </c>
      <c r="B618">
        <v>2025</v>
      </c>
      <c r="C618" s="1">
        <v>45834</v>
      </c>
      <c r="D618" t="s">
        <v>829</v>
      </c>
      <c r="E618" t="s">
        <v>1273</v>
      </c>
      <c r="F618" t="s">
        <v>1983</v>
      </c>
      <c r="G618" t="s">
        <v>2167</v>
      </c>
      <c r="H618" t="s">
        <v>2171</v>
      </c>
      <c r="I618" t="s">
        <v>2202</v>
      </c>
      <c r="J618" t="s">
        <v>2210</v>
      </c>
      <c r="K618" t="s">
        <v>2224</v>
      </c>
      <c r="L618" t="s">
        <v>2245</v>
      </c>
      <c r="M618" t="s">
        <v>2252</v>
      </c>
      <c r="N618">
        <v>2</v>
      </c>
      <c r="O618">
        <f t="shared" si="45"/>
        <v>77440</v>
      </c>
      <c r="P618">
        <f t="shared" si="46"/>
        <v>154880</v>
      </c>
      <c r="Q618">
        <v>15</v>
      </c>
      <c r="R618">
        <f t="shared" si="47"/>
        <v>131648</v>
      </c>
      <c r="S618" t="s">
        <v>2261</v>
      </c>
      <c r="T618" t="s">
        <v>2266</v>
      </c>
      <c r="U618" s="1">
        <f t="shared" si="48"/>
        <v>45841</v>
      </c>
      <c r="V618">
        <f t="shared" si="49"/>
        <v>23232</v>
      </c>
    </row>
    <row r="619" spans="1:22" x14ac:dyDescent="0.3">
      <c r="A619" t="s">
        <v>637</v>
      </c>
      <c r="B619">
        <v>2024</v>
      </c>
      <c r="C619" s="1">
        <v>45305</v>
      </c>
      <c r="D619" t="s">
        <v>820</v>
      </c>
      <c r="E619" t="s">
        <v>994</v>
      </c>
      <c r="F619" t="s">
        <v>1984</v>
      </c>
      <c r="G619" t="s">
        <v>2167</v>
      </c>
      <c r="H619" t="s">
        <v>2176</v>
      </c>
      <c r="I619" t="s">
        <v>2205</v>
      </c>
      <c r="J619" t="s">
        <v>2211</v>
      </c>
      <c r="K619" t="s">
        <v>2220</v>
      </c>
      <c r="L619" t="s">
        <v>2245</v>
      </c>
      <c r="M619" t="s">
        <v>2255</v>
      </c>
      <c r="N619">
        <v>1</v>
      </c>
      <c r="O619">
        <f t="shared" si="45"/>
        <v>77440</v>
      </c>
      <c r="P619">
        <f t="shared" si="46"/>
        <v>77440</v>
      </c>
      <c r="Q619">
        <v>15</v>
      </c>
      <c r="R619">
        <f t="shared" si="47"/>
        <v>65824</v>
      </c>
      <c r="S619" t="s">
        <v>2261</v>
      </c>
      <c r="T619" t="s">
        <v>2266</v>
      </c>
      <c r="U619" s="1">
        <f t="shared" si="48"/>
        <v>45312</v>
      </c>
      <c r="V619">
        <f t="shared" si="49"/>
        <v>11616</v>
      </c>
    </row>
    <row r="620" spans="1:22" x14ac:dyDescent="0.3">
      <c r="A620" t="s">
        <v>638</v>
      </c>
      <c r="B620">
        <v>2025</v>
      </c>
      <c r="C620" s="1">
        <v>45737</v>
      </c>
      <c r="D620" t="s">
        <v>825</v>
      </c>
      <c r="E620" t="s">
        <v>1195</v>
      </c>
      <c r="F620" t="s">
        <v>1985</v>
      </c>
      <c r="G620" t="s">
        <v>2167</v>
      </c>
      <c r="H620" t="s">
        <v>2177</v>
      </c>
      <c r="I620" t="s">
        <v>2206</v>
      </c>
      <c r="J620" t="s">
        <v>2210</v>
      </c>
      <c r="K620" t="s">
        <v>2221</v>
      </c>
      <c r="L620" t="s">
        <v>2246</v>
      </c>
      <c r="M620" t="s">
        <v>2252</v>
      </c>
      <c r="N620">
        <v>5</v>
      </c>
      <c r="O620">
        <f t="shared" si="45"/>
        <v>77440</v>
      </c>
      <c r="P620">
        <f t="shared" si="46"/>
        <v>387200</v>
      </c>
      <c r="Q620">
        <v>5</v>
      </c>
      <c r="R620">
        <f t="shared" si="47"/>
        <v>367840</v>
      </c>
      <c r="S620" t="s">
        <v>2260</v>
      </c>
      <c r="T620" t="s">
        <v>2266</v>
      </c>
      <c r="U620" s="1">
        <f t="shared" si="48"/>
        <v>45744</v>
      </c>
      <c r="V620">
        <f t="shared" si="49"/>
        <v>58080</v>
      </c>
    </row>
    <row r="621" spans="1:22" x14ac:dyDescent="0.3">
      <c r="A621" t="s">
        <v>639</v>
      </c>
      <c r="B621">
        <v>2025</v>
      </c>
      <c r="C621" s="1">
        <v>45710</v>
      </c>
      <c r="D621" t="s">
        <v>825</v>
      </c>
      <c r="E621" t="s">
        <v>1136</v>
      </c>
      <c r="F621" t="s">
        <v>1986</v>
      </c>
      <c r="G621" t="s">
        <v>2167</v>
      </c>
      <c r="H621" t="s">
        <v>2180</v>
      </c>
      <c r="I621" t="s">
        <v>2208</v>
      </c>
      <c r="J621" t="s">
        <v>2213</v>
      </c>
      <c r="K621" t="s">
        <v>2234</v>
      </c>
      <c r="L621" t="s">
        <v>2244</v>
      </c>
      <c r="M621" t="s">
        <v>2249</v>
      </c>
      <c r="N621">
        <v>1</v>
      </c>
      <c r="O621">
        <f t="shared" si="45"/>
        <v>77440</v>
      </c>
      <c r="P621">
        <f t="shared" si="46"/>
        <v>77440</v>
      </c>
      <c r="Q621">
        <v>5</v>
      </c>
      <c r="R621">
        <f t="shared" si="47"/>
        <v>73568</v>
      </c>
      <c r="S621" t="s">
        <v>2262</v>
      </c>
      <c r="T621" t="s">
        <v>2265</v>
      </c>
      <c r="U621" s="1" t="str">
        <f t="shared" si="48"/>
        <v>Not Delivered</v>
      </c>
      <c r="V621">
        <f t="shared" si="49"/>
        <v>11616</v>
      </c>
    </row>
    <row r="622" spans="1:22" x14ac:dyDescent="0.3">
      <c r="A622" t="s">
        <v>640</v>
      </c>
      <c r="B622">
        <v>2024</v>
      </c>
      <c r="C622" s="1">
        <v>45640</v>
      </c>
      <c r="D622" t="s">
        <v>824</v>
      </c>
      <c r="E622" t="s">
        <v>1265</v>
      </c>
      <c r="F622" t="s">
        <v>1987</v>
      </c>
      <c r="G622" t="s">
        <v>2167</v>
      </c>
      <c r="H622" t="s">
        <v>2181</v>
      </c>
      <c r="I622" t="s">
        <v>2209</v>
      </c>
      <c r="J622" t="s">
        <v>2212</v>
      </c>
      <c r="K622" t="s">
        <v>2238</v>
      </c>
      <c r="L622" t="s">
        <v>2246</v>
      </c>
      <c r="M622" t="s">
        <v>2250</v>
      </c>
      <c r="N622">
        <v>3</v>
      </c>
      <c r="O622">
        <f t="shared" si="45"/>
        <v>77440</v>
      </c>
      <c r="P622">
        <f t="shared" si="46"/>
        <v>232320</v>
      </c>
      <c r="Q622">
        <v>5</v>
      </c>
      <c r="R622">
        <f t="shared" si="47"/>
        <v>220704</v>
      </c>
      <c r="S622" t="s">
        <v>2260</v>
      </c>
      <c r="T622" t="s">
        <v>2264</v>
      </c>
      <c r="U622" s="1" t="str">
        <f t="shared" si="48"/>
        <v>Not Delivered</v>
      </c>
      <c r="V622">
        <f t="shared" si="49"/>
        <v>34848</v>
      </c>
    </row>
    <row r="623" spans="1:22" x14ac:dyDescent="0.3">
      <c r="A623" t="s">
        <v>641</v>
      </c>
      <c r="B623">
        <v>2024</v>
      </c>
      <c r="C623" s="1">
        <v>45306</v>
      </c>
      <c r="D623" t="s">
        <v>826</v>
      </c>
      <c r="E623" t="s">
        <v>1274</v>
      </c>
      <c r="F623" t="s">
        <v>1988</v>
      </c>
      <c r="G623" t="s">
        <v>2167</v>
      </c>
      <c r="H623" t="s">
        <v>2171</v>
      </c>
      <c r="I623" t="s">
        <v>2202</v>
      </c>
      <c r="J623" t="s">
        <v>2212</v>
      </c>
      <c r="K623" t="s">
        <v>2223</v>
      </c>
      <c r="L623" t="s">
        <v>2245</v>
      </c>
      <c r="M623" t="s">
        <v>2248</v>
      </c>
      <c r="N623">
        <v>4</v>
      </c>
      <c r="O623">
        <f t="shared" si="45"/>
        <v>77440</v>
      </c>
      <c r="P623">
        <f t="shared" si="46"/>
        <v>309760</v>
      </c>
      <c r="Q623">
        <v>15</v>
      </c>
      <c r="R623">
        <f t="shared" si="47"/>
        <v>263296</v>
      </c>
      <c r="S623" t="s">
        <v>2263</v>
      </c>
      <c r="T623" t="s">
        <v>2266</v>
      </c>
      <c r="U623" s="1">
        <f t="shared" si="48"/>
        <v>45313</v>
      </c>
      <c r="V623">
        <f t="shared" si="49"/>
        <v>46464</v>
      </c>
    </row>
    <row r="624" spans="1:22" x14ac:dyDescent="0.3">
      <c r="A624" t="s">
        <v>642</v>
      </c>
      <c r="B624">
        <v>2024</v>
      </c>
      <c r="C624" s="1">
        <v>45602</v>
      </c>
      <c r="D624" t="s">
        <v>821</v>
      </c>
      <c r="E624" t="s">
        <v>1059</v>
      </c>
      <c r="F624" t="s">
        <v>1989</v>
      </c>
      <c r="G624" t="s">
        <v>2167</v>
      </c>
      <c r="H624" t="s">
        <v>2195</v>
      </c>
      <c r="I624" t="s">
        <v>2206</v>
      </c>
      <c r="J624" t="s">
        <v>2211</v>
      </c>
      <c r="K624" t="s">
        <v>2214</v>
      </c>
      <c r="L624" t="s">
        <v>2242</v>
      </c>
      <c r="M624" t="s">
        <v>2248</v>
      </c>
      <c r="N624">
        <v>3</v>
      </c>
      <c r="O624">
        <f t="shared" si="45"/>
        <v>77440</v>
      </c>
      <c r="P624">
        <f t="shared" si="46"/>
        <v>232320</v>
      </c>
      <c r="Q624">
        <v>15</v>
      </c>
      <c r="R624">
        <f t="shared" si="47"/>
        <v>197472</v>
      </c>
      <c r="S624" t="s">
        <v>2262</v>
      </c>
      <c r="T624" t="s">
        <v>2265</v>
      </c>
      <c r="U624" s="1" t="str">
        <f t="shared" si="48"/>
        <v>Not Delivered</v>
      </c>
      <c r="V624">
        <f t="shared" si="49"/>
        <v>34848</v>
      </c>
    </row>
    <row r="625" spans="1:22" x14ac:dyDescent="0.3">
      <c r="A625" t="s">
        <v>643</v>
      </c>
      <c r="B625">
        <v>2025</v>
      </c>
      <c r="C625" s="1">
        <v>45772</v>
      </c>
      <c r="D625" t="s">
        <v>826</v>
      </c>
      <c r="E625" t="s">
        <v>1275</v>
      </c>
      <c r="F625" t="s">
        <v>1990</v>
      </c>
      <c r="G625" t="s">
        <v>2167</v>
      </c>
      <c r="H625" t="s">
        <v>2176</v>
      </c>
      <c r="I625" t="s">
        <v>2205</v>
      </c>
      <c r="J625" t="s">
        <v>2210</v>
      </c>
      <c r="K625" t="s">
        <v>2219</v>
      </c>
      <c r="L625" t="s">
        <v>2243</v>
      </c>
      <c r="M625" t="s">
        <v>2251</v>
      </c>
      <c r="N625">
        <v>5</v>
      </c>
      <c r="O625">
        <f t="shared" si="45"/>
        <v>77440</v>
      </c>
      <c r="P625">
        <f t="shared" si="46"/>
        <v>387200</v>
      </c>
      <c r="Q625">
        <v>5</v>
      </c>
      <c r="R625">
        <f t="shared" si="47"/>
        <v>367840</v>
      </c>
      <c r="S625" t="s">
        <v>2263</v>
      </c>
      <c r="T625" t="s">
        <v>2264</v>
      </c>
      <c r="U625" s="1" t="str">
        <f t="shared" si="48"/>
        <v>Not Delivered</v>
      </c>
      <c r="V625">
        <f t="shared" si="49"/>
        <v>58080</v>
      </c>
    </row>
    <row r="626" spans="1:22" x14ac:dyDescent="0.3">
      <c r="A626" t="s">
        <v>644</v>
      </c>
      <c r="B626">
        <v>2024</v>
      </c>
      <c r="C626" s="1">
        <v>45608</v>
      </c>
      <c r="D626" t="s">
        <v>829</v>
      </c>
      <c r="E626" t="s">
        <v>1235</v>
      </c>
      <c r="F626" t="s">
        <v>1991</v>
      </c>
      <c r="G626" t="s">
        <v>2167</v>
      </c>
      <c r="H626" t="s">
        <v>2184</v>
      </c>
      <c r="I626" t="s">
        <v>2202</v>
      </c>
      <c r="J626" t="s">
        <v>2212</v>
      </c>
      <c r="K626" t="s">
        <v>2220</v>
      </c>
      <c r="L626" t="s">
        <v>2245</v>
      </c>
      <c r="M626" t="s">
        <v>2254</v>
      </c>
      <c r="N626">
        <v>4</v>
      </c>
      <c r="O626">
        <f t="shared" si="45"/>
        <v>77440</v>
      </c>
      <c r="P626">
        <f t="shared" si="46"/>
        <v>309760</v>
      </c>
      <c r="Q626">
        <v>10</v>
      </c>
      <c r="R626">
        <f t="shared" si="47"/>
        <v>278784</v>
      </c>
      <c r="S626" t="s">
        <v>2261</v>
      </c>
      <c r="T626" t="s">
        <v>2264</v>
      </c>
      <c r="U626" s="1" t="str">
        <f t="shared" si="48"/>
        <v>Not Delivered</v>
      </c>
      <c r="V626">
        <f t="shared" si="49"/>
        <v>46464</v>
      </c>
    </row>
    <row r="627" spans="1:22" x14ac:dyDescent="0.3">
      <c r="A627" t="s">
        <v>645</v>
      </c>
      <c r="B627">
        <v>2025</v>
      </c>
      <c r="C627" s="1">
        <v>45674</v>
      </c>
      <c r="D627" t="s">
        <v>820</v>
      </c>
      <c r="E627" t="s">
        <v>874</v>
      </c>
      <c r="F627" t="s">
        <v>1992</v>
      </c>
      <c r="G627" t="s">
        <v>2167</v>
      </c>
      <c r="H627" t="s">
        <v>2168</v>
      </c>
      <c r="I627" t="s">
        <v>2200</v>
      </c>
      <c r="J627" t="s">
        <v>2210</v>
      </c>
      <c r="K627" t="s">
        <v>2240</v>
      </c>
      <c r="L627" t="s">
        <v>2246</v>
      </c>
      <c r="M627" t="s">
        <v>2248</v>
      </c>
      <c r="N627">
        <v>4</v>
      </c>
      <c r="O627">
        <f t="shared" si="45"/>
        <v>77440</v>
      </c>
      <c r="P627">
        <f t="shared" si="46"/>
        <v>309760</v>
      </c>
      <c r="Q627">
        <v>0</v>
      </c>
      <c r="R627">
        <f t="shared" si="47"/>
        <v>309760</v>
      </c>
      <c r="S627" t="s">
        <v>2260</v>
      </c>
      <c r="T627" t="s">
        <v>2264</v>
      </c>
      <c r="U627" s="1" t="str">
        <f t="shared" si="48"/>
        <v>Not Delivered</v>
      </c>
      <c r="V627">
        <f t="shared" si="49"/>
        <v>46464</v>
      </c>
    </row>
    <row r="628" spans="1:22" x14ac:dyDescent="0.3">
      <c r="A628" t="s">
        <v>646</v>
      </c>
      <c r="B628">
        <v>2024</v>
      </c>
      <c r="C628" s="1">
        <v>45653</v>
      </c>
      <c r="D628" t="s">
        <v>825</v>
      </c>
      <c r="E628" t="s">
        <v>1276</v>
      </c>
      <c r="F628" t="s">
        <v>1993</v>
      </c>
      <c r="G628" t="s">
        <v>2167</v>
      </c>
      <c r="H628" t="s">
        <v>2168</v>
      </c>
      <c r="I628" t="s">
        <v>2200</v>
      </c>
      <c r="J628" t="s">
        <v>2210</v>
      </c>
      <c r="K628" t="s">
        <v>2223</v>
      </c>
      <c r="L628" t="s">
        <v>2245</v>
      </c>
      <c r="M628" t="s">
        <v>2252</v>
      </c>
      <c r="N628">
        <v>4</v>
      </c>
      <c r="O628">
        <f t="shared" si="45"/>
        <v>77440</v>
      </c>
      <c r="P628">
        <f t="shared" si="46"/>
        <v>309760</v>
      </c>
      <c r="Q628">
        <v>20</v>
      </c>
      <c r="R628">
        <f t="shared" si="47"/>
        <v>247808</v>
      </c>
      <c r="S628" t="s">
        <v>2261</v>
      </c>
      <c r="T628" t="s">
        <v>2264</v>
      </c>
      <c r="U628" s="1" t="str">
        <f t="shared" si="48"/>
        <v>Not Delivered</v>
      </c>
      <c r="V628">
        <f t="shared" si="49"/>
        <v>46464</v>
      </c>
    </row>
    <row r="629" spans="1:22" x14ac:dyDescent="0.3">
      <c r="A629" t="s">
        <v>647</v>
      </c>
      <c r="B629">
        <v>2024</v>
      </c>
      <c r="C629" s="1">
        <v>45507</v>
      </c>
      <c r="D629" t="s">
        <v>824</v>
      </c>
      <c r="E629" t="s">
        <v>1277</v>
      </c>
      <c r="F629" t="s">
        <v>1994</v>
      </c>
      <c r="G629" t="s">
        <v>2167</v>
      </c>
      <c r="H629" t="s">
        <v>2193</v>
      </c>
      <c r="I629" t="s">
        <v>2206</v>
      </c>
      <c r="J629" t="s">
        <v>2212</v>
      </c>
      <c r="K629" t="s">
        <v>2226</v>
      </c>
      <c r="L629" t="s">
        <v>2244</v>
      </c>
      <c r="M629" t="s">
        <v>2255</v>
      </c>
      <c r="N629">
        <v>1</v>
      </c>
      <c r="O629">
        <f t="shared" si="45"/>
        <v>77440</v>
      </c>
      <c r="P629">
        <f t="shared" si="46"/>
        <v>77440</v>
      </c>
      <c r="Q629">
        <v>5</v>
      </c>
      <c r="R629">
        <f t="shared" si="47"/>
        <v>73568</v>
      </c>
      <c r="S629" t="s">
        <v>2262</v>
      </c>
      <c r="T629" t="s">
        <v>2266</v>
      </c>
      <c r="U629" s="1">
        <f t="shared" si="48"/>
        <v>45514</v>
      </c>
      <c r="V629">
        <f t="shared" si="49"/>
        <v>11616</v>
      </c>
    </row>
    <row r="630" spans="1:22" x14ac:dyDescent="0.3">
      <c r="A630" t="s">
        <v>648</v>
      </c>
      <c r="B630">
        <v>2024</v>
      </c>
      <c r="C630" s="1">
        <v>45509</v>
      </c>
      <c r="D630" t="s">
        <v>828</v>
      </c>
      <c r="E630" t="s">
        <v>902</v>
      </c>
      <c r="F630" t="s">
        <v>1995</v>
      </c>
      <c r="G630" t="s">
        <v>2167</v>
      </c>
      <c r="H630" t="s">
        <v>2172</v>
      </c>
      <c r="I630" t="s">
        <v>2203</v>
      </c>
      <c r="J630" t="s">
        <v>2212</v>
      </c>
      <c r="K630" t="s">
        <v>2226</v>
      </c>
      <c r="L630" t="s">
        <v>2244</v>
      </c>
      <c r="M630" t="s">
        <v>2254</v>
      </c>
      <c r="N630">
        <v>4</v>
      </c>
      <c r="O630">
        <f t="shared" si="45"/>
        <v>77440</v>
      </c>
      <c r="P630">
        <f t="shared" si="46"/>
        <v>309760</v>
      </c>
      <c r="Q630">
        <v>20</v>
      </c>
      <c r="R630">
        <f t="shared" si="47"/>
        <v>247808</v>
      </c>
      <c r="S630" t="s">
        <v>2261</v>
      </c>
      <c r="T630" t="s">
        <v>2266</v>
      </c>
      <c r="U630" s="1">
        <f t="shared" si="48"/>
        <v>45516</v>
      </c>
      <c r="V630">
        <f t="shared" si="49"/>
        <v>46464</v>
      </c>
    </row>
    <row r="631" spans="1:22" x14ac:dyDescent="0.3">
      <c r="A631" t="s">
        <v>649</v>
      </c>
      <c r="B631">
        <v>2024</v>
      </c>
      <c r="C631" s="1">
        <v>45424</v>
      </c>
      <c r="D631" t="s">
        <v>828</v>
      </c>
      <c r="E631" t="s">
        <v>1278</v>
      </c>
      <c r="F631" t="s">
        <v>1996</v>
      </c>
      <c r="G631" t="s">
        <v>2167</v>
      </c>
      <c r="H631" t="s">
        <v>2172</v>
      </c>
      <c r="I631" t="s">
        <v>2203</v>
      </c>
      <c r="J631" t="s">
        <v>2211</v>
      </c>
      <c r="K631" t="s">
        <v>2219</v>
      </c>
      <c r="L631" t="s">
        <v>2243</v>
      </c>
      <c r="M631" t="s">
        <v>2252</v>
      </c>
      <c r="N631">
        <v>2</v>
      </c>
      <c r="O631">
        <f t="shared" si="45"/>
        <v>77440</v>
      </c>
      <c r="P631">
        <f t="shared" si="46"/>
        <v>154880</v>
      </c>
      <c r="Q631">
        <v>20</v>
      </c>
      <c r="R631">
        <f t="shared" si="47"/>
        <v>123904</v>
      </c>
      <c r="S631" t="s">
        <v>2263</v>
      </c>
      <c r="T631" t="s">
        <v>2265</v>
      </c>
      <c r="U631" s="1" t="str">
        <f t="shared" si="48"/>
        <v>Not Delivered</v>
      </c>
      <c r="V631">
        <f t="shared" si="49"/>
        <v>23232</v>
      </c>
    </row>
    <row r="632" spans="1:22" x14ac:dyDescent="0.3">
      <c r="A632" t="s">
        <v>650</v>
      </c>
      <c r="B632">
        <v>2025</v>
      </c>
      <c r="C632" s="1">
        <v>45746</v>
      </c>
      <c r="D632" t="s">
        <v>823</v>
      </c>
      <c r="E632" t="s">
        <v>1080</v>
      </c>
      <c r="F632" t="s">
        <v>1997</v>
      </c>
      <c r="G632" t="s">
        <v>2167</v>
      </c>
      <c r="H632" t="s">
        <v>2197</v>
      </c>
      <c r="I632" t="s">
        <v>2209</v>
      </c>
      <c r="J632" t="s">
        <v>2213</v>
      </c>
      <c r="K632" t="s">
        <v>2241</v>
      </c>
      <c r="L632" t="s">
        <v>2247</v>
      </c>
      <c r="M632" t="s">
        <v>2259</v>
      </c>
      <c r="N632">
        <v>5</v>
      </c>
      <c r="O632">
        <f t="shared" si="45"/>
        <v>77440</v>
      </c>
      <c r="P632">
        <f t="shared" si="46"/>
        <v>387200</v>
      </c>
      <c r="Q632">
        <v>5</v>
      </c>
      <c r="R632">
        <f t="shared" si="47"/>
        <v>367840</v>
      </c>
      <c r="S632" t="s">
        <v>2260</v>
      </c>
      <c r="T632" t="s">
        <v>2265</v>
      </c>
      <c r="U632" s="1" t="str">
        <f t="shared" si="48"/>
        <v>Not Delivered</v>
      </c>
      <c r="V632">
        <f t="shared" si="49"/>
        <v>58080</v>
      </c>
    </row>
    <row r="633" spans="1:22" x14ac:dyDescent="0.3">
      <c r="A633" t="s">
        <v>651</v>
      </c>
      <c r="B633">
        <v>2024</v>
      </c>
      <c r="C633" s="1">
        <v>45519</v>
      </c>
      <c r="D633" t="s">
        <v>823</v>
      </c>
      <c r="E633" t="s">
        <v>1279</v>
      </c>
      <c r="F633" t="s">
        <v>1998</v>
      </c>
      <c r="G633" t="s">
        <v>2167</v>
      </c>
      <c r="H633" t="s">
        <v>2172</v>
      </c>
      <c r="I633" t="s">
        <v>2203</v>
      </c>
      <c r="J633" t="s">
        <v>2211</v>
      </c>
      <c r="K633" t="s">
        <v>2221</v>
      </c>
      <c r="L633" t="s">
        <v>2246</v>
      </c>
      <c r="M633" t="s">
        <v>2252</v>
      </c>
      <c r="N633">
        <v>3</v>
      </c>
      <c r="O633">
        <f t="shared" si="45"/>
        <v>77440</v>
      </c>
      <c r="P633">
        <f t="shared" si="46"/>
        <v>232320</v>
      </c>
      <c r="Q633">
        <v>10</v>
      </c>
      <c r="R633">
        <f t="shared" si="47"/>
        <v>209088</v>
      </c>
      <c r="S633" t="s">
        <v>2261</v>
      </c>
      <c r="T633" t="s">
        <v>2265</v>
      </c>
      <c r="U633" s="1" t="str">
        <f t="shared" si="48"/>
        <v>Not Delivered</v>
      </c>
      <c r="V633">
        <f t="shared" si="49"/>
        <v>34848</v>
      </c>
    </row>
    <row r="634" spans="1:22" x14ac:dyDescent="0.3">
      <c r="A634" t="s">
        <v>652</v>
      </c>
      <c r="B634">
        <v>2024</v>
      </c>
      <c r="C634" s="1">
        <v>45579</v>
      </c>
      <c r="D634" t="s">
        <v>829</v>
      </c>
      <c r="E634" t="s">
        <v>1280</v>
      </c>
      <c r="F634" t="s">
        <v>1999</v>
      </c>
      <c r="G634" t="s">
        <v>2167</v>
      </c>
      <c r="H634" t="s">
        <v>2184</v>
      </c>
      <c r="I634" t="s">
        <v>2202</v>
      </c>
      <c r="J634" t="s">
        <v>2211</v>
      </c>
      <c r="K634" t="s">
        <v>2240</v>
      </c>
      <c r="L634" t="s">
        <v>2246</v>
      </c>
      <c r="M634" t="s">
        <v>2252</v>
      </c>
      <c r="N634">
        <v>2</v>
      </c>
      <c r="O634">
        <f t="shared" si="45"/>
        <v>77440</v>
      </c>
      <c r="P634">
        <f t="shared" si="46"/>
        <v>154880</v>
      </c>
      <c r="Q634">
        <v>0</v>
      </c>
      <c r="R634">
        <f t="shared" si="47"/>
        <v>154880</v>
      </c>
      <c r="S634" t="s">
        <v>2260</v>
      </c>
      <c r="T634" t="s">
        <v>2264</v>
      </c>
      <c r="U634" s="1" t="str">
        <f t="shared" si="48"/>
        <v>Not Delivered</v>
      </c>
      <c r="V634">
        <f t="shared" si="49"/>
        <v>23232</v>
      </c>
    </row>
    <row r="635" spans="1:22" x14ac:dyDescent="0.3">
      <c r="A635" t="s">
        <v>653</v>
      </c>
      <c r="B635">
        <v>2024</v>
      </c>
      <c r="C635" s="1">
        <v>45643</v>
      </c>
      <c r="D635" t="s">
        <v>820</v>
      </c>
      <c r="E635" t="s">
        <v>1001</v>
      </c>
      <c r="F635" t="s">
        <v>2000</v>
      </c>
      <c r="G635" t="s">
        <v>2167</v>
      </c>
      <c r="H635" t="s">
        <v>2196</v>
      </c>
      <c r="I635" t="s">
        <v>2205</v>
      </c>
      <c r="J635" t="s">
        <v>2210</v>
      </c>
      <c r="K635" t="s">
        <v>2226</v>
      </c>
      <c r="L635" t="s">
        <v>2244</v>
      </c>
      <c r="M635" t="s">
        <v>2257</v>
      </c>
      <c r="N635">
        <v>1</v>
      </c>
      <c r="O635">
        <f t="shared" si="45"/>
        <v>77440</v>
      </c>
      <c r="P635">
        <f t="shared" si="46"/>
        <v>77440</v>
      </c>
      <c r="Q635">
        <v>5</v>
      </c>
      <c r="R635">
        <f t="shared" si="47"/>
        <v>73568</v>
      </c>
      <c r="S635" t="s">
        <v>2262</v>
      </c>
      <c r="T635" t="s">
        <v>2266</v>
      </c>
      <c r="U635" s="1">
        <f t="shared" si="48"/>
        <v>45650</v>
      </c>
      <c r="V635">
        <f t="shared" si="49"/>
        <v>11616</v>
      </c>
    </row>
    <row r="636" spans="1:22" x14ac:dyDescent="0.3">
      <c r="A636" t="s">
        <v>654</v>
      </c>
      <c r="B636">
        <v>2024</v>
      </c>
      <c r="C636" s="1">
        <v>45640</v>
      </c>
      <c r="D636" t="s">
        <v>824</v>
      </c>
      <c r="E636" t="s">
        <v>1281</v>
      </c>
      <c r="F636" t="s">
        <v>2001</v>
      </c>
      <c r="G636" t="s">
        <v>2167</v>
      </c>
      <c r="H636" t="s">
        <v>2188</v>
      </c>
      <c r="I636" t="s">
        <v>2208</v>
      </c>
      <c r="J636" t="s">
        <v>2213</v>
      </c>
      <c r="K636" t="s">
        <v>2236</v>
      </c>
      <c r="L636" t="s">
        <v>2242</v>
      </c>
      <c r="M636" t="s">
        <v>2251</v>
      </c>
      <c r="N636">
        <v>2</v>
      </c>
      <c r="O636">
        <f t="shared" si="45"/>
        <v>77440</v>
      </c>
      <c r="P636">
        <f t="shared" si="46"/>
        <v>154880</v>
      </c>
      <c r="Q636">
        <v>15</v>
      </c>
      <c r="R636">
        <f t="shared" si="47"/>
        <v>131648</v>
      </c>
      <c r="S636" t="s">
        <v>2263</v>
      </c>
      <c r="T636" t="s">
        <v>2265</v>
      </c>
      <c r="U636" s="1" t="str">
        <f t="shared" si="48"/>
        <v>Not Delivered</v>
      </c>
      <c r="V636">
        <f t="shared" si="49"/>
        <v>23232</v>
      </c>
    </row>
    <row r="637" spans="1:22" x14ac:dyDescent="0.3">
      <c r="A637" t="s">
        <v>655</v>
      </c>
      <c r="B637">
        <v>2025</v>
      </c>
      <c r="C637" s="1">
        <v>45821</v>
      </c>
      <c r="D637" t="s">
        <v>827</v>
      </c>
      <c r="E637" t="s">
        <v>1282</v>
      </c>
      <c r="F637" t="s">
        <v>2002</v>
      </c>
      <c r="G637" t="s">
        <v>2167</v>
      </c>
      <c r="H637" t="s">
        <v>2195</v>
      </c>
      <c r="I637" t="s">
        <v>2206</v>
      </c>
      <c r="J637" t="s">
        <v>2213</v>
      </c>
      <c r="K637" t="s">
        <v>2230</v>
      </c>
      <c r="L637" t="s">
        <v>2247</v>
      </c>
      <c r="M637" t="s">
        <v>2253</v>
      </c>
      <c r="N637">
        <v>4</v>
      </c>
      <c r="O637">
        <f t="shared" si="45"/>
        <v>77440</v>
      </c>
      <c r="P637">
        <f t="shared" si="46"/>
        <v>309760</v>
      </c>
      <c r="Q637">
        <v>5</v>
      </c>
      <c r="R637">
        <f t="shared" si="47"/>
        <v>294272</v>
      </c>
      <c r="S637" t="s">
        <v>2262</v>
      </c>
      <c r="T637" t="s">
        <v>2265</v>
      </c>
      <c r="U637" s="1" t="str">
        <f t="shared" si="48"/>
        <v>Not Delivered</v>
      </c>
      <c r="V637">
        <f t="shared" si="49"/>
        <v>46464</v>
      </c>
    </row>
    <row r="638" spans="1:22" x14ac:dyDescent="0.3">
      <c r="A638" t="s">
        <v>656</v>
      </c>
      <c r="B638">
        <v>2025</v>
      </c>
      <c r="C638" s="1">
        <v>45747</v>
      </c>
      <c r="D638" t="s">
        <v>822</v>
      </c>
      <c r="E638" t="s">
        <v>903</v>
      </c>
      <c r="F638" t="s">
        <v>2003</v>
      </c>
      <c r="G638" t="s">
        <v>2167</v>
      </c>
      <c r="H638" t="s">
        <v>2198</v>
      </c>
      <c r="I638" t="s">
        <v>2207</v>
      </c>
      <c r="J638" t="s">
        <v>2210</v>
      </c>
      <c r="K638" t="s">
        <v>2218</v>
      </c>
      <c r="L638" t="s">
        <v>2242</v>
      </c>
      <c r="M638" t="s">
        <v>2252</v>
      </c>
      <c r="N638">
        <v>2</v>
      </c>
      <c r="O638">
        <f t="shared" si="45"/>
        <v>77440</v>
      </c>
      <c r="P638">
        <f t="shared" si="46"/>
        <v>154880</v>
      </c>
      <c r="Q638">
        <v>5</v>
      </c>
      <c r="R638">
        <f t="shared" si="47"/>
        <v>147136</v>
      </c>
      <c r="S638" t="s">
        <v>2262</v>
      </c>
      <c r="T638" t="s">
        <v>2265</v>
      </c>
      <c r="U638" s="1" t="str">
        <f t="shared" si="48"/>
        <v>Not Delivered</v>
      </c>
      <c r="V638">
        <f t="shared" si="49"/>
        <v>23232</v>
      </c>
    </row>
    <row r="639" spans="1:22" x14ac:dyDescent="0.3">
      <c r="A639" t="s">
        <v>657</v>
      </c>
      <c r="B639">
        <v>2024</v>
      </c>
      <c r="C639" s="1">
        <v>45605</v>
      </c>
      <c r="D639" t="s">
        <v>823</v>
      </c>
      <c r="E639" t="s">
        <v>1283</v>
      </c>
      <c r="F639" t="s">
        <v>2004</v>
      </c>
      <c r="G639" t="s">
        <v>2167</v>
      </c>
      <c r="H639" t="s">
        <v>2191</v>
      </c>
      <c r="I639" t="s">
        <v>2203</v>
      </c>
      <c r="J639" t="s">
        <v>2210</v>
      </c>
      <c r="K639" t="s">
        <v>2232</v>
      </c>
      <c r="L639" t="s">
        <v>2243</v>
      </c>
      <c r="M639" t="s">
        <v>2249</v>
      </c>
      <c r="N639">
        <v>3</v>
      </c>
      <c r="O639">
        <f t="shared" si="45"/>
        <v>77440</v>
      </c>
      <c r="P639">
        <f t="shared" si="46"/>
        <v>232320</v>
      </c>
      <c r="Q639">
        <v>20</v>
      </c>
      <c r="R639">
        <f t="shared" si="47"/>
        <v>185856</v>
      </c>
      <c r="S639" t="s">
        <v>2262</v>
      </c>
      <c r="T639" t="s">
        <v>2265</v>
      </c>
      <c r="U639" s="1" t="str">
        <f t="shared" si="48"/>
        <v>Not Delivered</v>
      </c>
      <c r="V639">
        <f t="shared" si="49"/>
        <v>34848</v>
      </c>
    </row>
    <row r="640" spans="1:22" x14ac:dyDescent="0.3">
      <c r="A640" t="s">
        <v>658</v>
      </c>
      <c r="B640">
        <v>2024</v>
      </c>
      <c r="C640" s="1">
        <v>45599</v>
      </c>
      <c r="D640" t="s">
        <v>820</v>
      </c>
      <c r="E640" t="s">
        <v>1284</v>
      </c>
      <c r="F640" t="s">
        <v>2005</v>
      </c>
      <c r="G640" t="s">
        <v>2167</v>
      </c>
      <c r="H640" t="s">
        <v>2168</v>
      </c>
      <c r="I640" t="s">
        <v>2200</v>
      </c>
      <c r="J640" t="s">
        <v>2210</v>
      </c>
      <c r="K640" t="s">
        <v>2227</v>
      </c>
      <c r="L640" t="s">
        <v>2247</v>
      </c>
      <c r="M640" t="s">
        <v>2256</v>
      </c>
      <c r="N640">
        <v>4</v>
      </c>
      <c r="O640">
        <f t="shared" si="45"/>
        <v>77440</v>
      </c>
      <c r="P640">
        <f t="shared" si="46"/>
        <v>309760</v>
      </c>
      <c r="Q640">
        <v>0</v>
      </c>
      <c r="R640">
        <f t="shared" si="47"/>
        <v>309760</v>
      </c>
      <c r="S640" t="s">
        <v>2260</v>
      </c>
      <c r="T640" t="s">
        <v>2264</v>
      </c>
      <c r="U640" s="1" t="str">
        <f t="shared" si="48"/>
        <v>Not Delivered</v>
      </c>
      <c r="V640">
        <f t="shared" si="49"/>
        <v>46464</v>
      </c>
    </row>
    <row r="641" spans="1:22" x14ac:dyDescent="0.3">
      <c r="A641" t="s">
        <v>659</v>
      </c>
      <c r="B641">
        <v>2024</v>
      </c>
      <c r="C641" s="1">
        <v>45347</v>
      </c>
      <c r="D641" t="s">
        <v>824</v>
      </c>
      <c r="E641" t="s">
        <v>1242</v>
      </c>
      <c r="F641" t="s">
        <v>2006</v>
      </c>
      <c r="G641" t="s">
        <v>2167</v>
      </c>
      <c r="H641" t="s">
        <v>2169</v>
      </c>
      <c r="I641" t="s">
        <v>2201</v>
      </c>
      <c r="J641" t="s">
        <v>2212</v>
      </c>
      <c r="K641" t="s">
        <v>2218</v>
      </c>
      <c r="L641" t="s">
        <v>2242</v>
      </c>
      <c r="M641" t="s">
        <v>2254</v>
      </c>
      <c r="N641">
        <v>4</v>
      </c>
      <c r="O641">
        <f t="shared" si="45"/>
        <v>77440</v>
      </c>
      <c r="P641">
        <f t="shared" si="46"/>
        <v>309760</v>
      </c>
      <c r="Q641">
        <v>0</v>
      </c>
      <c r="R641">
        <f t="shared" si="47"/>
        <v>309760</v>
      </c>
      <c r="S641" t="s">
        <v>2261</v>
      </c>
      <c r="T641" t="s">
        <v>2264</v>
      </c>
      <c r="U641" s="1" t="str">
        <f t="shared" si="48"/>
        <v>Not Delivered</v>
      </c>
      <c r="V641">
        <f t="shared" si="49"/>
        <v>46464</v>
      </c>
    </row>
    <row r="642" spans="1:22" x14ac:dyDescent="0.3">
      <c r="A642" t="s">
        <v>660</v>
      </c>
      <c r="B642">
        <v>2024</v>
      </c>
      <c r="C642" s="1">
        <v>45496</v>
      </c>
      <c r="D642" t="s">
        <v>823</v>
      </c>
      <c r="E642" t="s">
        <v>1156</v>
      </c>
      <c r="F642" t="s">
        <v>2007</v>
      </c>
      <c r="G642" t="s">
        <v>2167</v>
      </c>
      <c r="H642" t="s">
        <v>2169</v>
      </c>
      <c r="I642" t="s">
        <v>2201</v>
      </c>
      <c r="J642" t="s">
        <v>2210</v>
      </c>
      <c r="K642" t="s">
        <v>2235</v>
      </c>
      <c r="L642" t="s">
        <v>2247</v>
      </c>
      <c r="M642" t="s">
        <v>2259</v>
      </c>
      <c r="N642">
        <v>5</v>
      </c>
      <c r="O642">
        <f t="shared" si="45"/>
        <v>77440</v>
      </c>
      <c r="P642">
        <f t="shared" si="46"/>
        <v>387200</v>
      </c>
      <c r="Q642">
        <v>0</v>
      </c>
      <c r="R642">
        <f t="shared" si="47"/>
        <v>387200</v>
      </c>
      <c r="S642" t="s">
        <v>2262</v>
      </c>
      <c r="T642" t="s">
        <v>2264</v>
      </c>
      <c r="U642" s="1" t="str">
        <f t="shared" si="48"/>
        <v>Not Delivered</v>
      </c>
      <c r="V642">
        <f t="shared" si="49"/>
        <v>58080</v>
      </c>
    </row>
    <row r="643" spans="1:22" x14ac:dyDescent="0.3">
      <c r="A643" t="s">
        <v>661</v>
      </c>
      <c r="B643">
        <v>2024</v>
      </c>
      <c r="C643" s="1">
        <v>45521</v>
      </c>
      <c r="D643" t="s">
        <v>826</v>
      </c>
      <c r="E643" t="s">
        <v>1285</v>
      </c>
      <c r="F643" t="s">
        <v>2008</v>
      </c>
      <c r="G643" t="s">
        <v>2167</v>
      </c>
      <c r="H643" t="s">
        <v>2190</v>
      </c>
      <c r="I643" t="s">
        <v>2208</v>
      </c>
      <c r="J643" t="s">
        <v>2213</v>
      </c>
      <c r="K643" t="s">
        <v>2216</v>
      </c>
      <c r="L643" t="s">
        <v>2242</v>
      </c>
      <c r="M643" t="s">
        <v>2254</v>
      </c>
      <c r="N643">
        <v>4</v>
      </c>
      <c r="O643">
        <f t="shared" ref="O643:O706" si="50">ROUNDUP((77431.41),-1)</f>
        <v>77440</v>
      </c>
      <c r="P643">
        <f t="shared" ref="P643:P706" si="51">O643*N643</f>
        <v>309760</v>
      </c>
      <c r="Q643">
        <v>5</v>
      </c>
      <c r="R643">
        <f t="shared" ref="R643:R706" si="52">P643*(1-Q643/100)</f>
        <v>294272</v>
      </c>
      <c r="S643" t="s">
        <v>2261</v>
      </c>
      <c r="T643" t="s">
        <v>2265</v>
      </c>
      <c r="U643" s="1" t="str">
        <f t="shared" ref="U643:U706" si="53">IF(T643="Delivered", C643 + 7, "Not Delivered")</f>
        <v>Not Delivered</v>
      </c>
      <c r="V643">
        <f t="shared" ref="V643:V706" si="54">P643*15%</f>
        <v>46464</v>
      </c>
    </row>
    <row r="644" spans="1:22" x14ac:dyDescent="0.3">
      <c r="A644" t="s">
        <v>662</v>
      </c>
      <c r="B644">
        <v>2024</v>
      </c>
      <c r="C644" s="1">
        <v>45537</v>
      </c>
      <c r="D644" t="s">
        <v>829</v>
      </c>
      <c r="E644" t="s">
        <v>1286</v>
      </c>
      <c r="F644" t="s">
        <v>2009</v>
      </c>
      <c r="G644" t="s">
        <v>2167</v>
      </c>
      <c r="H644" t="s">
        <v>2184</v>
      </c>
      <c r="I644" t="s">
        <v>2202</v>
      </c>
      <c r="J644" t="s">
        <v>2211</v>
      </c>
      <c r="K644" t="s">
        <v>2240</v>
      </c>
      <c r="L644" t="s">
        <v>2246</v>
      </c>
      <c r="M644" t="s">
        <v>2248</v>
      </c>
      <c r="N644">
        <v>5</v>
      </c>
      <c r="O644">
        <f t="shared" si="50"/>
        <v>77440</v>
      </c>
      <c r="P644">
        <f t="shared" si="51"/>
        <v>387200</v>
      </c>
      <c r="Q644">
        <v>0</v>
      </c>
      <c r="R644">
        <f t="shared" si="52"/>
        <v>387200</v>
      </c>
      <c r="S644" t="s">
        <v>2263</v>
      </c>
      <c r="T644" t="s">
        <v>2266</v>
      </c>
      <c r="U644" s="1">
        <f t="shared" si="53"/>
        <v>45544</v>
      </c>
      <c r="V644">
        <f t="shared" si="54"/>
        <v>58080</v>
      </c>
    </row>
    <row r="645" spans="1:22" x14ac:dyDescent="0.3">
      <c r="A645" t="s">
        <v>663</v>
      </c>
      <c r="B645">
        <v>2024</v>
      </c>
      <c r="C645" s="1">
        <v>45573</v>
      </c>
      <c r="D645" t="s">
        <v>825</v>
      </c>
      <c r="E645" t="s">
        <v>1287</v>
      </c>
      <c r="F645" t="s">
        <v>2010</v>
      </c>
      <c r="G645" t="s">
        <v>2167</v>
      </c>
      <c r="H645" t="s">
        <v>2179</v>
      </c>
      <c r="I645" t="s">
        <v>2206</v>
      </c>
      <c r="J645" t="s">
        <v>2211</v>
      </c>
      <c r="K645" t="s">
        <v>2217</v>
      </c>
      <c r="L645" t="s">
        <v>2244</v>
      </c>
      <c r="M645" t="s">
        <v>2250</v>
      </c>
      <c r="N645">
        <v>3</v>
      </c>
      <c r="O645">
        <f t="shared" si="50"/>
        <v>77440</v>
      </c>
      <c r="P645">
        <f t="shared" si="51"/>
        <v>232320</v>
      </c>
      <c r="Q645">
        <v>15</v>
      </c>
      <c r="R645">
        <f t="shared" si="52"/>
        <v>197472</v>
      </c>
      <c r="S645" t="s">
        <v>2260</v>
      </c>
      <c r="T645" t="s">
        <v>2266</v>
      </c>
      <c r="U645" s="1">
        <f t="shared" si="53"/>
        <v>45580</v>
      </c>
      <c r="V645">
        <f t="shared" si="54"/>
        <v>34848</v>
      </c>
    </row>
    <row r="646" spans="1:22" x14ac:dyDescent="0.3">
      <c r="A646" t="s">
        <v>664</v>
      </c>
      <c r="B646">
        <v>2024</v>
      </c>
      <c r="C646" s="1">
        <v>45320</v>
      </c>
      <c r="D646" t="s">
        <v>826</v>
      </c>
      <c r="E646" t="s">
        <v>1288</v>
      </c>
      <c r="F646" t="s">
        <v>2011</v>
      </c>
      <c r="G646" t="s">
        <v>2167</v>
      </c>
      <c r="H646" t="s">
        <v>2188</v>
      </c>
      <c r="I646" t="s">
        <v>2208</v>
      </c>
      <c r="J646" t="s">
        <v>2213</v>
      </c>
      <c r="K646" t="s">
        <v>2225</v>
      </c>
      <c r="L646" t="s">
        <v>2243</v>
      </c>
      <c r="M646" t="s">
        <v>2257</v>
      </c>
      <c r="N646">
        <v>1</v>
      </c>
      <c r="O646">
        <f t="shared" si="50"/>
        <v>77440</v>
      </c>
      <c r="P646">
        <f t="shared" si="51"/>
        <v>77440</v>
      </c>
      <c r="Q646">
        <v>15</v>
      </c>
      <c r="R646">
        <f t="shared" si="52"/>
        <v>65824</v>
      </c>
      <c r="S646" t="s">
        <v>2263</v>
      </c>
      <c r="T646" t="s">
        <v>2264</v>
      </c>
      <c r="U646" s="1" t="str">
        <f t="shared" si="53"/>
        <v>Not Delivered</v>
      </c>
      <c r="V646">
        <f t="shared" si="54"/>
        <v>11616</v>
      </c>
    </row>
    <row r="647" spans="1:22" x14ac:dyDescent="0.3">
      <c r="A647" t="s">
        <v>665</v>
      </c>
      <c r="B647">
        <v>2024</v>
      </c>
      <c r="C647" s="1">
        <v>45654</v>
      </c>
      <c r="D647" t="s">
        <v>822</v>
      </c>
      <c r="E647" t="s">
        <v>1289</v>
      </c>
      <c r="F647" t="s">
        <v>2012</v>
      </c>
      <c r="G647" t="s">
        <v>2167</v>
      </c>
      <c r="H647" t="s">
        <v>2168</v>
      </c>
      <c r="I647" t="s">
        <v>2200</v>
      </c>
      <c r="J647" t="s">
        <v>2212</v>
      </c>
      <c r="K647" t="s">
        <v>2234</v>
      </c>
      <c r="L647" t="s">
        <v>2244</v>
      </c>
      <c r="M647" t="s">
        <v>2250</v>
      </c>
      <c r="N647">
        <v>5</v>
      </c>
      <c r="O647">
        <f t="shared" si="50"/>
        <v>77440</v>
      </c>
      <c r="P647">
        <f t="shared" si="51"/>
        <v>387200</v>
      </c>
      <c r="Q647">
        <v>20</v>
      </c>
      <c r="R647">
        <f t="shared" si="52"/>
        <v>309760</v>
      </c>
      <c r="S647" t="s">
        <v>2260</v>
      </c>
      <c r="T647" t="s">
        <v>2264</v>
      </c>
      <c r="U647" s="1" t="str">
        <f t="shared" si="53"/>
        <v>Not Delivered</v>
      </c>
      <c r="V647">
        <f t="shared" si="54"/>
        <v>58080</v>
      </c>
    </row>
    <row r="648" spans="1:22" x14ac:dyDescent="0.3">
      <c r="A648" t="s">
        <v>666</v>
      </c>
      <c r="B648">
        <v>2025</v>
      </c>
      <c r="C648" s="1">
        <v>45775</v>
      </c>
      <c r="D648" t="s">
        <v>822</v>
      </c>
      <c r="E648" t="s">
        <v>876</v>
      </c>
      <c r="F648" t="s">
        <v>2013</v>
      </c>
      <c r="G648" t="s">
        <v>2167</v>
      </c>
      <c r="H648" t="s">
        <v>2184</v>
      </c>
      <c r="I648" t="s">
        <v>2202</v>
      </c>
      <c r="J648" t="s">
        <v>2210</v>
      </c>
      <c r="K648" t="s">
        <v>2232</v>
      </c>
      <c r="L648" t="s">
        <v>2243</v>
      </c>
      <c r="M648" t="s">
        <v>2259</v>
      </c>
      <c r="N648">
        <v>2</v>
      </c>
      <c r="O648">
        <f t="shared" si="50"/>
        <v>77440</v>
      </c>
      <c r="P648">
        <f t="shared" si="51"/>
        <v>154880</v>
      </c>
      <c r="Q648">
        <v>10</v>
      </c>
      <c r="R648">
        <f t="shared" si="52"/>
        <v>139392</v>
      </c>
      <c r="S648" t="s">
        <v>2261</v>
      </c>
      <c r="T648" t="s">
        <v>2266</v>
      </c>
      <c r="U648" s="1">
        <f t="shared" si="53"/>
        <v>45782</v>
      </c>
      <c r="V648">
        <f t="shared" si="54"/>
        <v>23232</v>
      </c>
    </row>
    <row r="649" spans="1:22" x14ac:dyDescent="0.3">
      <c r="A649" t="s">
        <v>667</v>
      </c>
      <c r="B649">
        <v>2024</v>
      </c>
      <c r="C649" s="1">
        <v>45637</v>
      </c>
      <c r="D649" t="s">
        <v>822</v>
      </c>
      <c r="E649" t="s">
        <v>1290</v>
      </c>
      <c r="F649" t="s">
        <v>2014</v>
      </c>
      <c r="G649" t="s">
        <v>2167</v>
      </c>
      <c r="H649" t="s">
        <v>2170</v>
      </c>
      <c r="I649" t="s">
        <v>2201</v>
      </c>
      <c r="J649" t="s">
        <v>2212</v>
      </c>
      <c r="K649" t="s">
        <v>2231</v>
      </c>
      <c r="L649" t="s">
        <v>2244</v>
      </c>
      <c r="M649" t="s">
        <v>2253</v>
      </c>
      <c r="N649">
        <v>3</v>
      </c>
      <c r="O649">
        <f t="shared" si="50"/>
        <v>77440</v>
      </c>
      <c r="P649">
        <f t="shared" si="51"/>
        <v>232320</v>
      </c>
      <c r="Q649">
        <v>15</v>
      </c>
      <c r="R649">
        <f t="shared" si="52"/>
        <v>197472</v>
      </c>
      <c r="S649" t="s">
        <v>2263</v>
      </c>
      <c r="T649" t="s">
        <v>2264</v>
      </c>
      <c r="U649" s="1" t="str">
        <f t="shared" si="53"/>
        <v>Not Delivered</v>
      </c>
      <c r="V649">
        <f t="shared" si="54"/>
        <v>34848</v>
      </c>
    </row>
    <row r="650" spans="1:22" x14ac:dyDescent="0.3">
      <c r="A650" t="s">
        <v>668</v>
      </c>
      <c r="B650">
        <v>2025</v>
      </c>
      <c r="C650" s="1">
        <v>45839</v>
      </c>
      <c r="D650" t="s">
        <v>824</v>
      </c>
      <c r="E650" t="s">
        <v>939</v>
      </c>
      <c r="F650" t="s">
        <v>2015</v>
      </c>
      <c r="G650" t="s">
        <v>2167</v>
      </c>
      <c r="H650" t="s">
        <v>2181</v>
      </c>
      <c r="I650" t="s">
        <v>2209</v>
      </c>
      <c r="J650" t="s">
        <v>2210</v>
      </c>
      <c r="K650" t="s">
        <v>2224</v>
      </c>
      <c r="L650" t="s">
        <v>2245</v>
      </c>
      <c r="M650" t="s">
        <v>2256</v>
      </c>
      <c r="N650">
        <v>5</v>
      </c>
      <c r="O650">
        <f t="shared" si="50"/>
        <v>77440</v>
      </c>
      <c r="P650">
        <f t="shared" si="51"/>
        <v>387200</v>
      </c>
      <c r="Q650">
        <v>15</v>
      </c>
      <c r="R650">
        <f t="shared" si="52"/>
        <v>329120</v>
      </c>
      <c r="S650" t="s">
        <v>2261</v>
      </c>
      <c r="T650" t="s">
        <v>2266</v>
      </c>
      <c r="U650" s="1">
        <f t="shared" si="53"/>
        <v>45846</v>
      </c>
      <c r="V650">
        <f t="shared" si="54"/>
        <v>58080</v>
      </c>
    </row>
    <row r="651" spans="1:22" x14ac:dyDescent="0.3">
      <c r="A651" t="s">
        <v>669</v>
      </c>
      <c r="B651">
        <v>2025</v>
      </c>
      <c r="C651" s="1">
        <v>45753</v>
      </c>
      <c r="D651" t="s">
        <v>824</v>
      </c>
      <c r="E651" t="s">
        <v>1291</v>
      </c>
      <c r="F651" t="s">
        <v>2016</v>
      </c>
      <c r="G651" t="s">
        <v>2167</v>
      </c>
      <c r="H651" t="s">
        <v>2180</v>
      </c>
      <c r="I651" t="s">
        <v>2208</v>
      </c>
      <c r="J651" t="s">
        <v>2212</v>
      </c>
      <c r="K651" t="s">
        <v>2233</v>
      </c>
      <c r="L651" t="s">
        <v>2245</v>
      </c>
      <c r="M651" t="s">
        <v>2253</v>
      </c>
      <c r="N651">
        <v>3</v>
      </c>
      <c r="O651">
        <f t="shared" si="50"/>
        <v>77440</v>
      </c>
      <c r="P651">
        <f t="shared" si="51"/>
        <v>232320</v>
      </c>
      <c r="Q651">
        <v>15</v>
      </c>
      <c r="R651">
        <f t="shared" si="52"/>
        <v>197472</v>
      </c>
      <c r="S651" t="s">
        <v>2260</v>
      </c>
      <c r="T651" t="s">
        <v>2264</v>
      </c>
      <c r="U651" s="1" t="str">
        <f t="shared" si="53"/>
        <v>Not Delivered</v>
      </c>
      <c r="V651">
        <f t="shared" si="54"/>
        <v>34848</v>
      </c>
    </row>
    <row r="652" spans="1:22" x14ac:dyDescent="0.3">
      <c r="A652" t="s">
        <v>670</v>
      </c>
      <c r="B652">
        <v>2024</v>
      </c>
      <c r="C652" s="1">
        <v>45566</v>
      </c>
      <c r="D652" t="s">
        <v>826</v>
      </c>
      <c r="E652" t="s">
        <v>1292</v>
      </c>
      <c r="F652" t="s">
        <v>2017</v>
      </c>
      <c r="G652" t="s">
        <v>2167</v>
      </c>
      <c r="H652" t="s">
        <v>2176</v>
      </c>
      <c r="I652" t="s">
        <v>2205</v>
      </c>
      <c r="J652" t="s">
        <v>2213</v>
      </c>
      <c r="K652" t="s">
        <v>2235</v>
      </c>
      <c r="L652" t="s">
        <v>2247</v>
      </c>
      <c r="M652" t="s">
        <v>2251</v>
      </c>
      <c r="N652">
        <v>5</v>
      </c>
      <c r="O652">
        <f t="shared" si="50"/>
        <v>77440</v>
      </c>
      <c r="P652">
        <f t="shared" si="51"/>
        <v>387200</v>
      </c>
      <c r="Q652">
        <v>20</v>
      </c>
      <c r="R652">
        <f t="shared" si="52"/>
        <v>309760</v>
      </c>
      <c r="S652" t="s">
        <v>2262</v>
      </c>
      <c r="T652" t="s">
        <v>2264</v>
      </c>
      <c r="U652" s="1" t="str">
        <f t="shared" si="53"/>
        <v>Not Delivered</v>
      </c>
      <c r="V652">
        <f t="shared" si="54"/>
        <v>58080</v>
      </c>
    </row>
    <row r="653" spans="1:22" x14ac:dyDescent="0.3">
      <c r="A653" t="s">
        <v>671</v>
      </c>
      <c r="B653">
        <v>2024</v>
      </c>
      <c r="C653" s="1">
        <v>45553</v>
      </c>
      <c r="D653" t="s">
        <v>820</v>
      </c>
      <c r="E653" t="s">
        <v>1293</v>
      </c>
      <c r="F653" t="s">
        <v>2018</v>
      </c>
      <c r="G653" t="s">
        <v>2167</v>
      </c>
      <c r="H653" t="s">
        <v>2195</v>
      </c>
      <c r="I653" t="s">
        <v>2206</v>
      </c>
      <c r="J653" t="s">
        <v>2213</v>
      </c>
      <c r="K653" t="s">
        <v>2230</v>
      </c>
      <c r="L653" t="s">
        <v>2247</v>
      </c>
      <c r="M653" t="s">
        <v>2251</v>
      </c>
      <c r="N653">
        <v>4</v>
      </c>
      <c r="O653">
        <f t="shared" si="50"/>
        <v>77440</v>
      </c>
      <c r="P653">
        <f t="shared" si="51"/>
        <v>309760</v>
      </c>
      <c r="Q653">
        <v>0</v>
      </c>
      <c r="R653">
        <f t="shared" si="52"/>
        <v>309760</v>
      </c>
      <c r="S653" t="s">
        <v>2261</v>
      </c>
      <c r="T653" t="s">
        <v>2265</v>
      </c>
      <c r="U653" s="1" t="str">
        <f t="shared" si="53"/>
        <v>Not Delivered</v>
      </c>
      <c r="V653">
        <f t="shared" si="54"/>
        <v>46464</v>
      </c>
    </row>
    <row r="654" spans="1:22" x14ac:dyDescent="0.3">
      <c r="A654" t="s">
        <v>672</v>
      </c>
      <c r="B654">
        <v>2024</v>
      </c>
      <c r="C654" s="1">
        <v>45323</v>
      </c>
      <c r="D654" t="s">
        <v>829</v>
      </c>
      <c r="E654" t="s">
        <v>1294</v>
      </c>
      <c r="F654" t="s">
        <v>2019</v>
      </c>
      <c r="G654" t="s">
        <v>2167</v>
      </c>
      <c r="H654" t="s">
        <v>2171</v>
      </c>
      <c r="I654" t="s">
        <v>2202</v>
      </c>
      <c r="J654" t="s">
        <v>2211</v>
      </c>
      <c r="K654" t="s">
        <v>2228</v>
      </c>
      <c r="L654" t="s">
        <v>2243</v>
      </c>
      <c r="M654" t="s">
        <v>2254</v>
      </c>
      <c r="N654">
        <v>3</v>
      </c>
      <c r="O654">
        <f t="shared" si="50"/>
        <v>77440</v>
      </c>
      <c r="P654">
        <f t="shared" si="51"/>
        <v>232320</v>
      </c>
      <c r="Q654">
        <v>5</v>
      </c>
      <c r="R654">
        <f t="shared" si="52"/>
        <v>220704</v>
      </c>
      <c r="S654" t="s">
        <v>2263</v>
      </c>
      <c r="T654" t="s">
        <v>2266</v>
      </c>
      <c r="U654" s="1">
        <f t="shared" si="53"/>
        <v>45330</v>
      </c>
      <c r="V654">
        <f t="shared" si="54"/>
        <v>34848</v>
      </c>
    </row>
    <row r="655" spans="1:22" x14ac:dyDescent="0.3">
      <c r="A655" t="s">
        <v>673</v>
      </c>
      <c r="B655">
        <v>2024</v>
      </c>
      <c r="C655" s="1">
        <v>45469</v>
      </c>
      <c r="D655" t="s">
        <v>829</v>
      </c>
      <c r="E655" t="s">
        <v>1295</v>
      </c>
      <c r="F655" t="s">
        <v>2020</v>
      </c>
      <c r="G655" t="s">
        <v>2167</v>
      </c>
      <c r="H655" t="s">
        <v>2172</v>
      </c>
      <c r="I655" t="s">
        <v>2203</v>
      </c>
      <c r="J655" t="s">
        <v>2212</v>
      </c>
      <c r="K655" t="s">
        <v>2232</v>
      </c>
      <c r="L655" t="s">
        <v>2243</v>
      </c>
      <c r="M655" t="s">
        <v>2249</v>
      </c>
      <c r="N655">
        <v>2</v>
      </c>
      <c r="O655">
        <f t="shared" si="50"/>
        <v>77440</v>
      </c>
      <c r="P655">
        <f t="shared" si="51"/>
        <v>154880</v>
      </c>
      <c r="Q655">
        <v>20</v>
      </c>
      <c r="R655">
        <f t="shared" si="52"/>
        <v>123904</v>
      </c>
      <c r="S655" t="s">
        <v>2260</v>
      </c>
      <c r="T655" t="s">
        <v>2264</v>
      </c>
      <c r="U655" s="1" t="str">
        <f t="shared" si="53"/>
        <v>Not Delivered</v>
      </c>
      <c r="V655">
        <f t="shared" si="54"/>
        <v>23232</v>
      </c>
    </row>
    <row r="656" spans="1:22" x14ac:dyDescent="0.3">
      <c r="A656" t="s">
        <v>674</v>
      </c>
      <c r="B656">
        <v>2024</v>
      </c>
      <c r="C656" s="1">
        <v>45297</v>
      </c>
      <c r="D656" t="s">
        <v>823</v>
      </c>
      <c r="E656" t="s">
        <v>1296</v>
      </c>
      <c r="F656" t="s">
        <v>2021</v>
      </c>
      <c r="G656" t="s">
        <v>2167</v>
      </c>
      <c r="H656" t="s">
        <v>2173</v>
      </c>
      <c r="I656" t="s">
        <v>2204</v>
      </c>
      <c r="J656" t="s">
        <v>2213</v>
      </c>
      <c r="K656" t="s">
        <v>2224</v>
      </c>
      <c r="L656" t="s">
        <v>2245</v>
      </c>
      <c r="M656" t="s">
        <v>2256</v>
      </c>
      <c r="N656">
        <v>3</v>
      </c>
      <c r="O656">
        <f t="shared" si="50"/>
        <v>77440</v>
      </c>
      <c r="P656">
        <f t="shared" si="51"/>
        <v>232320</v>
      </c>
      <c r="Q656">
        <v>10</v>
      </c>
      <c r="R656">
        <f t="shared" si="52"/>
        <v>209088</v>
      </c>
      <c r="S656" t="s">
        <v>2262</v>
      </c>
      <c r="T656" t="s">
        <v>2265</v>
      </c>
      <c r="U656" s="1" t="str">
        <f t="shared" si="53"/>
        <v>Not Delivered</v>
      </c>
      <c r="V656">
        <f t="shared" si="54"/>
        <v>34848</v>
      </c>
    </row>
    <row r="657" spans="1:22" x14ac:dyDescent="0.3">
      <c r="A657" t="s">
        <v>675</v>
      </c>
      <c r="B657">
        <v>2025</v>
      </c>
      <c r="C657" s="1">
        <v>45721</v>
      </c>
      <c r="D657" t="s">
        <v>828</v>
      </c>
      <c r="E657" t="s">
        <v>1278</v>
      </c>
      <c r="F657" t="s">
        <v>2022</v>
      </c>
      <c r="G657" t="s">
        <v>2167</v>
      </c>
      <c r="H657" t="s">
        <v>2194</v>
      </c>
      <c r="I657" t="s">
        <v>2201</v>
      </c>
      <c r="J657" t="s">
        <v>2211</v>
      </c>
      <c r="K657" t="s">
        <v>2233</v>
      </c>
      <c r="L657" t="s">
        <v>2245</v>
      </c>
      <c r="M657" t="s">
        <v>2248</v>
      </c>
      <c r="N657">
        <v>1</v>
      </c>
      <c r="O657">
        <f t="shared" si="50"/>
        <v>77440</v>
      </c>
      <c r="P657">
        <f t="shared" si="51"/>
        <v>77440</v>
      </c>
      <c r="Q657">
        <v>20</v>
      </c>
      <c r="R657">
        <f t="shared" si="52"/>
        <v>61952</v>
      </c>
      <c r="S657" t="s">
        <v>2262</v>
      </c>
      <c r="T657" t="s">
        <v>2265</v>
      </c>
      <c r="U657" s="1" t="str">
        <f t="shared" si="53"/>
        <v>Not Delivered</v>
      </c>
      <c r="V657">
        <f t="shared" si="54"/>
        <v>11616</v>
      </c>
    </row>
    <row r="658" spans="1:22" x14ac:dyDescent="0.3">
      <c r="A658" t="s">
        <v>676</v>
      </c>
      <c r="B658">
        <v>2024</v>
      </c>
      <c r="C658" s="1">
        <v>45394</v>
      </c>
      <c r="D658" t="s">
        <v>823</v>
      </c>
      <c r="E658" t="s">
        <v>1254</v>
      </c>
      <c r="F658" t="s">
        <v>2023</v>
      </c>
      <c r="G658" t="s">
        <v>2167</v>
      </c>
      <c r="H658" t="s">
        <v>2199</v>
      </c>
      <c r="I658" t="s">
        <v>2205</v>
      </c>
      <c r="J658" t="s">
        <v>2211</v>
      </c>
      <c r="K658" t="s">
        <v>2228</v>
      </c>
      <c r="L658" t="s">
        <v>2243</v>
      </c>
      <c r="M658" t="s">
        <v>2256</v>
      </c>
      <c r="N658">
        <v>5</v>
      </c>
      <c r="O658">
        <f t="shared" si="50"/>
        <v>77440</v>
      </c>
      <c r="P658">
        <f t="shared" si="51"/>
        <v>387200</v>
      </c>
      <c r="Q658">
        <v>20</v>
      </c>
      <c r="R658">
        <f t="shared" si="52"/>
        <v>309760</v>
      </c>
      <c r="S658" t="s">
        <v>2263</v>
      </c>
      <c r="T658" t="s">
        <v>2265</v>
      </c>
      <c r="U658" s="1" t="str">
        <f t="shared" si="53"/>
        <v>Not Delivered</v>
      </c>
      <c r="V658">
        <f t="shared" si="54"/>
        <v>58080</v>
      </c>
    </row>
    <row r="659" spans="1:22" x14ac:dyDescent="0.3">
      <c r="A659" t="s">
        <v>677</v>
      </c>
      <c r="B659">
        <v>2024</v>
      </c>
      <c r="C659" s="1">
        <v>45380</v>
      </c>
      <c r="D659" t="s">
        <v>822</v>
      </c>
      <c r="E659" t="s">
        <v>1297</v>
      </c>
      <c r="F659" t="s">
        <v>2024</v>
      </c>
      <c r="G659" t="s">
        <v>2167</v>
      </c>
      <c r="H659" t="s">
        <v>2172</v>
      </c>
      <c r="I659" t="s">
        <v>2203</v>
      </c>
      <c r="J659" t="s">
        <v>2213</v>
      </c>
      <c r="K659" t="s">
        <v>2241</v>
      </c>
      <c r="L659" t="s">
        <v>2247</v>
      </c>
      <c r="M659" t="s">
        <v>2253</v>
      </c>
      <c r="N659">
        <v>5</v>
      </c>
      <c r="O659">
        <f t="shared" si="50"/>
        <v>77440</v>
      </c>
      <c r="P659">
        <f t="shared" si="51"/>
        <v>387200</v>
      </c>
      <c r="Q659">
        <v>10</v>
      </c>
      <c r="R659">
        <f t="shared" si="52"/>
        <v>348480</v>
      </c>
      <c r="S659" t="s">
        <v>2263</v>
      </c>
      <c r="T659" t="s">
        <v>2264</v>
      </c>
      <c r="U659" s="1" t="str">
        <f t="shared" si="53"/>
        <v>Not Delivered</v>
      </c>
      <c r="V659">
        <f t="shared" si="54"/>
        <v>58080</v>
      </c>
    </row>
    <row r="660" spans="1:22" x14ac:dyDescent="0.3">
      <c r="A660" t="s">
        <v>678</v>
      </c>
      <c r="B660">
        <v>2024</v>
      </c>
      <c r="C660" s="1">
        <v>45485</v>
      </c>
      <c r="D660" t="s">
        <v>826</v>
      </c>
      <c r="E660" t="s">
        <v>1198</v>
      </c>
      <c r="F660" t="s">
        <v>2025</v>
      </c>
      <c r="G660" t="s">
        <v>2167</v>
      </c>
      <c r="H660" t="s">
        <v>2169</v>
      </c>
      <c r="I660" t="s">
        <v>2201</v>
      </c>
      <c r="J660" t="s">
        <v>2211</v>
      </c>
      <c r="K660" t="s">
        <v>2214</v>
      </c>
      <c r="L660" t="s">
        <v>2242</v>
      </c>
      <c r="M660" t="s">
        <v>2259</v>
      </c>
      <c r="N660">
        <v>3</v>
      </c>
      <c r="O660">
        <f t="shared" si="50"/>
        <v>77440</v>
      </c>
      <c r="P660">
        <f t="shared" si="51"/>
        <v>232320</v>
      </c>
      <c r="Q660">
        <v>20</v>
      </c>
      <c r="R660">
        <f t="shared" si="52"/>
        <v>185856</v>
      </c>
      <c r="S660" t="s">
        <v>2261</v>
      </c>
      <c r="T660" t="s">
        <v>2264</v>
      </c>
      <c r="U660" s="1" t="str">
        <f t="shared" si="53"/>
        <v>Not Delivered</v>
      </c>
      <c r="V660">
        <f t="shared" si="54"/>
        <v>34848</v>
      </c>
    </row>
    <row r="661" spans="1:22" x14ac:dyDescent="0.3">
      <c r="A661" t="s">
        <v>679</v>
      </c>
      <c r="B661">
        <v>2024</v>
      </c>
      <c r="C661" s="1">
        <v>45474</v>
      </c>
      <c r="D661" t="s">
        <v>820</v>
      </c>
      <c r="E661" t="s">
        <v>1016</v>
      </c>
      <c r="F661" t="s">
        <v>2026</v>
      </c>
      <c r="G661" t="s">
        <v>2167</v>
      </c>
      <c r="H661" t="s">
        <v>2168</v>
      </c>
      <c r="I661" t="s">
        <v>2200</v>
      </c>
      <c r="J661" t="s">
        <v>2210</v>
      </c>
      <c r="K661" t="s">
        <v>2220</v>
      </c>
      <c r="L661" t="s">
        <v>2245</v>
      </c>
      <c r="M661" t="s">
        <v>2259</v>
      </c>
      <c r="N661">
        <v>5</v>
      </c>
      <c r="O661">
        <f t="shared" si="50"/>
        <v>77440</v>
      </c>
      <c r="P661">
        <f t="shared" si="51"/>
        <v>387200</v>
      </c>
      <c r="Q661">
        <v>20</v>
      </c>
      <c r="R661">
        <f t="shared" si="52"/>
        <v>309760</v>
      </c>
      <c r="S661" t="s">
        <v>2261</v>
      </c>
      <c r="T661" t="s">
        <v>2265</v>
      </c>
      <c r="U661" s="1" t="str">
        <f t="shared" si="53"/>
        <v>Not Delivered</v>
      </c>
      <c r="V661">
        <f t="shared" si="54"/>
        <v>58080</v>
      </c>
    </row>
    <row r="662" spans="1:22" x14ac:dyDescent="0.3">
      <c r="A662" t="s">
        <v>680</v>
      </c>
      <c r="B662">
        <v>2024</v>
      </c>
      <c r="C662" s="1">
        <v>45503</v>
      </c>
      <c r="D662" t="s">
        <v>825</v>
      </c>
      <c r="E662" t="s">
        <v>1249</v>
      </c>
      <c r="F662" t="s">
        <v>2027</v>
      </c>
      <c r="G662" t="s">
        <v>2167</v>
      </c>
      <c r="H662" t="s">
        <v>2195</v>
      </c>
      <c r="I662" t="s">
        <v>2206</v>
      </c>
      <c r="J662" t="s">
        <v>2211</v>
      </c>
      <c r="K662" t="s">
        <v>2223</v>
      </c>
      <c r="L662" t="s">
        <v>2245</v>
      </c>
      <c r="M662" t="s">
        <v>2255</v>
      </c>
      <c r="N662">
        <v>2</v>
      </c>
      <c r="O662">
        <f t="shared" si="50"/>
        <v>77440</v>
      </c>
      <c r="P662">
        <f t="shared" si="51"/>
        <v>154880</v>
      </c>
      <c r="Q662">
        <v>5</v>
      </c>
      <c r="R662">
        <f t="shared" si="52"/>
        <v>147136</v>
      </c>
      <c r="S662" t="s">
        <v>2263</v>
      </c>
      <c r="T662" t="s">
        <v>2265</v>
      </c>
      <c r="U662" s="1" t="str">
        <f t="shared" si="53"/>
        <v>Not Delivered</v>
      </c>
      <c r="V662">
        <f t="shared" si="54"/>
        <v>23232</v>
      </c>
    </row>
    <row r="663" spans="1:22" x14ac:dyDescent="0.3">
      <c r="A663" t="s">
        <v>681</v>
      </c>
      <c r="B663">
        <v>2025</v>
      </c>
      <c r="C663" s="1">
        <v>45776</v>
      </c>
      <c r="D663" t="s">
        <v>824</v>
      </c>
      <c r="E663" t="s">
        <v>1298</v>
      </c>
      <c r="F663" t="s">
        <v>2028</v>
      </c>
      <c r="G663" t="s">
        <v>2167</v>
      </c>
      <c r="H663" t="s">
        <v>2188</v>
      </c>
      <c r="I663" t="s">
        <v>2208</v>
      </c>
      <c r="J663" t="s">
        <v>2211</v>
      </c>
      <c r="K663" t="s">
        <v>2215</v>
      </c>
      <c r="L663" t="s">
        <v>2243</v>
      </c>
      <c r="M663" t="s">
        <v>2257</v>
      </c>
      <c r="N663">
        <v>4</v>
      </c>
      <c r="O663">
        <f t="shared" si="50"/>
        <v>77440</v>
      </c>
      <c r="P663">
        <f t="shared" si="51"/>
        <v>309760</v>
      </c>
      <c r="Q663">
        <v>15</v>
      </c>
      <c r="R663">
        <f t="shared" si="52"/>
        <v>263296</v>
      </c>
      <c r="S663" t="s">
        <v>2261</v>
      </c>
      <c r="T663" t="s">
        <v>2264</v>
      </c>
      <c r="U663" s="1" t="str">
        <f t="shared" si="53"/>
        <v>Not Delivered</v>
      </c>
      <c r="V663">
        <f t="shared" si="54"/>
        <v>46464</v>
      </c>
    </row>
    <row r="664" spans="1:22" x14ac:dyDescent="0.3">
      <c r="A664" t="s">
        <v>682</v>
      </c>
      <c r="B664">
        <v>2024</v>
      </c>
      <c r="C664" s="1">
        <v>45539</v>
      </c>
      <c r="D664" t="s">
        <v>824</v>
      </c>
      <c r="E664" t="s">
        <v>1299</v>
      </c>
      <c r="F664" t="s">
        <v>2029</v>
      </c>
      <c r="G664" t="s">
        <v>2167</v>
      </c>
      <c r="H664" t="s">
        <v>2181</v>
      </c>
      <c r="I664" t="s">
        <v>2209</v>
      </c>
      <c r="J664" t="s">
        <v>2211</v>
      </c>
      <c r="K664" t="s">
        <v>2225</v>
      </c>
      <c r="L664" t="s">
        <v>2243</v>
      </c>
      <c r="M664" t="s">
        <v>2248</v>
      </c>
      <c r="N664">
        <v>2</v>
      </c>
      <c r="O664">
        <f t="shared" si="50"/>
        <v>77440</v>
      </c>
      <c r="P664">
        <f t="shared" si="51"/>
        <v>154880</v>
      </c>
      <c r="Q664">
        <v>0</v>
      </c>
      <c r="R664">
        <f t="shared" si="52"/>
        <v>154880</v>
      </c>
      <c r="S664" t="s">
        <v>2263</v>
      </c>
      <c r="T664" t="s">
        <v>2266</v>
      </c>
      <c r="U664" s="1">
        <f t="shared" si="53"/>
        <v>45546</v>
      </c>
      <c r="V664">
        <f t="shared" si="54"/>
        <v>23232</v>
      </c>
    </row>
    <row r="665" spans="1:22" x14ac:dyDescent="0.3">
      <c r="A665" t="s">
        <v>683</v>
      </c>
      <c r="B665">
        <v>2025</v>
      </c>
      <c r="C665" s="1">
        <v>45707</v>
      </c>
      <c r="D665" t="s">
        <v>829</v>
      </c>
      <c r="E665" t="s">
        <v>1285</v>
      </c>
      <c r="F665" t="s">
        <v>2030</v>
      </c>
      <c r="G665" t="s">
        <v>2167</v>
      </c>
      <c r="H665" t="s">
        <v>2183</v>
      </c>
      <c r="I665" t="s">
        <v>2204</v>
      </c>
      <c r="J665" t="s">
        <v>2211</v>
      </c>
      <c r="K665" t="s">
        <v>2214</v>
      </c>
      <c r="L665" t="s">
        <v>2242</v>
      </c>
      <c r="M665" t="s">
        <v>2249</v>
      </c>
      <c r="N665">
        <v>5</v>
      </c>
      <c r="O665">
        <f t="shared" si="50"/>
        <v>77440</v>
      </c>
      <c r="P665">
        <f t="shared" si="51"/>
        <v>387200</v>
      </c>
      <c r="Q665">
        <v>20</v>
      </c>
      <c r="R665">
        <f t="shared" si="52"/>
        <v>309760</v>
      </c>
      <c r="S665" t="s">
        <v>2260</v>
      </c>
      <c r="T665" t="s">
        <v>2264</v>
      </c>
      <c r="U665" s="1" t="str">
        <f t="shared" si="53"/>
        <v>Not Delivered</v>
      </c>
      <c r="V665">
        <f t="shared" si="54"/>
        <v>58080</v>
      </c>
    </row>
    <row r="666" spans="1:22" x14ac:dyDescent="0.3">
      <c r="A666" t="s">
        <v>684</v>
      </c>
      <c r="B666">
        <v>2025</v>
      </c>
      <c r="C666" s="1">
        <v>45869</v>
      </c>
      <c r="D666" t="s">
        <v>823</v>
      </c>
      <c r="E666" t="s">
        <v>1300</v>
      </c>
      <c r="F666" t="s">
        <v>2031</v>
      </c>
      <c r="G666" t="s">
        <v>2167</v>
      </c>
      <c r="H666" t="s">
        <v>2179</v>
      </c>
      <c r="I666" t="s">
        <v>2206</v>
      </c>
      <c r="J666" t="s">
        <v>2211</v>
      </c>
      <c r="K666" t="s">
        <v>2234</v>
      </c>
      <c r="L666" t="s">
        <v>2244</v>
      </c>
      <c r="M666" t="s">
        <v>2254</v>
      </c>
      <c r="N666">
        <v>1</v>
      </c>
      <c r="O666">
        <f t="shared" si="50"/>
        <v>77440</v>
      </c>
      <c r="P666">
        <f t="shared" si="51"/>
        <v>77440</v>
      </c>
      <c r="Q666">
        <v>5</v>
      </c>
      <c r="R666">
        <f t="shared" si="52"/>
        <v>73568</v>
      </c>
      <c r="S666" t="s">
        <v>2261</v>
      </c>
      <c r="T666" t="s">
        <v>2264</v>
      </c>
      <c r="U666" s="1" t="str">
        <f t="shared" si="53"/>
        <v>Not Delivered</v>
      </c>
      <c r="V666">
        <f t="shared" si="54"/>
        <v>11616</v>
      </c>
    </row>
    <row r="667" spans="1:22" x14ac:dyDescent="0.3">
      <c r="A667" t="s">
        <v>685</v>
      </c>
      <c r="B667">
        <v>2024</v>
      </c>
      <c r="C667" s="1">
        <v>45320</v>
      </c>
      <c r="D667" t="s">
        <v>827</v>
      </c>
      <c r="E667" t="s">
        <v>1073</v>
      </c>
      <c r="F667" t="s">
        <v>2032</v>
      </c>
      <c r="G667" t="s">
        <v>2167</v>
      </c>
      <c r="H667" t="s">
        <v>2198</v>
      </c>
      <c r="I667" t="s">
        <v>2207</v>
      </c>
      <c r="J667" t="s">
        <v>2212</v>
      </c>
      <c r="K667" t="s">
        <v>2232</v>
      </c>
      <c r="L667" t="s">
        <v>2243</v>
      </c>
      <c r="M667" t="s">
        <v>2255</v>
      </c>
      <c r="N667">
        <v>3</v>
      </c>
      <c r="O667">
        <f t="shared" si="50"/>
        <v>77440</v>
      </c>
      <c r="P667">
        <f t="shared" si="51"/>
        <v>232320</v>
      </c>
      <c r="Q667">
        <v>5</v>
      </c>
      <c r="R667">
        <f t="shared" si="52"/>
        <v>220704</v>
      </c>
      <c r="S667" t="s">
        <v>2263</v>
      </c>
      <c r="T667" t="s">
        <v>2266</v>
      </c>
      <c r="U667" s="1">
        <f t="shared" si="53"/>
        <v>45327</v>
      </c>
      <c r="V667">
        <f t="shared" si="54"/>
        <v>34848</v>
      </c>
    </row>
    <row r="668" spans="1:22" x14ac:dyDescent="0.3">
      <c r="A668" t="s">
        <v>686</v>
      </c>
      <c r="B668">
        <v>2024</v>
      </c>
      <c r="C668" s="1">
        <v>45539</v>
      </c>
      <c r="D668" t="s">
        <v>826</v>
      </c>
      <c r="E668" t="s">
        <v>865</v>
      </c>
      <c r="F668" t="s">
        <v>2033</v>
      </c>
      <c r="G668" t="s">
        <v>2167</v>
      </c>
      <c r="H668" t="s">
        <v>2174</v>
      </c>
      <c r="I668" t="s">
        <v>2205</v>
      </c>
      <c r="J668" t="s">
        <v>2213</v>
      </c>
      <c r="K668" t="s">
        <v>2229</v>
      </c>
      <c r="L668" t="s">
        <v>2246</v>
      </c>
      <c r="M668" t="s">
        <v>2248</v>
      </c>
      <c r="N668">
        <v>2</v>
      </c>
      <c r="O668">
        <f t="shared" si="50"/>
        <v>77440</v>
      </c>
      <c r="P668">
        <f t="shared" si="51"/>
        <v>154880</v>
      </c>
      <c r="Q668">
        <v>0</v>
      </c>
      <c r="R668">
        <f t="shared" si="52"/>
        <v>154880</v>
      </c>
      <c r="S668" t="s">
        <v>2260</v>
      </c>
      <c r="T668" t="s">
        <v>2266</v>
      </c>
      <c r="U668" s="1">
        <f t="shared" si="53"/>
        <v>45546</v>
      </c>
      <c r="V668">
        <f t="shared" si="54"/>
        <v>23232</v>
      </c>
    </row>
    <row r="669" spans="1:22" x14ac:dyDescent="0.3">
      <c r="A669" t="s">
        <v>687</v>
      </c>
      <c r="B669">
        <v>2024</v>
      </c>
      <c r="C669" s="1">
        <v>45380</v>
      </c>
      <c r="D669" t="s">
        <v>821</v>
      </c>
      <c r="E669" t="s">
        <v>876</v>
      </c>
      <c r="F669" t="s">
        <v>2034</v>
      </c>
      <c r="G669" t="s">
        <v>2167</v>
      </c>
      <c r="H669" t="s">
        <v>2168</v>
      </c>
      <c r="I669" t="s">
        <v>2200</v>
      </c>
      <c r="J669" t="s">
        <v>2213</v>
      </c>
      <c r="K669" t="s">
        <v>2225</v>
      </c>
      <c r="L669" t="s">
        <v>2243</v>
      </c>
      <c r="M669" t="s">
        <v>2256</v>
      </c>
      <c r="N669">
        <v>2</v>
      </c>
      <c r="O669">
        <f t="shared" si="50"/>
        <v>77440</v>
      </c>
      <c r="P669">
        <f t="shared" si="51"/>
        <v>154880</v>
      </c>
      <c r="Q669">
        <v>5</v>
      </c>
      <c r="R669">
        <f t="shared" si="52"/>
        <v>147136</v>
      </c>
      <c r="S669" t="s">
        <v>2260</v>
      </c>
      <c r="T669" t="s">
        <v>2265</v>
      </c>
      <c r="U669" s="1" t="str">
        <f t="shared" si="53"/>
        <v>Not Delivered</v>
      </c>
      <c r="V669">
        <f t="shared" si="54"/>
        <v>23232</v>
      </c>
    </row>
    <row r="670" spans="1:22" x14ac:dyDescent="0.3">
      <c r="A670" t="s">
        <v>688</v>
      </c>
      <c r="B670">
        <v>2024</v>
      </c>
      <c r="C670" s="1">
        <v>45305</v>
      </c>
      <c r="D670" t="s">
        <v>827</v>
      </c>
      <c r="E670" t="s">
        <v>1175</v>
      </c>
      <c r="F670" t="s">
        <v>2035</v>
      </c>
      <c r="G670" t="s">
        <v>2167</v>
      </c>
      <c r="H670" t="s">
        <v>2168</v>
      </c>
      <c r="I670" t="s">
        <v>2200</v>
      </c>
      <c r="J670" t="s">
        <v>2212</v>
      </c>
      <c r="K670" t="s">
        <v>2232</v>
      </c>
      <c r="L670" t="s">
        <v>2243</v>
      </c>
      <c r="M670" t="s">
        <v>2249</v>
      </c>
      <c r="N670">
        <v>1</v>
      </c>
      <c r="O670">
        <f t="shared" si="50"/>
        <v>77440</v>
      </c>
      <c r="P670">
        <f t="shared" si="51"/>
        <v>77440</v>
      </c>
      <c r="Q670">
        <v>20</v>
      </c>
      <c r="R670">
        <f t="shared" si="52"/>
        <v>61952</v>
      </c>
      <c r="S670" t="s">
        <v>2262</v>
      </c>
      <c r="T670" t="s">
        <v>2264</v>
      </c>
      <c r="U670" s="1" t="str">
        <f t="shared" si="53"/>
        <v>Not Delivered</v>
      </c>
      <c r="V670">
        <f t="shared" si="54"/>
        <v>11616</v>
      </c>
    </row>
    <row r="671" spans="1:22" x14ac:dyDescent="0.3">
      <c r="A671" t="s">
        <v>689</v>
      </c>
      <c r="B671">
        <v>2025</v>
      </c>
      <c r="C671" s="1">
        <v>45823</v>
      </c>
      <c r="D671" t="s">
        <v>823</v>
      </c>
      <c r="E671" t="s">
        <v>986</v>
      </c>
      <c r="F671" t="s">
        <v>2036</v>
      </c>
      <c r="G671" t="s">
        <v>2167</v>
      </c>
      <c r="H671" t="s">
        <v>2190</v>
      </c>
      <c r="I671" t="s">
        <v>2208</v>
      </c>
      <c r="J671" t="s">
        <v>2212</v>
      </c>
      <c r="K671" t="s">
        <v>2230</v>
      </c>
      <c r="L671" t="s">
        <v>2247</v>
      </c>
      <c r="M671" t="s">
        <v>2258</v>
      </c>
      <c r="N671">
        <v>3</v>
      </c>
      <c r="O671">
        <f t="shared" si="50"/>
        <v>77440</v>
      </c>
      <c r="P671">
        <f t="shared" si="51"/>
        <v>232320</v>
      </c>
      <c r="Q671">
        <v>5</v>
      </c>
      <c r="R671">
        <f t="shared" si="52"/>
        <v>220704</v>
      </c>
      <c r="S671" t="s">
        <v>2262</v>
      </c>
      <c r="T671" t="s">
        <v>2265</v>
      </c>
      <c r="U671" s="1" t="str">
        <f t="shared" si="53"/>
        <v>Not Delivered</v>
      </c>
      <c r="V671">
        <f t="shared" si="54"/>
        <v>34848</v>
      </c>
    </row>
    <row r="672" spans="1:22" x14ac:dyDescent="0.3">
      <c r="A672" t="s">
        <v>690</v>
      </c>
      <c r="B672">
        <v>2024</v>
      </c>
      <c r="C672" s="1">
        <v>45341</v>
      </c>
      <c r="D672" t="s">
        <v>821</v>
      </c>
      <c r="E672" t="s">
        <v>1301</v>
      </c>
      <c r="F672" t="s">
        <v>2037</v>
      </c>
      <c r="G672" t="s">
        <v>2167</v>
      </c>
      <c r="H672" t="s">
        <v>2175</v>
      </c>
      <c r="I672" t="s">
        <v>2203</v>
      </c>
      <c r="J672" t="s">
        <v>2212</v>
      </c>
      <c r="K672" t="s">
        <v>2216</v>
      </c>
      <c r="L672" t="s">
        <v>2242</v>
      </c>
      <c r="M672" t="s">
        <v>2259</v>
      </c>
      <c r="N672">
        <v>4</v>
      </c>
      <c r="O672">
        <f t="shared" si="50"/>
        <v>77440</v>
      </c>
      <c r="P672">
        <f t="shared" si="51"/>
        <v>309760</v>
      </c>
      <c r="Q672">
        <v>20</v>
      </c>
      <c r="R672">
        <f t="shared" si="52"/>
        <v>247808</v>
      </c>
      <c r="S672" t="s">
        <v>2260</v>
      </c>
      <c r="T672" t="s">
        <v>2264</v>
      </c>
      <c r="U672" s="1" t="str">
        <f t="shared" si="53"/>
        <v>Not Delivered</v>
      </c>
      <c r="V672">
        <f t="shared" si="54"/>
        <v>46464</v>
      </c>
    </row>
    <row r="673" spans="1:22" x14ac:dyDescent="0.3">
      <c r="A673" t="s">
        <v>691</v>
      </c>
      <c r="B673">
        <v>2025</v>
      </c>
      <c r="C673" s="1">
        <v>45664</v>
      </c>
      <c r="D673" t="s">
        <v>821</v>
      </c>
      <c r="E673" t="s">
        <v>1047</v>
      </c>
      <c r="F673" t="s">
        <v>2038</v>
      </c>
      <c r="G673" t="s">
        <v>2167</v>
      </c>
      <c r="H673" t="s">
        <v>2168</v>
      </c>
      <c r="I673" t="s">
        <v>2200</v>
      </c>
      <c r="J673" t="s">
        <v>2211</v>
      </c>
      <c r="K673" t="s">
        <v>2220</v>
      </c>
      <c r="L673" t="s">
        <v>2245</v>
      </c>
      <c r="M673" t="s">
        <v>2255</v>
      </c>
      <c r="N673">
        <v>5</v>
      </c>
      <c r="O673">
        <f t="shared" si="50"/>
        <v>77440</v>
      </c>
      <c r="P673">
        <f t="shared" si="51"/>
        <v>387200</v>
      </c>
      <c r="Q673">
        <v>15</v>
      </c>
      <c r="R673">
        <f t="shared" si="52"/>
        <v>329120</v>
      </c>
      <c r="S673" t="s">
        <v>2262</v>
      </c>
      <c r="T673" t="s">
        <v>2266</v>
      </c>
      <c r="U673" s="1">
        <f t="shared" si="53"/>
        <v>45671</v>
      </c>
      <c r="V673">
        <f t="shared" si="54"/>
        <v>58080</v>
      </c>
    </row>
    <row r="674" spans="1:22" x14ac:dyDescent="0.3">
      <c r="A674" t="s">
        <v>692</v>
      </c>
      <c r="B674">
        <v>2024</v>
      </c>
      <c r="C674" s="1">
        <v>45339</v>
      </c>
      <c r="D674" t="s">
        <v>820</v>
      </c>
      <c r="E674" t="s">
        <v>958</v>
      </c>
      <c r="F674" t="s">
        <v>2039</v>
      </c>
      <c r="G674" t="s">
        <v>2167</v>
      </c>
      <c r="H674" t="s">
        <v>2188</v>
      </c>
      <c r="I674" t="s">
        <v>2208</v>
      </c>
      <c r="J674" t="s">
        <v>2213</v>
      </c>
      <c r="K674" t="s">
        <v>2216</v>
      </c>
      <c r="L674" t="s">
        <v>2242</v>
      </c>
      <c r="M674" t="s">
        <v>2250</v>
      </c>
      <c r="N674">
        <v>2</v>
      </c>
      <c r="O674">
        <f t="shared" si="50"/>
        <v>77440</v>
      </c>
      <c r="P674">
        <f t="shared" si="51"/>
        <v>154880</v>
      </c>
      <c r="Q674">
        <v>0</v>
      </c>
      <c r="R674">
        <f t="shared" si="52"/>
        <v>154880</v>
      </c>
      <c r="S674" t="s">
        <v>2262</v>
      </c>
      <c r="T674" t="s">
        <v>2264</v>
      </c>
      <c r="U674" s="1" t="str">
        <f t="shared" si="53"/>
        <v>Not Delivered</v>
      </c>
      <c r="V674">
        <f t="shared" si="54"/>
        <v>23232</v>
      </c>
    </row>
    <row r="675" spans="1:22" x14ac:dyDescent="0.3">
      <c r="A675" t="s">
        <v>693</v>
      </c>
      <c r="B675">
        <v>2024</v>
      </c>
      <c r="C675" s="1">
        <v>45463</v>
      </c>
      <c r="D675" t="s">
        <v>820</v>
      </c>
      <c r="E675" t="s">
        <v>1302</v>
      </c>
      <c r="F675" t="s">
        <v>2040</v>
      </c>
      <c r="G675" t="s">
        <v>2167</v>
      </c>
      <c r="H675" t="s">
        <v>2185</v>
      </c>
      <c r="I675" t="s">
        <v>2204</v>
      </c>
      <c r="J675" t="s">
        <v>2213</v>
      </c>
      <c r="K675" t="s">
        <v>2222</v>
      </c>
      <c r="L675" t="s">
        <v>2247</v>
      </c>
      <c r="M675" t="s">
        <v>2255</v>
      </c>
      <c r="N675">
        <v>3</v>
      </c>
      <c r="O675">
        <f t="shared" si="50"/>
        <v>77440</v>
      </c>
      <c r="P675">
        <f t="shared" si="51"/>
        <v>232320</v>
      </c>
      <c r="Q675">
        <v>10</v>
      </c>
      <c r="R675">
        <f t="shared" si="52"/>
        <v>209088</v>
      </c>
      <c r="S675" t="s">
        <v>2262</v>
      </c>
      <c r="T675" t="s">
        <v>2264</v>
      </c>
      <c r="U675" s="1" t="str">
        <f t="shared" si="53"/>
        <v>Not Delivered</v>
      </c>
      <c r="V675">
        <f t="shared" si="54"/>
        <v>34848</v>
      </c>
    </row>
    <row r="676" spans="1:22" x14ac:dyDescent="0.3">
      <c r="A676" t="s">
        <v>694</v>
      </c>
      <c r="B676">
        <v>2024</v>
      </c>
      <c r="C676" s="1">
        <v>45556</v>
      </c>
      <c r="D676" t="s">
        <v>825</v>
      </c>
      <c r="E676" t="s">
        <v>896</v>
      </c>
      <c r="F676" t="s">
        <v>2041</v>
      </c>
      <c r="G676" t="s">
        <v>2167</v>
      </c>
      <c r="H676" t="s">
        <v>2186</v>
      </c>
      <c r="I676" t="s">
        <v>2201</v>
      </c>
      <c r="J676" t="s">
        <v>2210</v>
      </c>
      <c r="K676" t="s">
        <v>2217</v>
      </c>
      <c r="L676" t="s">
        <v>2244</v>
      </c>
      <c r="M676" t="s">
        <v>2255</v>
      </c>
      <c r="N676">
        <v>3</v>
      </c>
      <c r="O676">
        <f t="shared" si="50"/>
        <v>77440</v>
      </c>
      <c r="P676">
        <f t="shared" si="51"/>
        <v>232320</v>
      </c>
      <c r="Q676">
        <v>0</v>
      </c>
      <c r="R676">
        <f t="shared" si="52"/>
        <v>232320</v>
      </c>
      <c r="S676" t="s">
        <v>2263</v>
      </c>
      <c r="T676" t="s">
        <v>2266</v>
      </c>
      <c r="U676" s="1">
        <f t="shared" si="53"/>
        <v>45563</v>
      </c>
      <c r="V676">
        <f t="shared" si="54"/>
        <v>34848</v>
      </c>
    </row>
    <row r="677" spans="1:22" x14ac:dyDescent="0.3">
      <c r="A677" t="s">
        <v>695</v>
      </c>
      <c r="B677">
        <v>2025</v>
      </c>
      <c r="C677" s="1">
        <v>45818</v>
      </c>
      <c r="D677" t="s">
        <v>828</v>
      </c>
      <c r="E677" t="s">
        <v>1303</v>
      </c>
      <c r="F677" t="s">
        <v>2042</v>
      </c>
      <c r="G677" t="s">
        <v>2167</v>
      </c>
      <c r="H677" t="s">
        <v>2168</v>
      </c>
      <c r="I677" t="s">
        <v>2200</v>
      </c>
      <c r="J677" t="s">
        <v>2213</v>
      </c>
      <c r="K677" t="s">
        <v>2234</v>
      </c>
      <c r="L677" t="s">
        <v>2244</v>
      </c>
      <c r="M677" t="s">
        <v>2256</v>
      </c>
      <c r="N677">
        <v>2</v>
      </c>
      <c r="O677">
        <f t="shared" si="50"/>
        <v>77440</v>
      </c>
      <c r="P677">
        <f t="shared" si="51"/>
        <v>154880</v>
      </c>
      <c r="Q677">
        <v>15</v>
      </c>
      <c r="R677">
        <f t="shared" si="52"/>
        <v>131648</v>
      </c>
      <c r="S677" t="s">
        <v>2262</v>
      </c>
      <c r="T677" t="s">
        <v>2265</v>
      </c>
      <c r="U677" s="1" t="str">
        <f t="shared" si="53"/>
        <v>Not Delivered</v>
      </c>
      <c r="V677">
        <f t="shared" si="54"/>
        <v>23232</v>
      </c>
    </row>
    <row r="678" spans="1:22" x14ac:dyDescent="0.3">
      <c r="A678" t="s">
        <v>696</v>
      </c>
      <c r="B678">
        <v>2025</v>
      </c>
      <c r="C678" s="1">
        <v>45810</v>
      </c>
      <c r="D678" t="s">
        <v>824</v>
      </c>
      <c r="E678" t="s">
        <v>1304</v>
      </c>
      <c r="F678" t="s">
        <v>2043</v>
      </c>
      <c r="G678" t="s">
        <v>2167</v>
      </c>
      <c r="H678" t="s">
        <v>2187</v>
      </c>
      <c r="I678" t="s">
        <v>2209</v>
      </c>
      <c r="J678" t="s">
        <v>2210</v>
      </c>
      <c r="K678" t="s">
        <v>2215</v>
      </c>
      <c r="L678" t="s">
        <v>2243</v>
      </c>
      <c r="M678" t="s">
        <v>2258</v>
      </c>
      <c r="N678">
        <v>3</v>
      </c>
      <c r="O678">
        <f t="shared" si="50"/>
        <v>77440</v>
      </c>
      <c r="P678">
        <f t="shared" si="51"/>
        <v>232320</v>
      </c>
      <c r="Q678">
        <v>20</v>
      </c>
      <c r="R678">
        <f t="shared" si="52"/>
        <v>185856</v>
      </c>
      <c r="S678" t="s">
        <v>2260</v>
      </c>
      <c r="T678" t="s">
        <v>2265</v>
      </c>
      <c r="U678" s="1" t="str">
        <f t="shared" si="53"/>
        <v>Not Delivered</v>
      </c>
      <c r="V678">
        <f t="shared" si="54"/>
        <v>34848</v>
      </c>
    </row>
    <row r="679" spans="1:22" x14ac:dyDescent="0.3">
      <c r="A679" t="s">
        <v>697</v>
      </c>
      <c r="B679">
        <v>2024</v>
      </c>
      <c r="C679" s="1">
        <v>45624</v>
      </c>
      <c r="D679" t="s">
        <v>827</v>
      </c>
      <c r="E679" t="s">
        <v>1104</v>
      </c>
      <c r="F679" t="s">
        <v>2044</v>
      </c>
      <c r="G679" t="s">
        <v>2167</v>
      </c>
      <c r="H679" t="s">
        <v>2176</v>
      </c>
      <c r="I679" t="s">
        <v>2205</v>
      </c>
      <c r="J679" t="s">
        <v>2213</v>
      </c>
      <c r="K679" t="s">
        <v>2229</v>
      </c>
      <c r="L679" t="s">
        <v>2246</v>
      </c>
      <c r="M679" t="s">
        <v>2259</v>
      </c>
      <c r="N679">
        <v>2</v>
      </c>
      <c r="O679">
        <f t="shared" si="50"/>
        <v>77440</v>
      </c>
      <c r="P679">
        <f t="shared" si="51"/>
        <v>154880</v>
      </c>
      <c r="Q679">
        <v>15</v>
      </c>
      <c r="R679">
        <f t="shared" si="52"/>
        <v>131648</v>
      </c>
      <c r="S679" t="s">
        <v>2260</v>
      </c>
      <c r="T679" t="s">
        <v>2264</v>
      </c>
      <c r="U679" s="1" t="str">
        <f t="shared" si="53"/>
        <v>Not Delivered</v>
      </c>
      <c r="V679">
        <f t="shared" si="54"/>
        <v>23232</v>
      </c>
    </row>
    <row r="680" spans="1:22" x14ac:dyDescent="0.3">
      <c r="A680" t="s">
        <v>698</v>
      </c>
      <c r="B680">
        <v>2024</v>
      </c>
      <c r="C680" s="1">
        <v>45634</v>
      </c>
      <c r="D680" t="s">
        <v>826</v>
      </c>
      <c r="E680" t="s">
        <v>1305</v>
      </c>
      <c r="F680" t="s">
        <v>2045</v>
      </c>
      <c r="G680" t="s">
        <v>2167</v>
      </c>
      <c r="H680" t="s">
        <v>2183</v>
      </c>
      <c r="I680" t="s">
        <v>2204</v>
      </c>
      <c r="J680" t="s">
        <v>2213</v>
      </c>
      <c r="K680" t="s">
        <v>2224</v>
      </c>
      <c r="L680" t="s">
        <v>2245</v>
      </c>
      <c r="M680" t="s">
        <v>2253</v>
      </c>
      <c r="N680">
        <v>2</v>
      </c>
      <c r="O680">
        <f t="shared" si="50"/>
        <v>77440</v>
      </c>
      <c r="P680">
        <f t="shared" si="51"/>
        <v>154880</v>
      </c>
      <c r="Q680">
        <v>5</v>
      </c>
      <c r="R680">
        <f t="shared" si="52"/>
        <v>147136</v>
      </c>
      <c r="S680" t="s">
        <v>2260</v>
      </c>
      <c r="T680" t="s">
        <v>2266</v>
      </c>
      <c r="U680" s="1">
        <f t="shared" si="53"/>
        <v>45641</v>
      </c>
      <c r="V680">
        <f t="shared" si="54"/>
        <v>23232</v>
      </c>
    </row>
    <row r="681" spans="1:22" x14ac:dyDescent="0.3">
      <c r="A681" t="s">
        <v>699</v>
      </c>
      <c r="B681">
        <v>2024</v>
      </c>
      <c r="C681" s="1">
        <v>45450</v>
      </c>
      <c r="D681" t="s">
        <v>825</v>
      </c>
      <c r="E681" t="s">
        <v>1306</v>
      </c>
      <c r="F681" t="s">
        <v>2046</v>
      </c>
      <c r="G681" t="s">
        <v>2167</v>
      </c>
      <c r="H681" t="s">
        <v>2177</v>
      </c>
      <c r="I681" t="s">
        <v>2206</v>
      </c>
      <c r="J681" t="s">
        <v>2213</v>
      </c>
      <c r="K681" t="s">
        <v>2222</v>
      </c>
      <c r="L681" t="s">
        <v>2247</v>
      </c>
      <c r="M681" t="s">
        <v>2258</v>
      </c>
      <c r="N681">
        <v>2</v>
      </c>
      <c r="O681">
        <f t="shared" si="50"/>
        <v>77440</v>
      </c>
      <c r="P681">
        <f t="shared" si="51"/>
        <v>154880</v>
      </c>
      <c r="Q681">
        <v>5</v>
      </c>
      <c r="R681">
        <f t="shared" si="52"/>
        <v>147136</v>
      </c>
      <c r="S681" t="s">
        <v>2263</v>
      </c>
      <c r="T681" t="s">
        <v>2264</v>
      </c>
      <c r="U681" s="1" t="str">
        <f t="shared" si="53"/>
        <v>Not Delivered</v>
      </c>
      <c r="V681">
        <f t="shared" si="54"/>
        <v>23232</v>
      </c>
    </row>
    <row r="682" spans="1:22" x14ac:dyDescent="0.3">
      <c r="A682" t="s">
        <v>700</v>
      </c>
      <c r="B682">
        <v>2024</v>
      </c>
      <c r="C682" s="1">
        <v>45504</v>
      </c>
      <c r="D682" t="s">
        <v>824</v>
      </c>
      <c r="E682" t="s">
        <v>1307</v>
      </c>
      <c r="F682" t="s">
        <v>2047</v>
      </c>
      <c r="G682" t="s">
        <v>2167</v>
      </c>
      <c r="H682" t="s">
        <v>2168</v>
      </c>
      <c r="I682" t="s">
        <v>2200</v>
      </c>
      <c r="J682" t="s">
        <v>2210</v>
      </c>
      <c r="K682" t="s">
        <v>2225</v>
      </c>
      <c r="L682" t="s">
        <v>2243</v>
      </c>
      <c r="M682" t="s">
        <v>2253</v>
      </c>
      <c r="N682">
        <v>5</v>
      </c>
      <c r="O682">
        <f t="shared" si="50"/>
        <v>77440</v>
      </c>
      <c r="P682">
        <f t="shared" si="51"/>
        <v>387200</v>
      </c>
      <c r="Q682">
        <v>15</v>
      </c>
      <c r="R682">
        <f t="shared" si="52"/>
        <v>329120</v>
      </c>
      <c r="S682" t="s">
        <v>2261</v>
      </c>
      <c r="T682" t="s">
        <v>2264</v>
      </c>
      <c r="U682" s="1" t="str">
        <f t="shared" si="53"/>
        <v>Not Delivered</v>
      </c>
      <c r="V682">
        <f t="shared" si="54"/>
        <v>58080</v>
      </c>
    </row>
    <row r="683" spans="1:22" x14ac:dyDescent="0.3">
      <c r="A683" t="s">
        <v>701</v>
      </c>
      <c r="B683">
        <v>2024</v>
      </c>
      <c r="C683" s="1">
        <v>45463</v>
      </c>
      <c r="D683" t="s">
        <v>820</v>
      </c>
      <c r="E683" t="s">
        <v>952</v>
      </c>
      <c r="F683" t="s">
        <v>2048</v>
      </c>
      <c r="G683" t="s">
        <v>2167</v>
      </c>
      <c r="H683" t="s">
        <v>2172</v>
      </c>
      <c r="I683" t="s">
        <v>2203</v>
      </c>
      <c r="J683" t="s">
        <v>2211</v>
      </c>
      <c r="K683" t="s">
        <v>2234</v>
      </c>
      <c r="L683" t="s">
        <v>2244</v>
      </c>
      <c r="M683" t="s">
        <v>2254</v>
      </c>
      <c r="N683">
        <v>4</v>
      </c>
      <c r="O683">
        <f t="shared" si="50"/>
        <v>77440</v>
      </c>
      <c r="P683">
        <f t="shared" si="51"/>
        <v>309760</v>
      </c>
      <c r="Q683">
        <v>10</v>
      </c>
      <c r="R683">
        <f t="shared" si="52"/>
        <v>278784</v>
      </c>
      <c r="S683" t="s">
        <v>2260</v>
      </c>
      <c r="T683" t="s">
        <v>2265</v>
      </c>
      <c r="U683" s="1" t="str">
        <f t="shared" si="53"/>
        <v>Not Delivered</v>
      </c>
      <c r="V683">
        <f t="shared" si="54"/>
        <v>46464</v>
      </c>
    </row>
    <row r="684" spans="1:22" x14ac:dyDescent="0.3">
      <c r="A684" t="s">
        <v>702</v>
      </c>
      <c r="B684">
        <v>2025</v>
      </c>
      <c r="C684" s="1">
        <v>45836</v>
      </c>
      <c r="D684" t="s">
        <v>822</v>
      </c>
      <c r="E684" t="s">
        <v>1308</v>
      </c>
      <c r="F684" t="s">
        <v>2049</v>
      </c>
      <c r="G684" t="s">
        <v>2167</v>
      </c>
      <c r="H684" t="s">
        <v>2180</v>
      </c>
      <c r="I684" t="s">
        <v>2208</v>
      </c>
      <c r="J684" t="s">
        <v>2210</v>
      </c>
      <c r="K684" t="s">
        <v>2238</v>
      </c>
      <c r="L684" t="s">
        <v>2246</v>
      </c>
      <c r="M684" t="s">
        <v>2252</v>
      </c>
      <c r="N684">
        <v>4</v>
      </c>
      <c r="O684">
        <f t="shared" si="50"/>
        <v>77440</v>
      </c>
      <c r="P684">
        <f t="shared" si="51"/>
        <v>309760</v>
      </c>
      <c r="Q684">
        <v>15</v>
      </c>
      <c r="R684">
        <f t="shared" si="52"/>
        <v>263296</v>
      </c>
      <c r="S684" t="s">
        <v>2261</v>
      </c>
      <c r="T684" t="s">
        <v>2265</v>
      </c>
      <c r="U684" s="1" t="str">
        <f t="shared" si="53"/>
        <v>Not Delivered</v>
      </c>
      <c r="V684">
        <f t="shared" si="54"/>
        <v>46464</v>
      </c>
    </row>
    <row r="685" spans="1:22" x14ac:dyDescent="0.3">
      <c r="A685" t="s">
        <v>703</v>
      </c>
      <c r="B685">
        <v>2025</v>
      </c>
      <c r="C685" s="1">
        <v>45765</v>
      </c>
      <c r="D685" t="s">
        <v>826</v>
      </c>
      <c r="E685" t="s">
        <v>1168</v>
      </c>
      <c r="F685" t="s">
        <v>2050</v>
      </c>
      <c r="G685" t="s">
        <v>2167</v>
      </c>
      <c r="H685" t="s">
        <v>2194</v>
      </c>
      <c r="I685" t="s">
        <v>2201</v>
      </c>
      <c r="J685" t="s">
        <v>2212</v>
      </c>
      <c r="K685" t="s">
        <v>2237</v>
      </c>
      <c r="L685" t="s">
        <v>2246</v>
      </c>
      <c r="M685" t="s">
        <v>2257</v>
      </c>
      <c r="N685">
        <v>4</v>
      </c>
      <c r="O685">
        <f t="shared" si="50"/>
        <v>77440</v>
      </c>
      <c r="P685">
        <f t="shared" si="51"/>
        <v>309760</v>
      </c>
      <c r="Q685">
        <v>10</v>
      </c>
      <c r="R685">
        <f t="shared" si="52"/>
        <v>278784</v>
      </c>
      <c r="S685" t="s">
        <v>2260</v>
      </c>
      <c r="T685" t="s">
        <v>2264</v>
      </c>
      <c r="U685" s="1" t="str">
        <f t="shared" si="53"/>
        <v>Not Delivered</v>
      </c>
      <c r="V685">
        <f t="shared" si="54"/>
        <v>46464</v>
      </c>
    </row>
    <row r="686" spans="1:22" x14ac:dyDescent="0.3">
      <c r="A686" t="s">
        <v>704</v>
      </c>
      <c r="B686">
        <v>2024</v>
      </c>
      <c r="C686" s="1">
        <v>45651</v>
      </c>
      <c r="D686" t="s">
        <v>827</v>
      </c>
      <c r="E686" t="s">
        <v>1309</v>
      </c>
      <c r="F686" t="s">
        <v>2051</v>
      </c>
      <c r="G686" t="s">
        <v>2167</v>
      </c>
      <c r="H686" t="s">
        <v>2198</v>
      </c>
      <c r="I686" t="s">
        <v>2207</v>
      </c>
      <c r="J686" t="s">
        <v>2212</v>
      </c>
      <c r="K686" t="s">
        <v>2218</v>
      </c>
      <c r="L686" t="s">
        <v>2242</v>
      </c>
      <c r="M686" t="s">
        <v>2250</v>
      </c>
      <c r="N686">
        <v>1</v>
      </c>
      <c r="O686">
        <f t="shared" si="50"/>
        <v>77440</v>
      </c>
      <c r="P686">
        <f t="shared" si="51"/>
        <v>77440</v>
      </c>
      <c r="Q686">
        <v>0</v>
      </c>
      <c r="R686">
        <f t="shared" si="52"/>
        <v>77440</v>
      </c>
      <c r="S686" t="s">
        <v>2263</v>
      </c>
      <c r="T686" t="s">
        <v>2266</v>
      </c>
      <c r="U686" s="1">
        <f t="shared" si="53"/>
        <v>45658</v>
      </c>
      <c r="V686">
        <f t="shared" si="54"/>
        <v>11616</v>
      </c>
    </row>
    <row r="687" spans="1:22" x14ac:dyDescent="0.3">
      <c r="A687" t="s">
        <v>705</v>
      </c>
      <c r="B687">
        <v>2024</v>
      </c>
      <c r="C687" s="1">
        <v>45462</v>
      </c>
      <c r="D687" t="s">
        <v>821</v>
      </c>
      <c r="E687" t="s">
        <v>1126</v>
      </c>
      <c r="F687" t="s">
        <v>2052</v>
      </c>
      <c r="G687" t="s">
        <v>2167</v>
      </c>
      <c r="H687" t="s">
        <v>2185</v>
      </c>
      <c r="I687" t="s">
        <v>2204</v>
      </c>
      <c r="J687" t="s">
        <v>2211</v>
      </c>
      <c r="K687" t="s">
        <v>2217</v>
      </c>
      <c r="L687" t="s">
        <v>2244</v>
      </c>
      <c r="M687" t="s">
        <v>2254</v>
      </c>
      <c r="N687">
        <v>2</v>
      </c>
      <c r="O687">
        <f t="shared" si="50"/>
        <v>77440</v>
      </c>
      <c r="P687">
        <f t="shared" si="51"/>
        <v>154880</v>
      </c>
      <c r="Q687">
        <v>5</v>
      </c>
      <c r="R687">
        <f t="shared" si="52"/>
        <v>147136</v>
      </c>
      <c r="S687" t="s">
        <v>2260</v>
      </c>
      <c r="T687" t="s">
        <v>2264</v>
      </c>
      <c r="U687" s="1" t="str">
        <f t="shared" si="53"/>
        <v>Not Delivered</v>
      </c>
      <c r="V687">
        <f t="shared" si="54"/>
        <v>23232</v>
      </c>
    </row>
    <row r="688" spans="1:22" x14ac:dyDescent="0.3">
      <c r="A688" t="s">
        <v>706</v>
      </c>
      <c r="B688">
        <v>2025</v>
      </c>
      <c r="C688" s="1">
        <v>45856</v>
      </c>
      <c r="D688" t="s">
        <v>825</v>
      </c>
      <c r="E688" t="s">
        <v>1310</v>
      </c>
      <c r="F688" t="s">
        <v>2053</v>
      </c>
      <c r="G688" t="s">
        <v>2167</v>
      </c>
      <c r="H688" t="s">
        <v>2176</v>
      </c>
      <c r="I688" t="s">
        <v>2205</v>
      </c>
      <c r="J688" t="s">
        <v>2212</v>
      </c>
      <c r="K688" t="s">
        <v>2216</v>
      </c>
      <c r="L688" t="s">
        <v>2242</v>
      </c>
      <c r="M688" t="s">
        <v>2253</v>
      </c>
      <c r="N688">
        <v>3</v>
      </c>
      <c r="O688">
        <f t="shared" si="50"/>
        <v>77440</v>
      </c>
      <c r="P688">
        <f t="shared" si="51"/>
        <v>232320</v>
      </c>
      <c r="Q688">
        <v>20</v>
      </c>
      <c r="R688">
        <f t="shared" si="52"/>
        <v>185856</v>
      </c>
      <c r="S688" t="s">
        <v>2260</v>
      </c>
      <c r="T688" t="s">
        <v>2266</v>
      </c>
      <c r="U688" s="1">
        <f t="shared" si="53"/>
        <v>45863</v>
      </c>
      <c r="V688">
        <f t="shared" si="54"/>
        <v>34848</v>
      </c>
    </row>
    <row r="689" spans="1:22" x14ac:dyDescent="0.3">
      <c r="A689" t="s">
        <v>707</v>
      </c>
      <c r="B689">
        <v>2024</v>
      </c>
      <c r="C689" s="1">
        <v>45294</v>
      </c>
      <c r="D689" t="s">
        <v>824</v>
      </c>
      <c r="E689" t="s">
        <v>1311</v>
      </c>
      <c r="F689" t="s">
        <v>2054</v>
      </c>
      <c r="G689" t="s">
        <v>2167</v>
      </c>
      <c r="H689" t="s">
        <v>2183</v>
      </c>
      <c r="I689" t="s">
        <v>2204</v>
      </c>
      <c r="J689" t="s">
        <v>2211</v>
      </c>
      <c r="K689" t="s">
        <v>2219</v>
      </c>
      <c r="L689" t="s">
        <v>2243</v>
      </c>
      <c r="M689" t="s">
        <v>2256</v>
      </c>
      <c r="N689">
        <v>3</v>
      </c>
      <c r="O689">
        <f t="shared" si="50"/>
        <v>77440</v>
      </c>
      <c r="P689">
        <f t="shared" si="51"/>
        <v>232320</v>
      </c>
      <c r="Q689">
        <v>15</v>
      </c>
      <c r="R689">
        <f t="shared" si="52"/>
        <v>197472</v>
      </c>
      <c r="S689" t="s">
        <v>2261</v>
      </c>
      <c r="T689" t="s">
        <v>2266</v>
      </c>
      <c r="U689" s="1">
        <f t="shared" si="53"/>
        <v>45301</v>
      </c>
      <c r="V689">
        <f t="shared" si="54"/>
        <v>34848</v>
      </c>
    </row>
    <row r="690" spans="1:22" x14ac:dyDescent="0.3">
      <c r="A690" t="s">
        <v>708</v>
      </c>
      <c r="B690">
        <v>2024</v>
      </c>
      <c r="C690" s="1">
        <v>45490</v>
      </c>
      <c r="D690" t="s">
        <v>821</v>
      </c>
      <c r="E690" t="s">
        <v>1010</v>
      </c>
      <c r="F690" t="s">
        <v>2055</v>
      </c>
      <c r="G690" t="s">
        <v>2167</v>
      </c>
      <c r="H690" t="s">
        <v>2196</v>
      </c>
      <c r="I690" t="s">
        <v>2205</v>
      </c>
      <c r="J690" t="s">
        <v>2213</v>
      </c>
      <c r="K690" t="s">
        <v>2232</v>
      </c>
      <c r="L690" t="s">
        <v>2243</v>
      </c>
      <c r="M690" t="s">
        <v>2255</v>
      </c>
      <c r="N690">
        <v>1</v>
      </c>
      <c r="O690">
        <f t="shared" si="50"/>
        <v>77440</v>
      </c>
      <c r="P690">
        <f t="shared" si="51"/>
        <v>77440</v>
      </c>
      <c r="Q690">
        <v>10</v>
      </c>
      <c r="R690">
        <f t="shared" si="52"/>
        <v>69696</v>
      </c>
      <c r="S690" t="s">
        <v>2263</v>
      </c>
      <c r="T690" t="s">
        <v>2266</v>
      </c>
      <c r="U690" s="1">
        <f t="shared" si="53"/>
        <v>45497</v>
      </c>
      <c r="V690">
        <f t="shared" si="54"/>
        <v>11616</v>
      </c>
    </row>
    <row r="691" spans="1:22" x14ac:dyDescent="0.3">
      <c r="A691" t="s">
        <v>709</v>
      </c>
      <c r="B691">
        <v>2024</v>
      </c>
      <c r="C691" s="1">
        <v>45332</v>
      </c>
      <c r="D691" t="s">
        <v>828</v>
      </c>
      <c r="E691" t="s">
        <v>949</v>
      </c>
      <c r="F691" t="s">
        <v>2056</v>
      </c>
      <c r="G691" t="s">
        <v>2167</v>
      </c>
      <c r="H691" t="s">
        <v>2181</v>
      </c>
      <c r="I691" t="s">
        <v>2209</v>
      </c>
      <c r="J691" t="s">
        <v>2210</v>
      </c>
      <c r="K691" t="s">
        <v>2232</v>
      </c>
      <c r="L691" t="s">
        <v>2243</v>
      </c>
      <c r="M691" t="s">
        <v>2258</v>
      </c>
      <c r="N691">
        <v>3</v>
      </c>
      <c r="O691">
        <f t="shared" si="50"/>
        <v>77440</v>
      </c>
      <c r="P691">
        <f t="shared" si="51"/>
        <v>232320</v>
      </c>
      <c r="Q691">
        <v>10</v>
      </c>
      <c r="R691">
        <f t="shared" si="52"/>
        <v>209088</v>
      </c>
      <c r="S691" t="s">
        <v>2262</v>
      </c>
      <c r="T691" t="s">
        <v>2265</v>
      </c>
      <c r="U691" s="1" t="str">
        <f t="shared" si="53"/>
        <v>Not Delivered</v>
      </c>
      <c r="V691">
        <f t="shared" si="54"/>
        <v>34848</v>
      </c>
    </row>
    <row r="692" spans="1:22" x14ac:dyDescent="0.3">
      <c r="A692" t="s">
        <v>710</v>
      </c>
      <c r="B692">
        <v>2024</v>
      </c>
      <c r="C692" s="1">
        <v>45337</v>
      </c>
      <c r="D692" t="s">
        <v>828</v>
      </c>
      <c r="E692" t="s">
        <v>940</v>
      </c>
      <c r="F692" t="s">
        <v>2057</v>
      </c>
      <c r="G692" t="s">
        <v>2167</v>
      </c>
      <c r="H692" t="s">
        <v>2180</v>
      </c>
      <c r="I692" t="s">
        <v>2208</v>
      </c>
      <c r="J692" t="s">
        <v>2210</v>
      </c>
      <c r="K692" t="s">
        <v>2214</v>
      </c>
      <c r="L692" t="s">
        <v>2242</v>
      </c>
      <c r="M692" t="s">
        <v>2254</v>
      </c>
      <c r="N692">
        <v>3</v>
      </c>
      <c r="O692">
        <f t="shared" si="50"/>
        <v>77440</v>
      </c>
      <c r="P692">
        <f t="shared" si="51"/>
        <v>232320</v>
      </c>
      <c r="Q692">
        <v>15</v>
      </c>
      <c r="R692">
        <f t="shared" si="52"/>
        <v>197472</v>
      </c>
      <c r="S692" t="s">
        <v>2261</v>
      </c>
      <c r="T692" t="s">
        <v>2266</v>
      </c>
      <c r="U692" s="1">
        <f t="shared" si="53"/>
        <v>45344</v>
      </c>
      <c r="V692">
        <f t="shared" si="54"/>
        <v>34848</v>
      </c>
    </row>
    <row r="693" spans="1:22" x14ac:dyDescent="0.3">
      <c r="A693" t="s">
        <v>711</v>
      </c>
      <c r="B693">
        <v>2025</v>
      </c>
      <c r="C693" s="1">
        <v>45847</v>
      </c>
      <c r="D693" t="s">
        <v>823</v>
      </c>
      <c r="E693" t="s">
        <v>1184</v>
      </c>
      <c r="F693" t="s">
        <v>2058</v>
      </c>
      <c r="G693" t="s">
        <v>2167</v>
      </c>
      <c r="H693" t="s">
        <v>2198</v>
      </c>
      <c r="I693" t="s">
        <v>2207</v>
      </c>
      <c r="J693" t="s">
        <v>2213</v>
      </c>
      <c r="K693" t="s">
        <v>2221</v>
      </c>
      <c r="L693" t="s">
        <v>2246</v>
      </c>
      <c r="M693" t="s">
        <v>2248</v>
      </c>
      <c r="N693">
        <v>5</v>
      </c>
      <c r="O693">
        <f t="shared" si="50"/>
        <v>77440</v>
      </c>
      <c r="P693">
        <f t="shared" si="51"/>
        <v>387200</v>
      </c>
      <c r="Q693">
        <v>10</v>
      </c>
      <c r="R693">
        <f t="shared" si="52"/>
        <v>348480</v>
      </c>
      <c r="S693" t="s">
        <v>2260</v>
      </c>
      <c r="T693" t="s">
        <v>2264</v>
      </c>
      <c r="U693" s="1" t="str">
        <f t="shared" si="53"/>
        <v>Not Delivered</v>
      </c>
      <c r="V693">
        <f t="shared" si="54"/>
        <v>58080</v>
      </c>
    </row>
    <row r="694" spans="1:22" x14ac:dyDescent="0.3">
      <c r="A694" t="s">
        <v>712</v>
      </c>
      <c r="B694">
        <v>2024</v>
      </c>
      <c r="C694" s="1">
        <v>45360</v>
      </c>
      <c r="D694" t="s">
        <v>821</v>
      </c>
      <c r="E694" t="s">
        <v>1312</v>
      </c>
      <c r="F694" t="s">
        <v>2059</v>
      </c>
      <c r="G694" t="s">
        <v>2167</v>
      </c>
      <c r="H694" t="s">
        <v>2173</v>
      </c>
      <c r="I694" t="s">
        <v>2204</v>
      </c>
      <c r="J694" t="s">
        <v>2212</v>
      </c>
      <c r="K694" t="s">
        <v>2237</v>
      </c>
      <c r="L694" t="s">
        <v>2246</v>
      </c>
      <c r="M694" t="s">
        <v>2251</v>
      </c>
      <c r="N694">
        <v>5</v>
      </c>
      <c r="O694">
        <f t="shared" si="50"/>
        <v>77440</v>
      </c>
      <c r="P694">
        <f t="shared" si="51"/>
        <v>387200</v>
      </c>
      <c r="Q694">
        <v>20</v>
      </c>
      <c r="R694">
        <f t="shared" si="52"/>
        <v>309760</v>
      </c>
      <c r="S694" t="s">
        <v>2261</v>
      </c>
      <c r="T694" t="s">
        <v>2266</v>
      </c>
      <c r="U694" s="1">
        <f t="shared" si="53"/>
        <v>45367</v>
      </c>
      <c r="V694">
        <f t="shared" si="54"/>
        <v>58080</v>
      </c>
    </row>
    <row r="695" spans="1:22" x14ac:dyDescent="0.3">
      <c r="A695" t="s">
        <v>713</v>
      </c>
      <c r="B695">
        <v>2024</v>
      </c>
      <c r="C695" s="1">
        <v>45507</v>
      </c>
      <c r="D695" t="s">
        <v>822</v>
      </c>
      <c r="E695" t="s">
        <v>1313</v>
      </c>
      <c r="F695" t="s">
        <v>2060</v>
      </c>
      <c r="G695" t="s">
        <v>2167</v>
      </c>
      <c r="H695" t="s">
        <v>2171</v>
      </c>
      <c r="I695" t="s">
        <v>2202</v>
      </c>
      <c r="J695" t="s">
        <v>2210</v>
      </c>
      <c r="K695" t="s">
        <v>2221</v>
      </c>
      <c r="L695" t="s">
        <v>2246</v>
      </c>
      <c r="M695" t="s">
        <v>2251</v>
      </c>
      <c r="N695">
        <v>1</v>
      </c>
      <c r="O695">
        <f t="shared" si="50"/>
        <v>77440</v>
      </c>
      <c r="P695">
        <f t="shared" si="51"/>
        <v>77440</v>
      </c>
      <c r="Q695">
        <v>0</v>
      </c>
      <c r="R695">
        <f t="shared" si="52"/>
        <v>77440</v>
      </c>
      <c r="S695" t="s">
        <v>2260</v>
      </c>
      <c r="T695" t="s">
        <v>2264</v>
      </c>
      <c r="U695" s="1" t="str">
        <f t="shared" si="53"/>
        <v>Not Delivered</v>
      </c>
      <c r="V695">
        <f t="shared" si="54"/>
        <v>11616</v>
      </c>
    </row>
    <row r="696" spans="1:22" x14ac:dyDescent="0.3">
      <c r="A696" t="s">
        <v>714</v>
      </c>
      <c r="B696">
        <v>2024</v>
      </c>
      <c r="C696" s="1">
        <v>45459</v>
      </c>
      <c r="D696" t="s">
        <v>823</v>
      </c>
      <c r="E696" t="s">
        <v>1314</v>
      </c>
      <c r="F696" t="s">
        <v>2061</v>
      </c>
      <c r="G696" t="s">
        <v>2167</v>
      </c>
      <c r="H696" t="s">
        <v>2185</v>
      </c>
      <c r="I696" t="s">
        <v>2204</v>
      </c>
      <c r="J696" t="s">
        <v>2211</v>
      </c>
      <c r="K696" t="s">
        <v>2226</v>
      </c>
      <c r="L696" t="s">
        <v>2244</v>
      </c>
      <c r="M696" t="s">
        <v>2250</v>
      </c>
      <c r="N696">
        <v>5</v>
      </c>
      <c r="O696">
        <f t="shared" si="50"/>
        <v>77440</v>
      </c>
      <c r="P696">
        <f t="shared" si="51"/>
        <v>387200</v>
      </c>
      <c r="Q696">
        <v>0</v>
      </c>
      <c r="R696">
        <f t="shared" si="52"/>
        <v>387200</v>
      </c>
      <c r="S696" t="s">
        <v>2261</v>
      </c>
      <c r="T696" t="s">
        <v>2266</v>
      </c>
      <c r="U696" s="1">
        <f t="shared" si="53"/>
        <v>45466</v>
      </c>
      <c r="V696">
        <f t="shared" si="54"/>
        <v>58080</v>
      </c>
    </row>
    <row r="697" spans="1:22" x14ac:dyDescent="0.3">
      <c r="A697" t="s">
        <v>715</v>
      </c>
      <c r="B697">
        <v>2024</v>
      </c>
      <c r="C697" s="1">
        <v>45417</v>
      </c>
      <c r="D697" t="s">
        <v>825</v>
      </c>
      <c r="E697" t="s">
        <v>1315</v>
      </c>
      <c r="F697" t="s">
        <v>2062</v>
      </c>
      <c r="G697" t="s">
        <v>2167</v>
      </c>
      <c r="H697" t="s">
        <v>2197</v>
      </c>
      <c r="I697" t="s">
        <v>2209</v>
      </c>
      <c r="J697" t="s">
        <v>2211</v>
      </c>
      <c r="K697" t="s">
        <v>2240</v>
      </c>
      <c r="L697" t="s">
        <v>2246</v>
      </c>
      <c r="M697" t="s">
        <v>2259</v>
      </c>
      <c r="N697">
        <v>4</v>
      </c>
      <c r="O697">
        <f t="shared" si="50"/>
        <v>77440</v>
      </c>
      <c r="P697">
        <f t="shared" si="51"/>
        <v>309760</v>
      </c>
      <c r="Q697">
        <v>0</v>
      </c>
      <c r="R697">
        <f t="shared" si="52"/>
        <v>309760</v>
      </c>
      <c r="S697" t="s">
        <v>2261</v>
      </c>
      <c r="T697" t="s">
        <v>2265</v>
      </c>
      <c r="U697" s="1" t="str">
        <f t="shared" si="53"/>
        <v>Not Delivered</v>
      </c>
      <c r="V697">
        <f t="shared" si="54"/>
        <v>46464</v>
      </c>
    </row>
    <row r="698" spans="1:22" x14ac:dyDescent="0.3">
      <c r="A698" t="s">
        <v>716</v>
      </c>
      <c r="B698">
        <v>2025</v>
      </c>
      <c r="C698" s="1">
        <v>45768</v>
      </c>
      <c r="D698" t="s">
        <v>820</v>
      </c>
      <c r="E698" t="s">
        <v>1316</v>
      </c>
      <c r="F698" t="s">
        <v>2063</v>
      </c>
      <c r="G698" t="s">
        <v>2167</v>
      </c>
      <c r="H698" t="s">
        <v>2199</v>
      </c>
      <c r="I698" t="s">
        <v>2205</v>
      </c>
      <c r="J698" t="s">
        <v>2211</v>
      </c>
      <c r="K698" t="s">
        <v>2239</v>
      </c>
      <c r="L698" t="s">
        <v>2245</v>
      </c>
      <c r="M698" t="s">
        <v>2252</v>
      </c>
      <c r="N698">
        <v>4</v>
      </c>
      <c r="O698">
        <f t="shared" si="50"/>
        <v>77440</v>
      </c>
      <c r="P698">
        <f t="shared" si="51"/>
        <v>309760</v>
      </c>
      <c r="Q698">
        <v>15</v>
      </c>
      <c r="R698">
        <f t="shared" si="52"/>
        <v>263296</v>
      </c>
      <c r="S698" t="s">
        <v>2261</v>
      </c>
      <c r="T698" t="s">
        <v>2265</v>
      </c>
      <c r="U698" s="1" t="str">
        <f t="shared" si="53"/>
        <v>Not Delivered</v>
      </c>
      <c r="V698">
        <f t="shared" si="54"/>
        <v>46464</v>
      </c>
    </row>
    <row r="699" spans="1:22" x14ac:dyDescent="0.3">
      <c r="A699" t="s">
        <v>717</v>
      </c>
      <c r="B699">
        <v>2025</v>
      </c>
      <c r="C699" s="1">
        <v>45782</v>
      </c>
      <c r="D699" t="s">
        <v>822</v>
      </c>
      <c r="E699" t="s">
        <v>1317</v>
      </c>
      <c r="F699" t="s">
        <v>2064</v>
      </c>
      <c r="G699" t="s">
        <v>2167</v>
      </c>
      <c r="H699" t="s">
        <v>2196</v>
      </c>
      <c r="I699" t="s">
        <v>2205</v>
      </c>
      <c r="J699" t="s">
        <v>2212</v>
      </c>
      <c r="K699" t="s">
        <v>2223</v>
      </c>
      <c r="L699" t="s">
        <v>2245</v>
      </c>
      <c r="M699" t="s">
        <v>2253</v>
      </c>
      <c r="N699">
        <v>5</v>
      </c>
      <c r="O699">
        <f t="shared" si="50"/>
        <v>77440</v>
      </c>
      <c r="P699">
        <f t="shared" si="51"/>
        <v>387200</v>
      </c>
      <c r="Q699">
        <v>15</v>
      </c>
      <c r="R699">
        <f t="shared" si="52"/>
        <v>329120</v>
      </c>
      <c r="S699" t="s">
        <v>2263</v>
      </c>
      <c r="T699" t="s">
        <v>2265</v>
      </c>
      <c r="U699" s="1" t="str">
        <f t="shared" si="53"/>
        <v>Not Delivered</v>
      </c>
      <c r="V699">
        <f t="shared" si="54"/>
        <v>58080</v>
      </c>
    </row>
    <row r="700" spans="1:22" x14ac:dyDescent="0.3">
      <c r="A700" t="s">
        <v>718</v>
      </c>
      <c r="B700">
        <v>2024</v>
      </c>
      <c r="C700" s="1">
        <v>45556</v>
      </c>
      <c r="D700" t="s">
        <v>829</v>
      </c>
      <c r="E700" t="s">
        <v>1246</v>
      </c>
      <c r="F700" t="s">
        <v>2065</v>
      </c>
      <c r="G700" t="s">
        <v>2167</v>
      </c>
      <c r="H700" t="s">
        <v>2198</v>
      </c>
      <c r="I700" t="s">
        <v>2207</v>
      </c>
      <c r="J700" t="s">
        <v>2212</v>
      </c>
      <c r="K700" t="s">
        <v>2228</v>
      </c>
      <c r="L700" t="s">
        <v>2243</v>
      </c>
      <c r="M700" t="s">
        <v>2252</v>
      </c>
      <c r="N700">
        <v>4</v>
      </c>
      <c r="O700">
        <f t="shared" si="50"/>
        <v>77440</v>
      </c>
      <c r="P700">
        <f t="shared" si="51"/>
        <v>309760</v>
      </c>
      <c r="Q700">
        <v>15</v>
      </c>
      <c r="R700">
        <f t="shared" si="52"/>
        <v>263296</v>
      </c>
      <c r="S700" t="s">
        <v>2262</v>
      </c>
      <c r="T700" t="s">
        <v>2264</v>
      </c>
      <c r="U700" s="1" t="str">
        <f t="shared" si="53"/>
        <v>Not Delivered</v>
      </c>
      <c r="V700">
        <f t="shared" si="54"/>
        <v>46464</v>
      </c>
    </row>
    <row r="701" spans="1:22" x14ac:dyDescent="0.3">
      <c r="A701" t="s">
        <v>719</v>
      </c>
      <c r="B701">
        <v>2025</v>
      </c>
      <c r="C701" s="1">
        <v>45861</v>
      </c>
      <c r="D701" t="s">
        <v>827</v>
      </c>
      <c r="E701" t="s">
        <v>1030</v>
      </c>
      <c r="F701" t="s">
        <v>2066</v>
      </c>
      <c r="G701" t="s">
        <v>2167</v>
      </c>
      <c r="H701" t="s">
        <v>2191</v>
      </c>
      <c r="I701" t="s">
        <v>2203</v>
      </c>
      <c r="J701" t="s">
        <v>2213</v>
      </c>
      <c r="K701" t="s">
        <v>2226</v>
      </c>
      <c r="L701" t="s">
        <v>2244</v>
      </c>
      <c r="M701" t="s">
        <v>2259</v>
      </c>
      <c r="N701">
        <v>3</v>
      </c>
      <c r="O701">
        <f t="shared" si="50"/>
        <v>77440</v>
      </c>
      <c r="P701">
        <f t="shared" si="51"/>
        <v>232320</v>
      </c>
      <c r="Q701">
        <v>10</v>
      </c>
      <c r="R701">
        <f t="shared" si="52"/>
        <v>209088</v>
      </c>
      <c r="S701" t="s">
        <v>2260</v>
      </c>
      <c r="T701" t="s">
        <v>2266</v>
      </c>
      <c r="U701" s="1">
        <f t="shared" si="53"/>
        <v>45868</v>
      </c>
      <c r="V701">
        <f t="shared" si="54"/>
        <v>34848</v>
      </c>
    </row>
    <row r="702" spans="1:22" x14ac:dyDescent="0.3">
      <c r="A702" t="s">
        <v>720</v>
      </c>
      <c r="B702">
        <v>2025</v>
      </c>
      <c r="C702" s="1">
        <v>45766</v>
      </c>
      <c r="D702" t="s">
        <v>820</v>
      </c>
      <c r="E702" t="s">
        <v>1318</v>
      </c>
      <c r="F702" t="s">
        <v>2067</v>
      </c>
      <c r="G702" t="s">
        <v>2167</v>
      </c>
      <c r="H702" t="s">
        <v>2171</v>
      </c>
      <c r="I702" t="s">
        <v>2202</v>
      </c>
      <c r="J702" t="s">
        <v>2212</v>
      </c>
      <c r="K702" t="s">
        <v>2240</v>
      </c>
      <c r="L702" t="s">
        <v>2246</v>
      </c>
      <c r="M702" t="s">
        <v>2258</v>
      </c>
      <c r="N702">
        <v>3</v>
      </c>
      <c r="O702">
        <f t="shared" si="50"/>
        <v>77440</v>
      </c>
      <c r="P702">
        <f t="shared" si="51"/>
        <v>232320</v>
      </c>
      <c r="Q702">
        <v>5</v>
      </c>
      <c r="R702">
        <f t="shared" si="52"/>
        <v>220704</v>
      </c>
      <c r="S702" t="s">
        <v>2261</v>
      </c>
      <c r="T702" t="s">
        <v>2265</v>
      </c>
      <c r="U702" s="1" t="str">
        <f t="shared" si="53"/>
        <v>Not Delivered</v>
      </c>
      <c r="V702">
        <f t="shared" si="54"/>
        <v>34848</v>
      </c>
    </row>
    <row r="703" spans="1:22" x14ac:dyDescent="0.3">
      <c r="A703" t="s">
        <v>721</v>
      </c>
      <c r="B703">
        <v>2024</v>
      </c>
      <c r="C703" s="1">
        <v>45345</v>
      </c>
      <c r="D703" t="s">
        <v>827</v>
      </c>
      <c r="E703" t="s">
        <v>970</v>
      </c>
      <c r="F703" t="s">
        <v>2068</v>
      </c>
      <c r="G703" t="s">
        <v>2167</v>
      </c>
      <c r="H703" t="s">
        <v>2198</v>
      </c>
      <c r="I703" t="s">
        <v>2207</v>
      </c>
      <c r="J703" t="s">
        <v>2212</v>
      </c>
      <c r="K703" t="s">
        <v>2220</v>
      </c>
      <c r="L703" t="s">
        <v>2245</v>
      </c>
      <c r="M703" t="s">
        <v>2256</v>
      </c>
      <c r="N703">
        <v>4</v>
      </c>
      <c r="O703">
        <f t="shared" si="50"/>
        <v>77440</v>
      </c>
      <c r="P703">
        <f t="shared" si="51"/>
        <v>309760</v>
      </c>
      <c r="Q703">
        <v>20</v>
      </c>
      <c r="R703">
        <f t="shared" si="52"/>
        <v>247808</v>
      </c>
      <c r="S703" t="s">
        <v>2262</v>
      </c>
      <c r="T703" t="s">
        <v>2266</v>
      </c>
      <c r="U703" s="1">
        <f t="shared" si="53"/>
        <v>45352</v>
      </c>
      <c r="V703">
        <f t="shared" si="54"/>
        <v>46464</v>
      </c>
    </row>
    <row r="704" spans="1:22" x14ac:dyDescent="0.3">
      <c r="A704" t="s">
        <v>722</v>
      </c>
      <c r="B704">
        <v>2024</v>
      </c>
      <c r="C704" s="1">
        <v>45354</v>
      </c>
      <c r="D704" t="s">
        <v>822</v>
      </c>
      <c r="E704" t="s">
        <v>1301</v>
      </c>
      <c r="F704" t="s">
        <v>2069</v>
      </c>
      <c r="G704" t="s">
        <v>2167</v>
      </c>
      <c r="H704" t="s">
        <v>2168</v>
      </c>
      <c r="I704" t="s">
        <v>2200</v>
      </c>
      <c r="J704" t="s">
        <v>2211</v>
      </c>
      <c r="K704" t="s">
        <v>2239</v>
      </c>
      <c r="L704" t="s">
        <v>2245</v>
      </c>
      <c r="M704" t="s">
        <v>2257</v>
      </c>
      <c r="N704">
        <v>4</v>
      </c>
      <c r="O704">
        <f t="shared" si="50"/>
        <v>77440</v>
      </c>
      <c r="P704">
        <f t="shared" si="51"/>
        <v>309760</v>
      </c>
      <c r="Q704">
        <v>20</v>
      </c>
      <c r="R704">
        <f t="shared" si="52"/>
        <v>247808</v>
      </c>
      <c r="S704" t="s">
        <v>2261</v>
      </c>
      <c r="T704" t="s">
        <v>2265</v>
      </c>
      <c r="U704" s="1" t="str">
        <f t="shared" si="53"/>
        <v>Not Delivered</v>
      </c>
      <c r="V704">
        <f t="shared" si="54"/>
        <v>46464</v>
      </c>
    </row>
    <row r="705" spans="1:22" x14ac:dyDescent="0.3">
      <c r="A705" t="s">
        <v>723</v>
      </c>
      <c r="B705">
        <v>2024</v>
      </c>
      <c r="C705" s="1">
        <v>45507</v>
      </c>
      <c r="D705" t="s">
        <v>825</v>
      </c>
      <c r="E705" t="s">
        <v>1319</v>
      </c>
      <c r="F705" t="s">
        <v>2070</v>
      </c>
      <c r="G705" t="s">
        <v>2167</v>
      </c>
      <c r="H705" t="s">
        <v>2196</v>
      </c>
      <c r="I705" t="s">
        <v>2205</v>
      </c>
      <c r="J705" t="s">
        <v>2211</v>
      </c>
      <c r="K705" t="s">
        <v>2233</v>
      </c>
      <c r="L705" t="s">
        <v>2245</v>
      </c>
      <c r="M705" t="s">
        <v>2257</v>
      </c>
      <c r="N705">
        <v>1</v>
      </c>
      <c r="O705">
        <f t="shared" si="50"/>
        <v>77440</v>
      </c>
      <c r="P705">
        <f t="shared" si="51"/>
        <v>77440</v>
      </c>
      <c r="Q705">
        <v>20</v>
      </c>
      <c r="R705">
        <f t="shared" si="52"/>
        <v>61952</v>
      </c>
      <c r="S705" t="s">
        <v>2263</v>
      </c>
      <c r="T705" t="s">
        <v>2265</v>
      </c>
      <c r="U705" s="1" t="str">
        <f t="shared" si="53"/>
        <v>Not Delivered</v>
      </c>
      <c r="V705">
        <f t="shared" si="54"/>
        <v>11616</v>
      </c>
    </row>
    <row r="706" spans="1:22" x14ac:dyDescent="0.3">
      <c r="A706" t="s">
        <v>724</v>
      </c>
      <c r="B706">
        <v>2024</v>
      </c>
      <c r="C706" s="1">
        <v>45637</v>
      </c>
      <c r="D706" t="s">
        <v>824</v>
      </c>
      <c r="E706" t="s">
        <v>1320</v>
      </c>
      <c r="F706" t="s">
        <v>2071</v>
      </c>
      <c r="G706" t="s">
        <v>2167</v>
      </c>
      <c r="H706" t="s">
        <v>2176</v>
      </c>
      <c r="I706" t="s">
        <v>2205</v>
      </c>
      <c r="J706" t="s">
        <v>2211</v>
      </c>
      <c r="K706" t="s">
        <v>2222</v>
      </c>
      <c r="L706" t="s">
        <v>2247</v>
      </c>
      <c r="M706" t="s">
        <v>2250</v>
      </c>
      <c r="N706">
        <v>3</v>
      </c>
      <c r="O706">
        <f t="shared" si="50"/>
        <v>77440</v>
      </c>
      <c r="P706">
        <f t="shared" si="51"/>
        <v>232320</v>
      </c>
      <c r="Q706">
        <v>5</v>
      </c>
      <c r="R706">
        <f t="shared" si="52"/>
        <v>220704</v>
      </c>
      <c r="S706" t="s">
        <v>2261</v>
      </c>
      <c r="T706" t="s">
        <v>2264</v>
      </c>
      <c r="U706" s="1" t="str">
        <f t="shared" si="53"/>
        <v>Not Delivered</v>
      </c>
      <c r="V706">
        <f t="shared" si="54"/>
        <v>34848</v>
      </c>
    </row>
    <row r="707" spans="1:22" x14ac:dyDescent="0.3">
      <c r="A707" t="s">
        <v>725</v>
      </c>
      <c r="B707">
        <v>2025</v>
      </c>
      <c r="C707" s="1">
        <v>45806</v>
      </c>
      <c r="D707" t="s">
        <v>828</v>
      </c>
      <c r="E707" t="s">
        <v>1321</v>
      </c>
      <c r="F707" t="s">
        <v>2072</v>
      </c>
      <c r="G707" t="s">
        <v>2167</v>
      </c>
      <c r="H707" t="s">
        <v>2189</v>
      </c>
      <c r="I707" t="s">
        <v>2202</v>
      </c>
      <c r="J707" t="s">
        <v>2211</v>
      </c>
      <c r="K707" t="s">
        <v>2241</v>
      </c>
      <c r="L707" t="s">
        <v>2247</v>
      </c>
      <c r="M707" t="s">
        <v>2251</v>
      </c>
      <c r="N707">
        <v>2</v>
      </c>
      <c r="O707">
        <f t="shared" ref="O707:O770" si="55">ROUNDUP((77431.41),-1)</f>
        <v>77440</v>
      </c>
      <c r="P707">
        <f t="shared" ref="P707:P770" si="56">O707*N707</f>
        <v>154880</v>
      </c>
      <c r="Q707">
        <v>5</v>
      </c>
      <c r="R707">
        <f t="shared" ref="R707:R770" si="57">P707*(1-Q707/100)</f>
        <v>147136</v>
      </c>
      <c r="S707" t="s">
        <v>2263</v>
      </c>
      <c r="T707" t="s">
        <v>2264</v>
      </c>
      <c r="U707" s="1" t="str">
        <f t="shared" ref="U707:U770" si="58">IF(T707="Delivered", C707 + 7, "Not Delivered")</f>
        <v>Not Delivered</v>
      </c>
      <c r="V707">
        <f t="shared" ref="V707:V770" si="59">P707*15%</f>
        <v>23232</v>
      </c>
    </row>
    <row r="708" spans="1:22" x14ac:dyDescent="0.3">
      <c r="A708" t="s">
        <v>726</v>
      </c>
      <c r="B708">
        <v>2024</v>
      </c>
      <c r="C708" s="1">
        <v>45327</v>
      </c>
      <c r="D708" t="s">
        <v>821</v>
      </c>
      <c r="E708" t="s">
        <v>974</v>
      </c>
      <c r="F708" t="s">
        <v>2073</v>
      </c>
      <c r="G708" t="s">
        <v>2167</v>
      </c>
      <c r="H708" t="s">
        <v>2178</v>
      </c>
      <c r="I708" t="s">
        <v>2207</v>
      </c>
      <c r="J708" t="s">
        <v>2211</v>
      </c>
      <c r="K708" t="s">
        <v>2214</v>
      </c>
      <c r="L708" t="s">
        <v>2242</v>
      </c>
      <c r="M708" t="s">
        <v>2254</v>
      </c>
      <c r="N708">
        <v>4</v>
      </c>
      <c r="O708">
        <f t="shared" si="55"/>
        <v>77440</v>
      </c>
      <c r="P708">
        <f t="shared" si="56"/>
        <v>309760</v>
      </c>
      <c r="Q708">
        <v>0</v>
      </c>
      <c r="R708">
        <f t="shared" si="57"/>
        <v>309760</v>
      </c>
      <c r="S708" t="s">
        <v>2263</v>
      </c>
      <c r="T708" t="s">
        <v>2264</v>
      </c>
      <c r="U708" s="1" t="str">
        <f t="shared" si="58"/>
        <v>Not Delivered</v>
      </c>
      <c r="V708">
        <f t="shared" si="59"/>
        <v>46464</v>
      </c>
    </row>
    <row r="709" spans="1:22" x14ac:dyDescent="0.3">
      <c r="A709" t="s">
        <v>727</v>
      </c>
      <c r="B709">
        <v>2025</v>
      </c>
      <c r="C709" s="1">
        <v>45743</v>
      </c>
      <c r="D709" t="s">
        <v>825</v>
      </c>
      <c r="E709" t="s">
        <v>1322</v>
      </c>
      <c r="F709" t="s">
        <v>2074</v>
      </c>
      <c r="G709" t="s">
        <v>2167</v>
      </c>
      <c r="H709" t="s">
        <v>2185</v>
      </c>
      <c r="I709" t="s">
        <v>2204</v>
      </c>
      <c r="J709" t="s">
        <v>2212</v>
      </c>
      <c r="K709" t="s">
        <v>2216</v>
      </c>
      <c r="L709" t="s">
        <v>2242</v>
      </c>
      <c r="M709" t="s">
        <v>2250</v>
      </c>
      <c r="N709">
        <v>5</v>
      </c>
      <c r="O709">
        <f t="shared" si="55"/>
        <v>77440</v>
      </c>
      <c r="P709">
        <f t="shared" si="56"/>
        <v>387200</v>
      </c>
      <c r="Q709">
        <v>0</v>
      </c>
      <c r="R709">
        <f t="shared" si="57"/>
        <v>387200</v>
      </c>
      <c r="S709" t="s">
        <v>2260</v>
      </c>
      <c r="T709" t="s">
        <v>2264</v>
      </c>
      <c r="U709" s="1" t="str">
        <f t="shared" si="58"/>
        <v>Not Delivered</v>
      </c>
      <c r="V709">
        <f t="shared" si="59"/>
        <v>58080</v>
      </c>
    </row>
    <row r="710" spans="1:22" x14ac:dyDescent="0.3">
      <c r="A710" t="s">
        <v>728</v>
      </c>
      <c r="B710">
        <v>2024</v>
      </c>
      <c r="C710" s="1">
        <v>45586</v>
      </c>
      <c r="D710" t="s">
        <v>821</v>
      </c>
      <c r="E710" t="s">
        <v>1323</v>
      </c>
      <c r="F710" t="s">
        <v>2075</v>
      </c>
      <c r="G710" t="s">
        <v>2167</v>
      </c>
      <c r="H710" t="s">
        <v>2192</v>
      </c>
      <c r="I710" t="s">
        <v>2207</v>
      </c>
      <c r="J710" t="s">
        <v>2212</v>
      </c>
      <c r="K710" t="s">
        <v>2241</v>
      </c>
      <c r="L710" t="s">
        <v>2247</v>
      </c>
      <c r="M710" t="s">
        <v>2255</v>
      </c>
      <c r="N710">
        <v>2</v>
      </c>
      <c r="O710">
        <f t="shared" si="55"/>
        <v>77440</v>
      </c>
      <c r="P710">
        <f t="shared" si="56"/>
        <v>154880</v>
      </c>
      <c r="Q710">
        <v>10</v>
      </c>
      <c r="R710">
        <f t="shared" si="57"/>
        <v>139392</v>
      </c>
      <c r="S710" t="s">
        <v>2260</v>
      </c>
      <c r="T710" t="s">
        <v>2264</v>
      </c>
      <c r="U710" s="1" t="str">
        <f t="shared" si="58"/>
        <v>Not Delivered</v>
      </c>
      <c r="V710">
        <f t="shared" si="59"/>
        <v>23232</v>
      </c>
    </row>
    <row r="711" spans="1:22" x14ac:dyDescent="0.3">
      <c r="A711" t="s">
        <v>729</v>
      </c>
      <c r="B711">
        <v>2024</v>
      </c>
      <c r="C711" s="1">
        <v>45352</v>
      </c>
      <c r="D711" t="s">
        <v>829</v>
      </c>
      <c r="E711" t="s">
        <v>1324</v>
      </c>
      <c r="F711" t="s">
        <v>2076</v>
      </c>
      <c r="G711" t="s">
        <v>2167</v>
      </c>
      <c r="H711" t="s">
        <v>2186</v>
      </c>
      <c r="I711" t="s">
        <v>2201</v>
      </c>
      <c r="J711" t="s">
        <v>2213</v>
      </c>
      <c r="K711" t="s">
        <v>2225</v>
      </c>
      <c r="L711" t="s">
        <v>2243</v>
      </c>
      <c r="M711" t="s">
        <v>2251</v>
      </c>
      <c r="N711">
        <v>5</v>
      </c>
      <c r="O711">
        <f t="shared" si="55"/>
        <v>77440</v>
      </c>
      <c r="P711">
        <f t="shared" si="56"/>
        <v>387200</v>
      </c>
      <c r="Q711">
        <v>5</v>
      </c>
      <c r="R711">
        <f t="shared" si="57"/>
        <v>367840</v>
      </c>
      <c r="S711" t="s">
        <v>2260</v>
      </c>
      <c r="T711" t="s">
        <v>2264</v>
      </c>
      <c r="U711" s="1" t="str">
        <f t="shared" si="58"/>
        <v>Not Delivered</v>
      </c>
      <c r="V711">
        <f t="shared" si="59"/>
        <v>58080</v>
      </c>
    </row>
    <row r="712" spans="1:22" x14ac:dyDescent="0.3">
      <c r="A712" t="s">
        <v>730</v>
      </c>
      <c r="B712">
        <v>2025</v>
      </c>
      <c r="C712" s="1">
        <v>45727</v>
      </c>
      <c r="D712" t="s">
        <v>820</v>
      </c>
      <c r="E712" t="s">
        <v>1256</v>
      </c>
      <c r="F712" t="s">
        <v>2077</v>
      </c>
      <c r="G712" t="s">
        <v>2167</v>
      </c>
      <c r="H712" t="s">
        <v>2189</v>
      </c>
      <c r="I712" t="s">
        <v>2202</v>
      </c>
      <c r="J712" t="s">
        <v>2213</v>
      </c>
      <c r="K712" t="s">
        <v>2214</v>
      </c>
      <c r="L712" t="s">
        <v>2242</v>
      </c>
      <c r="M712" t="s">
        <v>2253</v>
      </c>
      <c r="N712">
        <v>4</v>
      </c>
      <c r="O712">
        <f t="shared" si="55"/>
        <v>77440</v>
      </c>
      <c r="P712">
        <f t="shared" si="56"/>
        <v>309760</v>
      </c>
      <c r="Q712">
        <v>15</v>
      </c>
      <c r="R712">
        <f t="shared" si="57"/>
        <v>263296</v>
      </c>
      <c r="S712" t="s">
        <v>2262</v>
      </c>
      <c r="T712" t="s">
        <v>2266</v>
      </c>
      <c r="U712" s="1">
        <f t="shared" si="58"/>
        <v>45734</v>
      </c>
      <c r="V712">
        <f t="shared" si="59"/>
        <v>46464</v>
      </c>
    </row>
    <row r="713" spans="1:22" x14ac:dyDescent="0.3">
      <c r="A713" t="s">
        <v>731</v>
      </c>
      <c r="B713">
        <v>2024</v>
      </c>
      <c r="C713" s="1">
        <v>45533</v>
      </c>
      <c r="D713" t="s">
        <v>826</v>
      </c>
      <c r="E713" t="s">
        <v>1325</v>
      </c>
      <c r="F713" t="s">
        <v>2078</v>
      </c>
      <c r="G713" t="s">
        <v>2167</v>
      </c>
      <c r="H713" t="s">
        <v>2175</v>
      </c>
      <c r="I713" t="s">
        <v>2203</v>
      </c>
      <c r="J713" t="s">
        <v>2213</v>
      </c>
      <c r="K713" t="s">
        <v>2222</v>
      </c>
      <c r="L713" t="s">
        <v>2247</v>
      </c>
      <c r="M713" t="s">
        <v>2250</v>
      </c>
      <c r="N713">
        <v>4</v>
      </c>
      <c r="O713">
        <f t="shared" si="55"/>
        <v>77440</v>
      </c>
      <c r="P713">
        <f t="shared" si="56"/>
        <v>309760</v>
      </c>
      <c r="Q713">
        <v>0</v>
      </c>
      <c r="R713">
        <f t="shared" si="57"/>
        <v>309760</v>
      </c>
      <c r="S713" t="s">
        <v>2262</v>
      </c>
      <c r="T713" t="s">
        <v>2266</v>
      </c>
      <c r="U713" s="1">
        <f t="shared" si="58"/>
        <v>45540</v>
      </c>
      <c r="V713">
        <f t="shared" si="59"/>
        <v>46464</v>
      </c>
    </row>
    <row r="714" spans="1:22" x14ac:dyDescent="0.3">
      <c r="A714" t="s">
        <v>732</v>
      </c>
      <c r="B714">
        <v>2024</v>
      </c>
      <c r="C714" s="1">
        <v>45499</v>
      </c>
      <c r="D714" t="s">
        <v>822</v>
      </c>
      <c r="E714" t="s">
        <v>1326</v>
      </c>
      <c r="F714" t="s">
        <v>2079</v>
      </c>
      <c r="G714" t="s">
        <v>2167</v>
      </c>
      <c r="H714" t="s">
        <v>2168</v>
      </c>
      <c r="I714" t="s">
        <v>2200</v>
      </c>
      <c r="J714" t="s">
        <v>2212</v>
      </c>
      <c r="K714" t="s">
        <v>2241</v>
      </c>
      <c r="L714" t="s">
        <v>2247</v>
      </c>
      <c r="M714" t="s">
        <v>2259</v>
      </c>
      <c r="N714">
        <v>1</v>
      </c>
      <c r="O714">
        <f t="shared" si="55"/>
        <v>77440</v>
      </c>
      <c r="P714">
        <f t="shared" si="56"/>
        <v>77440</v>
      </c>
      <c r="Q714">
        <v>0</v>
      </c>
      <c r="R714">
        <f t="shared" si="57"/>
        <v>77440</v>
      </c>
      <c r="S714" t="s">
        <v>2263</v>
      </c>
      <c r="T714" t="s">
        <v>2265</v>
      </c>
      <c r="U714" s="1" t="str">
        <f t="shared" si="58"/>
        <v>Not Delivered</v>
      </c>
      <c r="V714">
        <f t="shared" si="59"/>
        <v>11616</v>
      </c>
    </row>
    <row r="715" spans="1:22" x14ac:dyDescent="0.3">
      <c r="A715" t="s">
        <v>733</v>
      </c>
      <c r="B715">
        <v>2025</v>
      </c>
      <c r="C715" s="1">
        <v>45778</v>
      </c>
      <c r="D715" t="s">
        <v>829</v>
      </c>
      <c r="E715" t="s">
        <v>1037</v>
      </c>
      <c r="F715" t="s">
        <v>2080</v>
      </c>
      <c r="G715" t="s">
        <v>2167</v>
      </c>
      <c r="H715" t="s">
        <v>2183</v>
      </c>
      <c r="I715" t="s">
        <v>2204</v>
      </c>
      <c r="J715" t="s">
        <v>2211</v>
      </c>
      <c r="K715" t="s">
        <v>2240</v>
      </c>
      <c r="L715" t="s">
        <v>2246</v>
      </c>
      <c r="M715" t="s">
        <v>2249</v>
      </c>
      <c r="N715">
        <v>4</v>
      </c>
      <c r="O715">
        <f t="shared" si="55"/>
        <v>77440</v>
      </c>
      <c r="P715">
        <f t="shared" si="56"/>
        <v>309760</v>
      </c>
      <c r="Q715">
        <v>15</v>
      </c>
      <c r="R715">
        <f t="shared" si="57"/>
        <v>263296</v>
      </c>
      <c r="S715" t="s">
        <v>2260</v>
      </c>
      <c r="T715" t="s">
        <v>2265</v>
      </c>
      <c r="U715" s="1" t="str">
        <f t="shared" si="58"/>
        <v>Not Delivered</v>
      </c>
      <c r="V715">
        <f t="shared" si="59"/>
        <v>46464</v>
      </c>
    </row>
    <row r="716" spans="1:22" x14ac:dyDescent="0.3">
      <c r="A716" t="s">
        <v>734</v>
      </c>
      <c r="B716">
        <v>2025</v>
      </c>
      <c r="C716" s="1">
        <v>45679</v>
      </c>
      <c r="D716" t="s">
        <v>827</v>
      </c>
      <c r="E716" t="s">
        <v>1226</v>
      </c>
      <c r="F716" t="s">
        <v>2081</v>
      </c>
      <c r="G716" t="s">
        <v>2167</v>
      </c>
      <c r="H716" t="s">
        <v>2180</v>
      </c>
      <c r="I716" t="s">
        <v>2208</v>
      </c>
      <c r="J716" t="s">
        <v>2213</v>
      </c>
      <c r="K716" t="s">
        <v>2241</v>
      </c>
      <c r="L716" t="s">
        <v>2247</v>
      </c>
      <c r="M716" t="s">
        <v>2254</v>
      </c>
      <c r="N716">
        <v>2</v>
      </c>
      <c r="O716">
        <f t="shared" si="55"/>
        <v>77440</v>
      </c>
      <c r="P716">
        <f t="shared" si="56"/>
        <v>154880</v>
      </c>
      <c r="Q716">
        <v>15</v>
      </c>
      <c r="R716">
        <f t="shared" si="57"/>
        <v>131648</v>
      </c>
      <c r="S716" t="s">
        <v>2262</v>
      </c>
      <c r="T716" t="s">
        <v>2266</v>
      </c>
      <c r="U716" s="1">
        <f t="shared" si="58"/>
        <v>45686</v>
      </c>
      <c r="V716">
        <f t="shared" si="59"/>
        <v>23232</v>
      </c>
    </row>
    <row r="717" spans="1:22" x14ac:dyDescent="0.3">
      <c r="A717" t="s">
        <v>735</v>
      </c>
      <c r="B717">
        <v>2024</v>
      </c>
      <c r="C717" s="1">
        <v>45511</v>
      </c>
      <c r="D717" t="s">
        <v>826</v>
      </c>
      <c r="E717" t="s">
        <v>1327</v>
      </c>
      <c r="F717" t="s">
        <v>2082</v>
      </c>
      <c r="G717" t="s">
        <v>2167</v>
      </c>
      <c r="H717" t="s">
        <v>2173</v>
      </c>
      <c r="I717" t="s">
        <v>2204</v>
      </c>
      <c r="J717" t="s">
        <v>2211</v>
      </c>
      <c r="K717" t="s">
        <v>2230</v>
      </c>
      <c r="L717" t="s">
        <v>2247</v>
      </c>
      <c r="M717" t="s">
        <v>2259</v>
      </c>
      <c r="N717">
        <v>5</v>
      </c>
      <c r="O717">
        <f t="shared" si="55"/>
        <v>77440</v>
      </c>
      <c r="P717">
        <f t="shared" si="56"/>
        <v>387200</v>
      </c>
      <c r="Q717">
        <v>20</v>
      </c>
      <c r="R717">
        <f t="shared" si="57"/>
        <v>309760</v>
      </c>
      <c r="S717" t="s">
        <v>2261</v>
      </c>
      <c r="T717" t="s">
        <v>2265</v>
      </c>
      <c r="U717" s="1" t="str">
        <f t="shared" si="58"/>
        <v>Not Delivered</v>
      </c>
      <c r="V717">
        <f t="shared" si="59"/>
        <v>58080</v>
      </c>
    </row>
    <row r="718" spans="1:22" x14ac:dyDescent="0.3">
      <c r="A718" t="s">
        <v>736</v>
      </c>
      <c r="B718">
        <v>2025</v>
      </c>
      <c r="C718" s="1">
        <v>45739</v>
      </c>
      <c r="D718" t="s">
        <v>821</v>
      </c>
      <c r="E718" t="s">
        <v>1328</v>
      </c>
      <c r="F718" t="s">
        <v>2083</v>
      </c>
      <c r="G718" t="s">
        <v>2167</v>
      </c>
      <c r="H718" t="s">
        <v>2171</v>
      </c>
      <c r="I718" t="s">
        <v>2202</v>
      </c>
      <c r="J718" t="s">
        <v>2212</v>
      </c>
      <c r="K718" t="s">
        <v>2225</v>
      </c>
      <c r="L718" t="s">
        <v>2243</v>
      </c>
      <c r="M718" t="s">
        <v>2259</v>
      </c>
      <c r="N718">
        <v>5</v>
      </c>
      <c r="O718">
        <f t="shared" si="55"/>
        <v>77440</v>
      </c>
      <c r="P718">
        <f t="shared" si="56"/>
        <v>387200</v>
      </c>
      <c r="Q718">
        <v>20</v>
      </c>
      <c r="R718">
        <f t="shared" si="57"/>
        <v>309760</v>
      </c>
      <c r="S718" t="s">
        <v>2261</v>
      </c>
      <c r="T718" t="s">
        <v>2264</v>
      </c>
      <c r="U718" s="1" t="str">
        <f t="shared" si="58"/>
        <v>Not Delivered</v>
      </c>
      <c r="V718">
        <f t="shared" si="59"/>
        <v>58080</v>
      </c>
    </row>
    <row r="719" spans="1:22" x14ac:dyDescent="0.3">
      <c r="A719" t="s">
        <v>737</v>
      </c>
      <c r="B719">
        <v>2025</v>
      </c>
      <c r="C719" s="1">
        <v>45848</v>
      </c>
      <c r="D719" t="s">
        <v>820</v>
      </c>
      <c r="E719" t="s">
        <v>858</v>
      </c>
      <c r="F719" t="s">
        <v>2084</v>
      </c>
      <c r="G719" t="s">
        <v>2167</v>
      </c>
      <c r="H719" t="s">
        <v>2196</v>
      </c>
      <c r="I719" t="s">
        <v>2205</v>
      </c>
      <c r="J719" t="s">
        <v>2213</v>
      </c>
      <c r="K719" t="s">
        <v>2232</v>
      </c>
      <c r="L719" t="s">
        <v>2243</v>
      </c>
      <c r="M719" t="s">
        <v>2248</v>
      </c>
      <c r="N719">
        <v>2</v>
      </c>
      <c r="O719">
        <f t="shared" si="55"/>
        <v>77440</v>
      </c>
      <c r="P719">
        <f t="shared" si="56"/>
        <v>154880</v>
      </c>
      <c r="Q719">
        <v>5</v>
      </c>
      <c r="R719">
        <f t="shared" si="57"/>
        <v>147136</v>
      </c>
      <c r="S719" t="s">
        <v>2263</v>
      </c>
      <c r="T719" t="s">
        <v>2264</v>
      </c>
      <c r="U719" s="1" t="str">
        <f t="shared" si="58"/>
        <v>Not Delivered</v>
      </c>
      <c r="V719">
        <f t="shared" si="59"/>
        <v>23232</v>
      </c>
    </row>
    <row r="720" spans="1:22" x14ac:dyDescent="0.3">
      <c r="A720" t="s">
        <v>738</v>
      </c>
      <c r="B720">
        <v>2025</v>
      </c>
      <c r="C720" s="1">
        <v>45805</v>
      </c>
      <c r="D720" t="s">
        <v>829</v>
      </c>
      <c r="E720" t="s">
        <v>1329</v>
      </c>
      <c r="F720" t="s">
        <v>2085</v>
      </c>
      <c r="G720" t="s">
        <v>2167</v>
      </c>
      <c r="H720" t="s">
        <v>2183</v>
      </c>
      <c r="I720" t="s">
        <v>2204</v>
      </c>
      <c r="J720" t="s">
        <v>2210</v>
      </c>
      <c r="K720" t="s">
        <v>2216</v>
      </c>
      <c r="L720" t="s">
        <v>2242</v>
      </c>
      <c r="M720" t="s">
        <v>2259</v>
      </c>
      <c r="N720">
        <v>4</v>
      </c>
      <c r="O720">
        <f t="shared" si="55"/>
        <v>77440</v>
      </c>
      <c r="P720">
        <f t="shared" si="56"/>
        <v>309760</v>
      </c>
      <c r="Q720">
        <v>10</v>
      </c>
      <c r="R720">
        <f t="shared" si="57"/>
        <v>278784</v>
      </c>
      <c r="S720" t="s">
        <v>2262</v>
      </c>
      <c r="T720" t="s">
        <v>2266</v>
      </c>
      <c r="U720" s="1">
        <f t="shared" si="58"/>
        <v>45812</v>
      </c>
      <c r="V720">
        <f t="shared" si="59"/>
        <v>46464</v>
      </c>
    </row>
    <row r="721" spans="1:22" x14ac:dyDescent="0.3">
      <c r="A721" t="s">
        <v>739</v>
      </c>
      <c r="B721">
        <v>2024</v>
      </c>
      <c r="C721" s="1">
        <v>45306</v>
      </c>
      <c r="D721" t="s">
        <v>825</v>
      </c>
      <c r="E721" t="s">
        <v>1000</v>
      </c>
      <c r="F721" t="s">
        <v>2086</v>
      </c>
      <c r="G721" t="s">
        <v>2167</v>
      </c>
      <c r="H721" t="s">
        <v>2175</v>
      </c>
      <c r="I721" t="s">
        <v>2203</v>
      </c>
      <c r="J721" t="s">
        <v>2212</v>
      </c>
      <c r="K721" t="s">
        <v>2235</v>
      </c>
      <c r="L721" t="s">
        <v>2247</v>
      </c>
      <c r="M721" t="s">
        <v>2256</v>
      </c>
      <c r="N721">
        <v>3</v>
      </c>
      <c r="O721">
        <f t="shared" si="55"/>
        <v>77440</v>
      </c>
      <c r="P721">
        <f t="shared" si="56"/>
        <v>232320</v>
      </c>
      <c r="Q721">
        <v>20</v>
      </c>
      <c r="R721">
        <f t="shared" si="57"/>
        <v>185856</v>
      </c>
      <c r="S721" t="s">
        <v>2260</v>
      </c>
      <c r="T721" t="s">
        <v>2266</v>
      </c>
      <c r="U721" s="1">
        <f t="shared" si="58"/>
        <v>45313</v>
      </c>
      <c r="V721">
        <f t="shared" si="59"/>
        <v>34848</v>
      </c>
    </row>
    <row r="722" spans="1:22" x14ac:dyDescent="0.3">
      <c r="A722" t="s">
        <v>740</v>
      </c>
      <c r="B722">
        <v>2024</v>
      </c>
      <c r="C722" s="1">
        <v>45352</v>
      </c>
      <c r="D722" t="s">
        <v>823</v>
      </c>
      <c r="E722" t="s">
        <v>1299</v>
      </c>
      <c r="F722" t="s">
        <v>2087</v>
      </c>
      <c r="G722" t="s">
        <v>2167</v>
      </c>
      <c r="H722" t="s">
        <v>2172</v>
      </c>
      <c r="I722" t="s">
        <v>2203</v>
      </c>
      <c r="J722" t="s">
        <v>2211</v>
      </c>
      <c r="K722" t="s">
        <v>2230</v>
      </c>
      <c r="L722" t="s">
        <v>2247</v>
      </c>
      <c r="M722" t="s">
        <v>2252</v>
      </c>
      <c r="N722">
        <v>1</v>
      </c>
      <c r="O722">
        <f t="shared" si="55"/>
        <v>77440</v>
      </c>
      <c r="P722">
        <f t="shared" si="56"/>
        <v>77440</v>
      </c>
      <c r="Q722">
        <v>20</v>
      </c>
      <c r="R722">
        <f t="shared" si="57"/>
        <v>61952</v>
      </c>
      <c r="S722" t="s">
        <v>2262</v>
      </c>
      <c r="T722" t="s">
        <v>2265</v>
      </c>
      <c r="U722" s="1" t="str">
        <f t="shared" si="58"/>
        <v>Not Delivered</v>
      </c>
      <c r="V722">
        <f t="shared" si="59"/>
        <v>11616</v>
      </c>
    </row>
    <row r="723" spans="1:22" x14ac:dyDescent="0.3">
      <c r="A723" t="s">
        <v>741</v>
      </c>
      <c r="B723">
        <v>2025</v>
      </c>
      <c r="C723" s="1">
        <v>45812</v>
      </c>
      <c r="D723" t="s">
        <v>824</v>
      </c>
      <c r="E723" t="s">
        <v>1330</v>
      </c>
      <c r="F723" t="s">
        <v>2088</v>
      </c>
      <c r="G723" t="s">
        <v>2167</v>
      </c>
      <c r="H723" t="s">
        <v>2183</v>
      </c>
      <c r="I723" t="s">
        <v>2204</v>
      </c>
      <c r="J723" t="s">
        <v>2213</v>
      </c>
      <c r="K723" t="s">
        <v>2218</v>
      </c>
      <c r="L723" t="s">
        <v>2242</v>
      </c>
      <c r="M723" t="s">
        <v>2252</v>
      </c>
      <c r="N723">
        <v>1</v>
      </c>
      <c r="O723">
        <f t="shared" si="55"/>
        <v>77440</v>
      </c>
      <c r="P723">
        <f t="shared" si="56"/>
        <v>77440</v>
      </c>
      <c r="Q723">
        <v>20</v>
      </c>
      <c r="R723">
        <f t="shared" si="57"/>
        <v>61952</v>
      </c>
      <c r="S723" t="s">
        <v>2261</v>
      </c>
      <c r="T723" t="s">
        <v>2264</v>
      </c>
      <c r="U723" s="1" t="str">
        <f t="shared" si="58"/>
        <v>Not Delivered</v>
      </c>
      <c r="V723">
        <f t="shared" si="59"/>
        <v>11616</v>
      </c>
    </row>
    <row r="724" spans="1:22" x14ac:dyDescent="0.3">
      <c r="A724" t="s">
        <v>742</v>
      </c>
      <c r="B724">
        <v>2025</v>
      </c>
      <c r="C724" s="1">
        <v>45796</v>
      </c>
      <c r="D724" t="s">
        <v>824</v>
      </c>
      <c r="E724" t="s">
        <v>1328</v>
      </c>
      <c r="F724" t="s">
        <v>2089</v>
      </c>
      <c r="G724" t="s">
        <v>2167</v>
      </c>
      <c r="H724" t="s">
        <v>2194</v>
      </c>
      <c r="I724" t="s">
        <v>2201</v>
      </c>
      <c r="J724" t="s">
        <v>2212</v>
      </c>
      <c r="K724" t="s">
        <v>2237</v>
      </c>
      <c r="L724" t="s">
        <v>2246</v>
      </c>
      <c r="M724" t="s">
        <v>2251</v>
      </c>
      <c r="N724">
        <v>4</v>
      </c>
      <c r="O724">
        <f t="shared" si="55"/>
        <v>77440</v>
      </c>
      <c r="P724">
        <f t="shared" si="56"/>
        <v>309760</v>
      </c>
      <c r="Q724">
        <v>20</v>
      </c>
      <c r="R724">
        <f t="shared" si="57"/>
        <v>247808</v>
      </c>
      <c r="S724" t="s">
        <v>2261</v>
      </c>
      <c r="T724" t="s">
        <v>2265</v>
      </c>
      <c r="U724" s="1" t="str">
        <f t="shared" si="58"/>
        <v>Not Delivered</v>
      </c>
      <c r="V724">
        <f t="shared" si="59"/>
        <v>46464</v>
      </c>
    </row>
    <row r="725" spans="1:22" x14ac:dyDescent="0.3">
      <c r="A725" t="s">
        <v>743</v>
      </c>
      <c r="B725">
        <v>2024</v>
      </c>
      <c r="C725" s="1">
        <v>45358</v>
      </c>
      <c r="D725" t="s">
        <v>823</v>
      </c>
      <c r="E725" t="s">
        <v>1331</v>
      </c>
      <c r="F725" t="s">
        <v>2090</v>
      </c>
      <c r="G725" t="s">
        <v>2167</v>
      </c>
      <c r="H725" t="s">
        <v>2168</v>
      </c>
      <c r="I725" t="s">
        <v>2200</v>
      </c>
      <c r="J725" t="s">
        <v>2212</v>
      </c>
      <c r="K725" t="s">
        <v>2215</v>
      </c>
      <c r="L725" t="s">
        <v>2243</v>
      </c>
      <c r="M725" t="s">
        <v>2258</v>
      </c>
      <c r="N725">
        <v>3</v>
      </c>
      <c r="O725">
        <f t="shared" si="55"/>
        <v>77440</v>
      </c>
      <c r="P725">
        <f t="shared" si="56"/>
        <v>232320</v>
      </c>
      <c r="Q725">
        <v>20</v>
      </c>
      <c r="R725">
        <f t="shared" si="57"/>
        <v>185856</v>
      </c>
      <c r="S725" t="s">
        <v>2262</v>
      </c>
      <c r="T725" t="s">
        <v>2266</v>
      </c>
      <c r="U725" s="1">
        <f t="shared" si="58"/>
        <v>45365</v>
      </c>
      <c r="V725">
        <f t="shared" si="59"/>
        <v>34848</v>
      </c>
    </row>
    <row r="726" spans="1:22" x14ac:dyDescent="0.3">
      <c r="A726" t="s">
        <v>744</v>
      </c>
      <c r="B726">
        <v>2024</v>
      </c>
      <c r="C726" s="1">
        <v>45569</v>
      </c>
      <c r="D726" t="s">
        <v>828</v>
      </c>
      <c r="E726" t="s">
        <v>1148</v>
      </c>
      <c r="F726" t="s">
        <v>2091</v>
      </c>
      <c r="G726" t="s">
        <v>2167</v>
      </c>
      <c r="H726" t="s">
        <v>2181</v>
      </c>
      <c r="I726" t="s">
        <v>2209</v>
      </c>
      <c r="J726" t="s">
        <v>2213</v>
      </c>
      <c r="K726" t="s">
        <v>2224</v>
      </c>
      <c r="L726" t="s">
        <v>2245</v>
      </c>
      <c r="M726" t="s">
        <v>2251</v>
      </c>
      <c r="N726">
        <v>1</v>
      </c>
      <c r="O726">
        <f t="shared" si="55"/>
        <v>77440</v>
      </c>
      <c r="P726">
        <f t="shared" si="56"/>
        <v>77440</v>
      </c>
      <c r="Q726">
        <v>0</v>
      </c>
      <c r="R726">
        <f t="shared" si="57"/>
        <v>77440</v>
      </c>
      <c r="S726" t="s">
        <v>2261</v>
      </c>
      <c r="T726" t="s">
        <v>2266</v>
      </c>
      <c r="U726" s="1">
        <f t="shared" si="58"/>
        <v>45576</v>
      </c>
      <c r="V726">
        <f t="shared" si="59"/>
        <v>11616</v>
      </c>
    </row>
    <row r="727" spans="1:22" x14ac:dyDescent="0.3">
      <c r="A727" t="s">
        <v>745</v>
      </c>
      <c r="B727">
        <v>2024</v>
      </c>
      <c r="C727" s="1">
        <v>45575</v>
      </c>
      <c r="D727" t="s">
        <v>821</v>
      </c>
      <c r="E727" t="s">
        <v>937</v>
      </c>
      <c r="F727" t="s">
        <v>2092</v>
      </c>
      <c r="G727" t="s">
        <v>2167</v>
      </c>
      <c r="H727" t="s">
        <v>2168</v>
      </c>
      <c r="I727" t="s">
        <v>2200</v>
      </c>
      <c r="J727" t="s">
        <v>2212</v>
      </c>
      <c r="K727" t="s">
        <v>2217</v>
      </c>
      <c r="L727" t="s">
        <v>2244</v>
      </c>
      <c r="M727" t="s">
        <v>2251</v>
      </c>
      <c r="N727">
        <v>2</v>
      </c>
      <c r="O727">
        <f t="shared" si="55"/>
        <v>77440</v>
      </c>
      <c r="P727">
        <f t="shared" si="56"/>
        <v>154880</v>
      </c>
      <c r="Q727">
        <v>10</v>
      </c>
      <c r="R727">
        <f t="shared" si="57"/>
        <v>139392</v>
      </c>
      <c r="S727" t="s">
        <v>2261</v>
      </c>
      <c r="T727" t="s">
        <v>2264</v>
      </c>
      <c r="U727" s="1" t="str">
        <f t="shared" si="58"/>
        <v>Not Delivered</v>
      </c>
      <c r="V727">
        <f t="shared" si="59"/>
        <v>23232</v>
      </c>
    </row>
    <row r="728" spans="1:22" x14ac:dyDescent="0.3">
      <c r="A728" t="s">
        <v>746</v>
      </c>
      <c r="B728">
        <v>2024</v>
      </c>
      <c r="C728" s="1">
        <v>45637</v>
      </c>
      <c r="D728" t="s">
        <v>823</v>
      </c>
      <c r="E728" t="s">
        <v>1332</v>
      </c>
      <c r="F728" t="s">
        <v>2093</v>
      </c>
      <c r="G728" t="s">
        <v>2167</v>
      </c>
      <c r="H728" t="s">
        <v>2179</v>
      </c>
      <c r="I728" t="s">
        <v>2206</v>
      </c>
      <c r="J728" t="s">
        <v>2212</v>
      </c>
      <c r="K728" t="s">
        <v>2216</v>
      </c>
      <c r="L728" t="s">
        <v>2242</v>
      </c>
      <c r="M728" t="s">
        <v>2254</v>
      </c>
      <c r="N728">
        <v>1</v>
      </c>
      <c r="O728">
        <f t="shared" si="55"/>
        <v>77440</v>
      </c>
      <c r="P728">
        <f t="shared" si="56"/>
        <v>77440</v>
      </c>
      <c r="Q728">
        <v>10</v>
      </c>
      <c r="R728">
        <f t="shared" si="57"/>
        <v>69696</v>
      </c>
      <c r="S728" t="s">
        <v>2260</v>
      </c>
      <c r="T728" t="s">
        <v>2264</v>
      </c>
      <c r="U728" s="1" t="str">
        <f t="shared" si="58"/>
        <v>Not Delivered</v>
      </c>
      <c r="V728">
        <f t="shared" si="59"/>
        <v>11616</v>
      </c>
    </row>
    <row r="729" spans="1:22" x14ac:dyDescent="0.3">
      <c r="A729" t="s">
        <v>747</v>
      </c>
      <c r="B729">
        <v>2025</v>
      </c>
      <c r="C729" s="1">
        <v>45806</v>
      </c>
      <c r="D729" t="s">
        <v>821</v>
      </c>
      <c r="E729" t="s">
        <v>1333</v>
      </c>
      <c r="F729" t="s">
        <v>2094</v>
      </c>
      <c r="G729" t="s">
        <v>2167</v>
      </c>
      <c r="H729" t="s">
        <v>2192</v>
      </c>
      <c r="I729" t="s">
        <v>2207</v>
      </c>
      <c r="J729" t="s">
        <v>2211</v>
      </c>
      <c r="K729" t="s">
        <v>2237</v>
      </c>
      <c r="L729" t="s">
        <v>2246</v>
      </c>
      <c r="M729" t="s">
        <v>2255</v>
      </c>
      <c r="N729">
        <v>5</v>
      </c>
      <c r="O729">
        <f t="shared" si="55"/>
        <v>77440</v>
      </c>
      <c r="P729">
        <f t="shared" si="56"/>
        <v>387200</v>
      </c>
      <c r="Q729">
        <v>0</v>
      </c>
      <c r="R729">
        <f t="shared" si="57"/>
        <v>387200</v>
      </c>
      <c r="S729" t="s">
        <v>2260</v>
      </c>
      <c r="T729" t="s">
        <v>2264</v>
      </c>
      <c r="U729" s="1" t="str">
        <f t="shared" si="58"/>
        <v>Not Delivered</v>
      </c>
      <c r="V729">
        <f t="shared" si="59"/>
        <v>58080</v>
      </c>
    </row>
    <row r="730" spans="1:22" x14ac:dyDescent="0.3">
      <c r="A730" t="s">
        <v>748</v>
      </c>
      <c r="B730">
        <v>2024</v>
      </c>
      <c r="C730" s="1">
        <v>45656</v>
      </c>
      <c r="D730" t="s">
        <v>822</v>
      </c>
      <c r="E730" t="s">
        <v>1334</v>
      </c>
      <c r="F730" t="s">
        <v>2095</v>
      </c>
      <c r="G730" t="s">
        <v>2167</v>
      </c>
      <c r="H730" t="s">
        <v>2183</v>
      </c>
      <c r="I730" t="s">
        <v>2204</v>
      </c>
      <c r="J730" t="s">
        <v>2213</v>
      </c>
      <c r="K730" t="s">
        <v>2229</v>
      </c>
      <c r="L730" t="s">
        <v>2246</v>
      </c>
      <c r="M730" t="s">
        <v>2248</v>
      </c>
      <c r="N730">
        <v>5</v>
      </c>
      <c r="O730">
        <f t="shared" si="55"/>
        <v>77440</v>
      </c>
      <c r="P730">
        <f t="shared" si="56"/>
        <v>387200</v>
      </c>
      <c r="Q730">
        <v>15</v>
      </c>
      <c r="R730">
        <f t="shared" si="57"/>
        <v>329120</v>
      </c>
      <c r="S730" t="s">
        <v>2261</v>
      </c>
      <c r="T730" t="s">
        <v>2266</v>
      </c>
      <c r="U730" s="1">
        <f t="shared" si="58"/>
        <v>45663</v>
      </c>
      <c r="V730">
        <f t="shared" si="59"/>
        <v>58080</v>
      </c>
    </row>
    <row r="731" spans="1:22" x14ac:dyDescent="0.3">
      <c r="A731" t="s">
        <v>749</v>
      </c>
      <c r="B731">
        <v>2024</v>
      </c>
      <c r="C731" s="1">
        <v>45509</v>
      </c>
      <c r="D731" t="s">
        <v>823</v>
      </c>
      <c r="E731" t="s">
        <v>1335</v>
      </c>
      <c r="F731" t="s">
        <v>2096</v>
      </c>
      <c r="G731" t="s">
        <v>2167</v>
      </c>
      <c r="H731" t="s">
        <v>2193</v>
      </c>
      <c r="I731" t="s">
        <v>2206</v>
      </c>
      <c r="J731" t="s">
        <v>2213</v>
      </c>
      <c r="K731" t="s">
        <v>2216</v>
      </c>
      <c r="L731" t="s">
        <v>2242</v>
      </c>
      <c r="M731" t="s">
        <v>2250</v>
      </c>
      <c r="N731">
        <v>5</v>
      </c>
      <c r="O731">
        <f t="shared" si="55"/>
        <v>77440</v>
      </c>
      <c r="P731">
        <f t="shared" si="56"/>
        <v>387200</v>
      </c>
      <c r="Q731">
        <v>0</v>
      </c>
      <c r="R731">
        <f t="shared" si="57"/>
        <v>387200</v>
      </c>
      <c r="S731" t="s">
        <v>2261</v>
      </c>
      <c r="T731" t="s">
        <v>2264</v>
      </c>
      <c r="U731" s="1" t="str">
        <f t="shared" si="58"/>
        <v>Not Delivered</v>
      </c>
      <c r="V731">
        <f t="shared" si="59"/>
        <v>58080</v>
      </c>
    </row>
    <row r="732" spans="1:22" x14ac:dyDescent="0.3">
      <c r="A732" t="s">
        <v>750</v>
      </c>
      <c r="B732">
        <v>2025</v>
      </c>
      <c r="C732" s="1">
        <v>45775</v>
      </c>
      <c r="D732" t="s">
        <v>827</v>
      </c>
      <c r="E732" t="s">
        <v>1145</v>
      </c>
      <c r="F732" t="s">
        <v>2097</v>
      </c>
      <c r="G732" t="s">
        <v>2167</v>
      </c>
      <c r="H732" t="s">
        <v>2189</v>
      </c>
      <c r="I732" t="s">
        <v>2202</v>
      </c>
      <c r="J732" t="s">
        <v>2210</v>
      </c>
      <c r="K732" t="s">
        <v>2222</v>
      </c>
      <c r="L732" t="s">
        <v>2247</v>
      </c>
      <c r="M732" t="s">
        <v>2248</v>
      </c>
      <c r="N732">
        <v>5</v>
      </c>
      <c r="O732">
        <f t="shared" si="55"/>
        <v>77440</v>
      </c>
      <c r="P732">
        <f t="shared" si="56"/>
        <v>387200</v>
      </c>
      <c r="Q732">
        <v>20</v>
      </c>
      <c r="R732">
        <f t="shared" si="57"/>
        <v>309760</v>
      </c>
      <c r="S732" t="s">
        <v>2262</v>
      </c>
      <c r="T732" t="s">
        <v>2265</v>
      </c>
      <c r="U732" s="1" t="str">
        <f t="shared" si="58"/>
        <v>Not Delivered</v>
      </c>
      <c r="V732">
        <f t="shared" si="59"/>
        <v>58080</v>
      </c>
    </row>
    <row r="733" spans="1:22" x14ac:dyDescent="0.3">
      <c r="A733" t="s">
        <v>751</v>
      </c>
      <c r="B733">
        <v>2024</v>
      </c>
      <c r="C733" s="1">
        <v>45606</v>
      </c>
      <c r="D733" t="s">
        <v>820</v>
      </c>
      <c r="E733" t="s">
        <v>1336</v>
      </c>
      <c r="F733" t="s">
        <v>2098</v>
      </c>
      <c r="G733" t="s">
        <v>2167</v>
      </c>
      <c r="H733" t="s">
        <v>2176</v>
      </c>
      <c r="I733" t="s">
        <v>2205</v>
      </c>
      <c r="J733" t="s">
        <v>2213</v>
      </c>
      <c r="K733" t="s">
        <v>2226</v>
      </c>
      <c r="L733" t="s">
        <v>2244</v>
      </c>
      <c r="M733" t="s">
        <v>2251</v>
      </c>
      <c r="N733">
        <v>5</v>
      </c>
      <c r="O733">
        <f t="shared" si="55"/>
        <v>77440</v>
      </c>
      <c r="P733">
        <f t="shared" si="56"/>
        <v>387200</v>
      </c>
      <c r="Q733">
        <v>20</v>
      </c>
      <c r="R733">
        <f t="shared" si="57"/>
        <v>309760</v>
      </c>
      <c r="S733" t="s">
        <v>2263</v>
      </c>
      <c r="T733" t="s">
        <v>2264</v>
      </c>
      <c r="U733" s="1" t="str">
        <f t="shared" si="58"/>
        <v>Not Delivered</v>
      </c>
      <c r="V733">
        <f t="shared" si="59"/>
        <v>58080</v>
      </c>
    </row>
    <row r="734" spans="1:22" x14ac:dyDescent="0.3">
      <c r="A734" t="s">
        <v>752</v>
      </c>
      <c r="B734">
        <v>2025</v>
      </c>
      <c r="C734" s="1">
        <v>45722</v>
      </c>
      <c r="D734" t="s">
        <v>820</v>
      </c>
      <c r="E734" t="s">
        <v>1337</v>
      </c>
      <c r="F734" t="s">
        <v>2099</v>
      </c>
      <c r="G734" t="s">
        <v>2167</v>
      </c>
      <c r="H734" t="s">
        <v>2198</v>
      </c>
      <c r="I734" t="s">
        <v>2207</v>
      </c>
      <c r="J734" t="s">
        <v>2212</v>
      </c>
      <c r="K734" t="s">
        <v>2237</v>
      </c>
      <c r="L734" t="s">
        <v>2246</v>
      </c>
      <c r="M734" t="s">
        <v>2252</v>
      </c>
      <c r="N734">
        <v>4</v>
      </c>
      <c r="O734">
        <f t="shared" si="55"/>
        <v>77440</v>
      </c>
      <c r="P734">
        <f t="shared" si="56"/>
        <v>309760</v>
      </c>
      <c r="Q734">
        <v>5</v>
      </c>
      <c r="R734">
        <f t="shared" si="57"/>
        <v>294272</v>
      </c>
      <c r="S734" t="s">
        <v>2260</v>
      </c>
      <c r="T734" t="s">
        <v>2266</v>
      </c>
      <c r="U734" s="1">
        <f t="shared" si="58"/>
        <v>45729</v>
      </c>
      <c r="V734">
        <f t="shared" si="59"/>
        <v>46464</v>
      </c>
    </row>
    <row r="735" spans="1:22" x14ac:dyDescent="0.3">
      <c r="A735" t="s">
        <v>753</v>
      </c>
      <c r="B735">
        <v>2025</v>
      </c>
      <c r="C735" s="1">
        <v>45740</v>
      </c>
      <c r="D735" t="s">
        <v>823</v>
      </c>
      <c r="E735" t="s">
        <v>1012</v>
      </c>
      <c r="F735" t="s">
        <v>2100</v>
      </c>
      <c r="G735" t="s">
        <v>2167</v>
      </c>
      <c r="H735" t="s">
        <v>2189</v>
      </c>
      <c r="I735" t="s">
        <v>2202</v>
      </c>
      <c r="J735" t="s">
        <v>2213</v>
      </c>
      <c r="K735" t="s">
        <v>2238</v>
      </c>
      <c r="L735" t="s">
        <v>2246</v>
      </c>
      <c r="M735" t="s">
        <v>2249</v>
      </c>
      <c r="N735">
        <v>1</v>
      </c>
      <c r="O735">
        <f t="shared" si="55"/>
        <v>77440</v>
      </c>
      <c r="P735">
        <f t="shared" si="56"/>
        <v>77440</v>
      </c>
      <c r="Q735">
        <v>5</v>
      </c>
      <c r="R735">
        <f t="shared" si="57"/>
        <v>73568</v>
      </c>
      <c r="S735" t="s">
        <v>2262</v>
      </c>
      <c r="T735" t="s">
        <v>2265</v>
      </c>
      <c r="U735" s="1" t="str">
        <f t="shared" si="58"/>
        <v>Not Delivered</v>
      </c>
      <c r="V735">
        <f t="shared" si="59"/>
        <v>11616</v>
      </c>
    </row>
    <row r="736" spans="1:22" x14ac:dyDescent="0.3">
      <c r="A736" t="s">
        <v>754</v>
      </c>
      <c r="B736">
        <v>2024</v>
      </c>
      <c r="C736" s="1">
        <v>45324</v>
      </c>
      <c r="D736" t="s">
        <v>825</v>
      </c>
      <c r="E736" t="s">
        <v>1338</v>
      </c>
      <c r="F736" t="s">
        <v>2101</v>
      </c>
      <c r="G736" t="s">
        <v>2167</v>
      </c>
      <c r="H736" t="s">
        <v>2168</v>
      </c>
      <c r="I736" t="s">
        <v>2200</v>
      </c>
      <c r="J736" t="s">
        <v>2211</v>
      </c>
      <c r="K736" t="s">
        <v>2224</v>
      </c>
      <c r="L736" t="s">
        <v>2245</v>
      </c>
      <c r="M736" t="s">
        <v>2248</v>
      </c>
      <c r="N736">
        <v>5</v>
      </c>
      <c r="O736">
        <f t="shared" si="55"/>
        <v>77440</v>
      </c>
      <c r="P736">
        <f t="shared" si="56"/>
        <v>387200</v>
      </c>
      <c r="Q736">
        <v>0</v>
      </c>
      <c r="R736">
        <f t="shared" si="57"/>
        <v>387200</v>
      </c>
      <c r="S736" t="s">
        <v>2260</v>
      </c>
      <c r="T736" t="s">
        <v>2264</v>
      </c>
      <c r="U736" s="1" t="str">
        <f t="shared" si="58"/>
        <v>Not Delivered</v>
      </c>
      <c r="V736">
        <f t="shared" si="59"/>
        <v>58080</v>
      </c>
    </row>
    <row r="737" spans="1:22" x14ac:dyDescent="0.3">
      <c r="A737" t="s">
        <v>755</v>
      </c>
      <c r="B737">
        <v>2024</v>
      </c>
      <c r="C737" s="1">
        <v>45573</v>
      </c>
      <c r="D737" t="s">
        <v>825</v>
      </c>
      <c r="E737" t="s">
        <v>1094</v>
      </c>
      <c r="F737" t="s">
        <v>2102</v>
      </c>
      <c r="G737" t="s">
        <v>2167</v>
      </c>
      <c r="H737" t="s">
        <v>2180</v>
      </c>
      <c r="I737" t="s">
        <v>2208</v>
      </c>
      <c r="J737" t="s">
        <v>2211</v>
      </c>
      <c r="K737" t="s">
        <v>2220</v>
      </c>
      <c r="L737" t="s">
        <v>2245</v>
      </c>
      <c r="M737" t="s">
        <v>2253</v>
      </c>
      <c r="N737">
        <v>3</v>
      </c>
      <c r="O737">
        <f t="shared" si="55"/>
        <v>77440</v>
      </c>
      <c r="P737">
        <f t="shared" si="56"/>
        <v>232320</v>
      </c>
      <c r="Q737">
        <v>15</v>
      </c>
      <c r="R737">
        <f t="shared" si="57"/>
        <v>197472</v>
      </c>
      <c r="S737" t="s">
        <v>2260</v>
      </c>
      <c r="T737" t="s">
        <v>2265</v>
      </c>
      <c r="U737" s="1" t="str">
        <f t="shared" si="58"/>
        <v>Not Delivered</v>
      </c>
      <c r="V737">
        <f t="shared" si="59"/>
        <v>34848</v>
      </c>
    </row>
    <row r="738" spans="1:22" x14ac:dyDescent="0.3">
      <c r="A738" t="s">
        <v>756</v>
      </c>
      <c r="B738">
        <v>2024</v>
      </c>
      <c r="C738" s="1">
        <v>45537</v>
      </c>
      <c r="D738" t="s">
        <v>822</v>
      </c>
      <c r="E738" t="s">
        <v>1339</v>
      </c>
      <c r="F738" t="s">
        <v>2103</v>
      </c>
      <c r="G738" t="s">
        <v>2167</v>
      </c>
      <c r="H738" t="s">
        <v>2175</v>
      </c>
      <c r="I738" t="s">
        <v>2203</v>
      </c>
      <c r="J738" t="s">
        <v>2212</v>
      </c>
      <c r="K738" t="s">
        <v>2241</v>
      </c>
      <c r="L738" t="s">
        <v>2247</v>
      </c>
      <c r="M738" t="s">
        <v>2250</v>
      </c>
      <c r="N738">
        <v>2</v>
      </c>
      <c r="O738">
        <f t="shared" si="55"/>
        <v>77440</v>
      </c>
      <c r="P738">
        <f t="shared" si="56"/>
        <v>154880</v>
      </c>
      <c r="Q738">
        <v>0</v>
      </c>
      <c r="R738">
        <f t="shared" si="57"/>
        <v>154880</v>
      </c>
      <c r="S738" t="s">
        <v>2261</v>
      </c>
      <c r="T738" t="s">
        <v>2266</v>
      </c>
      <c r="U738" s="1">
        <f t="shared" si="58"/>
        <v>45544</v>
      </c>
      <c r="V738">
        <f t="shared" si="59"/>
        <v>23232</v>
      </c>
    </row>
    <row r="739" spans="1:22" x14ac:dyDescent="0.3">
      <c r="A739" t="s">
        <v>757</v>
      </c>
      <c r="B739">
        <v>2025</v>
      </c>
      <c r="C739" s="1">
        <v>45738</v>
      </c>
      <c r="D739" t="s">
        <v>824</v>
      </c>
      <c r="E739" t="s">
        <v>1056</v>
      </c>
      <c r="F739" t="s">
        <v>2104</v>
      </c>
      <c r="G739" t="s">
        <v>2167</v>
      </c>
      <c r="H739" t="s">
        <v>2197</v>
      </c>
      <c r="I739" t="s">
        <v>2209</v>
      </c>
      <c r="J739" t="s">
        <v>2212</v>
      </c>
      <c r="K739" t="s">
        <v>2235</v>
      </c>
      <c r="L739" t="s">
        <v>2247</v>
      </c>
      <c r="M739" t="s">
        <v>2250</v>
      </c>
      <c r="N739">
        <v>4</v>
      </c>
      <c r="O739">
        <f t="shared" si="55"/>
        <v>77440</v>
      </c>
      <c r="P739">
        <f t="shared" si="56"/>
        <v>309760</v>
      </c>
      <c r="Q739">
        <v>20</v>
      </c>
      <c r="R739">
        <f t="shared" si="57"/>
        <v>247808</v>
      </c>
      <c r="S739" t="s">
        <v>2261</v>
      </c>
      <c r="T739" t="s">
        <v>2265</v>
      </c>
      <c r="U739" s="1" t="str">
        <f t="shared" si="58"/>
        <v>Not Delivered</v>
      </c>
      <c r="V739">
        <f t="shared" si="59"/>
        <v>46464</v>
      </c>
    </row>
    <row r="740" spans="1:22" x14ac:dyDescent="0.3">
      <c r="A740" t="s">
        <v>758</v>
      </c>
      <c r="B740">
        <v>2024</v>
      </c>
      <c r="C740" s="1">
        <v>45313</v>
      </c>
      <c r="D740" t="s">
        <v>828</v>
      </c>
      <c r="E740" t="s">
        <v>1324</v>
      </c>
      <c r="F740" t="s">
        <v>2105</v>
      </c>
      <c r="G740" t="s">
        <v>2167</v>
      </c>
      <c r="H740" t="s">
        <v>2175</v>
      </c>
      <c r="I740" t="s">
        <v>2203</v>
      </c>
      <c r="J740" t="s">
        <v>2213</v>
      </c>
      <c r="K740" t="s">
        <v>2216</v>
      </c>
      <c r="L740" t="s">
        <v>2242</v>
      </c>
      <c r="M740" t="s">
        <v>2257</v>
      </c>
      <c r="N740">
        <v>4</v>
      </c>
      <c r="O740">
        <f t="shared" si="55"/>
        <v>77440</v>
      </c>
      <c r="P740">
        <f t="shared" si="56"/>
        <v>309760</v>
      </c>
      <c r="Q740">
        <v>15</v>
      </c>
      <c r="R740">
        <f t="shared" si="57"/>
        <v>263296</v>
      </c>
      <c r="S740" t="s">
        <v>2260</v>
      </c>
      <c r="T740" t="s">
        <v>2264</v>
      </c>
      <c r="U740" s="1" t="str">
        <f t="shared" si="58"/>
        <v>Not Delivered</v>
      </c>
      <c r="V740">
        <f t="shared" si="59"/>
        <v>46464</v>
      </c>
    </row>
    <row r="741" spans="1:22" x14ac:dyDescent="0.3">
      <c r="A741" t="s">
        <v>759</v>
      </c>
      <c r="B741">
        <v>2025</v>
      </c>
      <c r="C741" s="1">
        <v>45826</v>
      </c>
      <c r="D741" t="s">
        <v>825</v>
      </c>
      <c r="E741" t="s">
        <v>1110</v>
      </c>
      <c r="F741" t="s">
        <v>2106</v>
      </c>
      <c r="G741" t="s">
        <v>2167</v>
      </c>
      <c r="H741" t="s">
        <v>2181</v>
      </c>
      <c r="I741" t="s">
        <v>2209</v>
      </c>
      <c r="J741" t="s">
        <v>2213</v>
      </c>
      <c r="K741" t="s">
        <v>2227</v>
      </c>
      <c r="L741" t="s">
        <v>2247</v>
      </c>
      <c r="M741" t="s">
        <v>2254</v>
      </c>
      <c r="N741">
        <v>5</v>
      </c>
      <c r="O741">
        <f t="shared" si="55"/>
        <v>77440</v>
      </c>
      <c r="P741">
        <f t="shared" si="56"/>
        <v>387200</v>
      </c>
      <c r="Q741">
        <v>15</v>
      </c>
      <c r="R741">
        <f t="shared" si="57"/>
        <v>329120</v>
      </c>
      <c r="S741" t="s">
        <v>2262</v>
      </c>
      <c r="T741" t="s">
        <v>2265</v>
      </c>
      <c r="U741" s="1" t="str">
        <f t="shared" si="58"/>
        <v>Not Delivered</v>
      </c>
      <c r="V741">
        <f t="shared" si="59"/>
        <v>58080</v>
      </c>
    </row>
    <row r="742" spans="1:22" x14ac:dyDescent="0.3">
      <c r="A742" t="s">
        <v>760</v>
      </c>
      <c r="B742">
        <v>2025</v>
      </c>
      <c r="C742" s="1">
        <v>45741</v>
      </c>
      <c r="D742" t="s">
        <v>821</v>
      </c>
      <c r="E742" t="s">
        <v>957</v>
      </c>
      <c r="F742" t="s">
        <v>2107</v>
      </c>
      <c r="G742" t="s">
        <v>2167</v>
      </c>
      <c r="H742" t="s">
        <v>2176</v>
      </c>
      <c r="I742" t="s">
        <v>2205</v>
      </c>
      <c r="J742" t="s">
        <v>2211</v>
      </c>
      <c r="K742" t="s">
        <v>2219</v>
      </c>
      <c r="L742" t="s">
        <v>2243</v>
      </c>
      <c r="M742" t="s">
        <v>2259</v>
      </c>
      <c r="N742">
        <v>5</v>
      </c>
      <c r="O742">
        <f t="shared" si="55"/>
        <v>77440</v>
      </c>
      <c r="P742">
        <f t="shared" si="56"/>
        <v>387200</v>
      </c>
      <c r="Q742">
        <v>0</v>
      </c>
      <c r="R742">
        <f t="shared" si="57"/>
        <v>387200</v>
      </c>
      <c r="S742" t="s">
        <v>2262</v>
      </c>
      <c r="T742" t="s">
        <v>2265</v>
      </c>
      <c r="U742" s="1" t="str">
        <f t="shared" si="58"/>
        <v>Not Delivered</v>
      </c>
      <c r="V742">
        <f t="shared" si="59"/>
        <v>58080</v>
      </c>
    </row>
    <row r="743" spans="1:22" x14ac:dyDescent="0.3">
      <c r="A743" t="s">
        <v>761</v>
      </c>
      <c r="B743">
        <v>2024</v>
      </c>
      <c r="C743" s="1">
        <v>45564</v>
      </c>
      <c r="D743" t="s">
        <v>823</v>
      </c>
      <c r="E743" t="s">
        <v>990</v>
      </c>
      <c r="F743" t="s">
        <v>2108</v>
      </c>
      <c r="G743" t="s">
        <v>2167</v>
      </c>
      <c r="H743" t="s">
        <v>2197</v>
      </c>
      <c r="I743" t="s">
        <v>2209</v>
      </c>
      <c r="J743" t="s">
        <v>2212</v>
      </c>
      <c r="K743" t="s">
        <v>2241</v>
      </c>
      <c r="L743" t="s">
        <v>2247</v>
      </c>
      <c r="M743" t="s">
        <v>2255</v>
      </c>
      <c r="N743">
        <v>5</v>
      </c>
      <c r="O743">
        <f t="shared" si="55"/>
        <v>77440</v>
      </c>
      <c r="P743">
        <f t="shared" si="56"/>
        <v>387200</v>
      </c>
      <c r="Q743">
        <v>15</v>
      </c>
      <c r="R743">
        <f t="shared" si="57"/>
        <v>329120</v>
      </c>
      <c r="S743" t="s">
        <v>2262</v>
      </c>
      <c r="T743" t="s">
        <v>2264</v>
      </c>
      <c r="U743" s="1" t="str">
        <f t="shared" si="58"/>
        <v>Not Delivered</v>
      </c>
      <c r="V743">
        <f t="shared" si="59"/>
        <v>58080</v>
      </c>
    </row>
    <row r="744" spans="1:22" x14ac:dyDescent="0.3">
      <c r="A744" t="s">
        <v>762</v>
      </c>
      <c r="B744">
        <v>2024</v>
      </c>
      <c r="C744" s="1">
        <v>45519</v>
      </c>
      <c r="D744" t="s">
        <v>826</v>
      </c>
      <c r="E744" t="s">
        <v>1329</v>
      </c>
      <c r="F744" t="s">
        <v>2109</v>
      </c>
      <c r="G744" t="s">
        <v>2167</v>
      </c>
      <c r="H744" t="s">
        <v>2181</v>
      </c>
      <c r="I744" t="s">
        <v>2209</v>
      </c>
      <c r="J744" t="s">
        <v>2212</v>
      </c>
      <c r="K744" t="s">
        <v>2230</v>
      </c>
      <c r="L744" t="s">
        <v>2247</v>
      </c>
      <c r="M744" t="s">
        <v>2251</v>
      </c>
      <c r="N744">
        <v>3</v>
      </c>
      <c r="O744">
        <f t="shared" si="55"/>
        <v>77440</v>
      </c>
      <c r="P744">
        <f t="shared" si="56"/>
        <v>232320</v>
      </c>
      <c r="Q744">
        <v>0</v>
      </c>
      <c r="R744">
        <f t="shared" si="57"/>
        <v>232320</v>
      </c>
      <c r="S744" t="s">
        <v>2260</v>
      </c>
      <c r="T744" t="s">
        <v>2264</v>
      </c>
      <c r="U744" s="1" t="str">
        <f t="shared" si="58"/>
        <v>Not Delivered</v>
      </c>
      <c r="V744">
        <f t="shared" si="59"/>
        <v>34848</v>
      </c>
    </row>
    <row r="745" spans="1:22" x14ac:dyDescent="0.3">
      <c r="A745" t="s">
        <v>763</v>
      </c>
      <c r="B745">
        <v>2024</v>
      </c>
      <c r="C745" s="1">
        <v>45543</v>
      </c>
      <c r="D745" t="s">
        <v>826</v>
      </c>
      <c r="E745" t="s">
        <v>1340</v>
      </c>
      <c r="F745" t="s">
        <v>2110</v>
      </c>
      <c r="G745" t="s">
        <v>2167</v>
      </c>
      <c r="H745" t="s">
        <v>2169</v>
      </c>
      <c r="I745" t="s">
        <v>2201</v>
      </c>
      <c r="J745" t="s">
        <v>2211</v>
      </c>
      <c r="K745" t="s">
        <v>2228</v>
      </c>
      <c r="L745" t="s">
        <v>2243</v>
      </c>
      <c r="M745" t="s">
        <v>2252</v>
      </c>
      <c r="N745">
        <v>1</v>
      </c>
      <c r="O745">
        <f t="shared" si="55"/>
        <v>77440</v>
      </c>
      <c r="P745">
        <f t="shared" si="56"/>
        <v>77440</v>
      </c>
      <c r="Q745">
        <v>10</v>
      </c>
      <c r="R745">
        <f t="shared" si="57"/>
        <v>69696</v>
      </c>
      <c r="S745" t="s">
        <v>2261</v>
      </c>
      <c r="T745" t="s">
        <v>2265</v>
      </c>
      <c r="U745" s="1" t="str">
        <f t="shared" si="58"/>
        <v>Not Delivered</v>
      </c>
      <c r="V745">
        <f t="shared" si="59"/>
        <v>11616</v>
      </c>
    </row>
    <row r="746" spans="1:22" x14ac:dyDescent="0.3">
      <c r="A746" t="s">
        <v>764</v>
      </c>
      <c r="B746">
        <v>2025</v>
      </c>
      <c r="C746" s="1">
        <v>45717</v>
      </c>
      <c r="D746" t="s">
        <v>828</v>
      </c>
      <c r="E746" t="s">
        <v>1099</v>
      </c>
      <c r="F746" t="s">
        <v>2111</v>
      </c>
      <c r="G746" t="s">
        <v>2167</v>
      </c>
      <c r="H746" t="s">
        <v>2181</v>
      </c>
      <c r="I746" t="s">
        <v>2209</v>
      </c>
      <c r="J746" t="s">
        <v>2211</v>
      </c>
      <c r="K746" t="s">
        <v>2233</v>
      </c>
      <c r="L746" t="s">
        <v>2245</v>
      </c>
      <c r="M746" t="s">
        <v>2252</v>
      </c>
      <c r="N746">
        <v>3</v>
      </c>
      <c r="O746">
        <f t="shared" si="55"/>
        <v>77440</v>
      </c>
      <c r="P746">
        <f t="shared" si="56"/>
        <v>232320</v>
      </c>
      <c r="Q746">
        <v>20</v>
      </c>
      <c r="R746">
        <f t="shared" si="57"/>
        <v>185856</v>
      </c>
      <c r="S746" t="s">
        <v>2261</v>
      </c>
      <c r="T746" t="s">
        <v>2264</v>
      </c>
      <c r="U746" s="1" t="str">
        <f t="shared" si="58"/>
        <v>Not Delivered</v>
      </c>
      <c r="V746">
        <f t="shared" si="59"/>
        <v>34848</v>
      </c>
    </row>
    <row r="747" spans="1:22" x14ac:dyDescent="0.3">
      <c r="A747" t="s">
        <v>765</v>
      </c>
      <c r="B747">
        <v>2025</v>
      </c>
      <c r="C747" s="1">
        <v>45744</v>
      </c>
      <c r="D747" t="s">
        <v>826</v>
      </c>
      <c r="E747" t="s">
        <v>1341</v>
      </c>
      <c r="F747" t="s">
        <v>2112</v>
      </c>
      <c r="G747" t="s">
        <v>2167</v>
      </c>
      <c r="H747" t="s">
        <v>2172</v>
      </c>
      <c r="I747" t="s">
        <v>2203</v>
      </c>
      <c r="J747" t="s">
        <v>2213</v>
      </c>
      <c r="K747" t="s">
        <v>2231</v>
      </c>
      <c r="L747" t="s">
        <v>2244</v>
      </c>
      <c r="M747" t="s">
        <v>2249</v>
      </c>
      <c r="N747">
        <v>4</v>
      </c>
      <c r="O747">
        <f t="shared" si="55"/>
        <v>77440</v>
      </c>
      <c r="P747">
        <f t="shared" si="56"/>
        <v>309760</v>
      </c>
      <c r="Q747">
        <v>20</v>
      </c>
      <c r="R747">
        <f t="shared" si="57"/>
        <v>247808</v>
      </c>
      <c r="S747" t="s">
        <v>2263</v>
      </c>
      <c r="T747" t="s">
        <v>2264</v>
      </c>
      <c r="U747" s="1" t="str">
        <f t="shared" si="58"/>
        <v>Not Delivered</v>
      </c>
      <c r="V747">
        <f t="shared" si="59"/>
        <v>46464</v>
      </c>
    </row>
    <row r="748" spans="1:22" x14ac:dyDescent="0.3">
      <c r="A748" t="s">
        <v>766</v>
      </c>
      <c r="B748">
        <v>2024</v>
      </c>
      <c r="C748" s="1">
        <v>45610</v>
      </c>
      <c r="D748" t="s">
        <v>828</v>
      </c>
      <c r="E748" t="s">
        <v>1342</v>
      </c>
      <c r="F748" t="s">
        <v>2113</v>
      </c>
      <c r="G748" t="s">
        <v>2167</v>
      </c>
      <c r="H748" t="s">
        <v>2177</v>
      </c>
      <c r="I748" t="s">
        <v>2206</v>
      </c>
      <c r="J748" t="s">
        <v>2210</v>
      </c>
      <c r="K748" t="s">
        <v>2225</v>
      </c>
      <c r="L748" t="s">
        <v>2243</v>
      </c>
      <c r="M748" t="s">
        <v>2259</v>
      </c>
      <c r="N748">
        <v>3</v>
      </c>
      <c r="O748">
        <f t="shared" si="55"/>
        <v>77440</v>
      </c>
      <c r="P748">
        <f t="shared" si="56"/>
        <v>232320</v>
      </c>
      <c r="Q748">
        <v>10</v>
      </c>
      <c r="R748">
        <f t="shared" si="57"/>
        <v>209088</v>
      </c>
      <c r="S748" t="s">
        <v>2260</v>
      </c>
      <c r="T748" t="s">
        <v>2264</v>
      </c>
      <c r="U748" s="1" t="str">
        <f t="shared" si="58"/>
        <v>Not Delivered</v>
      </c>
      <c r="V748">
        <f t="shared" si="59"/>
        <v>34848</v>
      </c>
    </row>
    <row r="749" spans="1:22" x14ac:dyDescent="0.3">
      <c r="A749" t="s">
        <v>767</v>
      </c>
      <c r="B749">
        <v>2024</v>
      </c>
      <c r="C749" s="1">
        <v>45538</v>
      </c>
      <c r="D749" t="s">
        <v>829</v>
      </c>
      <c r="E749" t="s">
        <v>1311</v>
      </c>
      <c r="F749" t="s">
        <v>2114</v>
      </c>
      <c r="G749" t="s">
        <v>2167</v>
      </c>
      <c r="H749" t="s">
        <v>2180</v>
      </c>
      <c r="I749" t="s">
        <v>2208</v>
      </c>
      <c r="J749" t="s">
        <v>2212</v>
      </c>
      <c r="K749" t="s">
        <v>2223</v>
      </c>
      <c r="L749" t="s">
        <v>2245</v>
      </c>
      <c r="M749" t="s">
        <v>2250</v>
      </c>
      <c r="N749">
        <v>5</v>
      </c>
      <c r="O749">
        <f t="shared" si="55"/>
        <v>77440</v>
      </c>
      <c r="P749">
        <f t="shared" si="56"/>
        <v>387200</v>
      </c>
      <c r="Q749">
        <v>10</v>
      </c>
      <c r="R749">
        <f t="shared" si="57"/>
        <v>348480</v>
      </c>
      <c r="S749" t="s">
        <v>2263</v>
      </c>
      <c r="T749" t="s">
        <v>2265</v>
      </c>
      <c r="U749" s="1" t="str">
        <f t="shared" si="58"/>
        <v>Not Delivered</v>
      </c>
      <c r="V749">
        <f t="shared" si="59"/>
        <v>58080</v>
      </c>
    </row>
    <row r="750" spans="1:22" x14ac:dyDescent="0.3">
      <c r="A750" t="s">
        <v>768</v>
      </c>
      <c r="B750">
        <v>2025</v>
      </c>
      <c r="C750" s="1">
        <v>45757</v>
      </c>
      <c r="D750" t="s">
        <v>827</v>
      </c>
      <c r="E750" t="s">
        <v>1215</v>
      </c>
      <c r="F750" t="s">
        <v>2115</v>
      </c>
      <c r="G750" t="s">
        <v>2167</v>
      </c>
      <c r="H750" t="s">
        <v>2187</v>
      </c>
      <c r="I750" t="s">
        <v>2209</v>
      </c>
      <c r="J750" t="s">
        <v>2213</v>
      </c>
      <c r="K750" t="s">
        <v>2221</v>
      </c>
      <c r="L750" t="s">
        <v>2246</v>
      </c>
      <c r="M750" t="s">
        <v>2252</v>
      </c>
      <c r="N750">
        <v>5</v>
      </c>
      <c r="O750">
        <f t="shared" si="55"/>
        <v>77440</v>
      </c>
      <c r="P750">
        <f t="shared" si="56"/>
        <v>387200</v>
      </c>
      <c r="Q750">
        <v>10</v>
      </c>
      <c r="R750">
        <f t="shared" si="57"/>
        <v>348480</v>
      </c>
      <c r="S750" t="s">
        <v>2262</v>
      </c>
      <c r="T750" t="s">
        <v>2264</v>
      </c>
      <c r="U750" s="1" t="str">
        <f t="shared" si="58"/>
        <v>Not Delivered</v>
      </c>
      <c r="V750">
        <f t="shared" si="59"/>
        <v>58080</v>
      </c>
    </row>
    <row r="751" spans="1:22" x14ac:dyDescent="0.3">
      <c r="A751" t="s">
        <v>769</v>
      </c>
      <c r="B751">
        <v>2024</v>
      </c>
      <c r="C751" s="1">
        <v>45322</v>
      </c>
      <c r="D751" t="s">
        <v>825</v>
      </c>
      <c r="E751" t="s">
        <v>1343</v>
      </c>
      <c r="F751" t="s">
        <v>2116</v>
      </c>
      <c r="G751" t="s">
        <v>2167</v>
      </c>
      <c r="H751" t="s">
        <v>2169</v>
      </c>
      <c r="I751" t="s">
        <v>2201</v>
      </c>
      <c r="J751" t="s">
        <v>2212</v>
      </c>
      <c r="K751" t="s">
        <v>2234</v>
      </c>
      <c r="L751" t="s">
        <v>2244</v>
      </c>
      <c r="M751" t="s">
        <v>2255</v>
      </c>
      <c r="N751">
        <v>3</v>
      </c>
      <c r="O751">
        <f t="shared" si="55"/>
        <v>77440</v>
      </c>
      <c r="P751">
        <f t="shared" si="56"/>
        <v>232320</v>
      </c>
      <c r="Q751">
        <v>0</v>
      </c>
      <c r="R751">
        <f t="shared" si="57"/>
        <v>232320</v>
      </c>
      <c r="S751" t="s">
        <v>2262</v>
      </c>
      <c r="T751" t="s">
        <v>2266</v>
      </c>
      <c r="U751" s="1">
        <f t="shared" si="58"/>
        <v>45329</v>
      </c>
      <c r="V751">
        <f t="shared" si="59"/>
        <v>34848</v>
      </c>
    </row>
    <row r="752" spans="1:22" x14ac:dyDescent="0.3">
      <c r="A752" t="s">
        <v>770</v>
      </c>
      <c r="B752">
        <v>2024</v>
      </c>
      <c r="C752" s="1">
        <v>45401</v>
      </c>
      <c r="D752" t="s">
        <v>825</v>
      </c>
      <c r="E752" t="s">
        <v>880</v>
      </c>
      <c r="F752" t="s">
        <v>2117</v>
      </c>
      <c r="G752" t="s">
        <v>2167</v>
      </c>
      <c r="H752" t="s">
        <v>2185</v>
      </c>
      <c r="I752" t="s">
        <v>2204</v>
      </c>
      <c r="J752" t="s">
        <v>2213</v>
      </c>
      <c r="K752" t="s">
        <v>2224</v>
      </c>
      <c r="L752" t="s">
        <v>2245</v>
      </c>
      <c r="M752" t="s">
        <v>2259</v>
      </c>
      <c r="N752">
        <v>5</v>
      </c>
      <c r="O752">
        <f t="shared" si="55"/>
        <v>77440</v>
      </c>
      <c r="P752">
        <f t="shared" si="56"/>
        <v>387200</v>
      </c>
      <c r="Q752">
        <v>5</v>
      </c>
      <c r="R752">
        <f t="shared" si="57"/>
        <v>367840</v>
      </c>
      <c r="S752" t="s">
        <v>2261</v>
      </c>
      <c r="T752" t="s">
        <v>2266</v>
      </c>
      <c r="U752" s="1">
        <f t="shared" si="58"/>
        <v>45408</v>
      </c>
      <c r="V752">
        <f t="shared" si="59"/>
        <v>58080</v>
      </c>
    </row>
    <row r="753" spans="1:22" x14ac:dyDescent="0.3">
      <c r="A753" t="s">
        <v>771</v>
      </c>
      <c r="B753">
        <v>2024</v>
      </c>
      <c r="C753" s="1">
        <v>45466</v>
      </c>
      <c r="D753" t="s">
        <v>827</v>
      </c>
      <c r="E753" t="s">
        <v>1027</v>
      </c>
      <c r="F753" t="s">
        <v>2118</v>
      </c>
      <c r="G753" t="s">
        <v>2167</v>
      </c>
      <c r="H753" t="s">
        <v>2187</v>
      </c>
      <c r="I753" t="s">
        <v>2209</v>
      </c>
      <c r="J753" t="s">
        <v>2212</v>
      </c>
      <c r="K753" t="s">
        <v>2241</v>
      </c>
      <c r="L753" t="s">
        <v>2247</v>
      </c>
      <c r="M753" t="s">
        <v>2252</v>
      </c>
      <c r="N753">
        <v>4</v>
      </c>
      <c r="O753">
        <f t="shared" si="55"/>
        <v>77440</v>
      </c>
      <c r="P753">
        <f t="shared" si="56"/>
        <v>309760</v>
      </c>
      <c r="Q753">
        <v>10</v>
      </c>
      <c r="R753">
        <f t="shared" si="57"/>
        <v>278784</v>
      </c>
      <c r="S753" t="s">
        <v>2261</v>
      </c>
      <c r="T753" t="s">
        <v>2266</v>
      </c>
      <c r="U753" s="1">
        <f t="shared" si="58"/>
        <v>45473</v>
      </c>
      <c r="V753">
        <f t="shared" si="59"/>
        <v>46464</v>
      </c>
    </row>
    <row r="754" spans="1:22" x14ac:dyDescent="0.3">
      <c r="A754" t="s">
        <v>772</v>
      </c>
      <c r="B754">
        <v>2024</v>
      </c>
      <c r="C754" s="1">
        <v>45655</v>
      </c>
      <c r="D754" t="s">
        <v>825</v>
      </c>
      <c r="E754" t="s">
        <v>1344</v>
      </c>
      <c r="F754" t="s">
        <v>2119</v>
      </c>
      <c r="G754" t="s">
        <v>2167</v>
      </c>
      <c r="H754" t="s">
        <v>2198</v>
      </c>
      <c r="I754" t="s">
        <v>2207</v>
      </c>
      <c r="J754" t="s">
        <v>2213</v>
      </c>
      <c r="K754" t="s">
        <v>2230</v>
      </c>
      <c r="L754" t="s">
        <v>2247</v>
      </c>
      <c r="M754" t="s">
        <v>2254</v>
      </c>
      <c r="N754">
        <v>1</v>
      </c>
      <c r="O754">
        <f t="shared" si="55"/>
        <v>77440</v>
      </c>
      <c r="P754">
        <f t="shared" si="56"/>
        <v>77440</v>
      </c>
      <c r="Q754">
        <v>5</v>
      </c>
      <c r="R754">
        <f t="shared" si="57"/>
        <v>73568</v>
      </c>
      <c r="S754" t="s">
        <v>2260</v>
      </c>
      <c r="T754" t="s">
        <v>2265</v>
      </c>
      <c r="U754" s="1" t="str">
        <f t="shared" si="58"/>
        <v>Not Delivered</v>
      </c>
      <c r="V754">
        <f t="shared" si="59"/>
        <v>11616</v>
      </c>
    </row>
    <row r="755" spans="1:22" x14ac:dyDescent="0.3">
      <c r="A755" t="s">
        <v>773</v>
      </c>
      <c r="B755">
        <v>2024</v>
      </c>
      <c r="C755" s="1">
        <v>45643</v>
      </c>
      <c r="D755" t="s">
        <v>827</v>
      </c>
      <c r="E755" t="s">
        <v>950</v>
      </c>
      <c r="F755" t="s">
        <v>2120</v>
      </c>
      <c r="G755" t="s">
        <v>2167</v>
      </c>
      <c r="H755" t="s">
        <v>2199</v>
      </c>
      <c r="I755" t="s">
        <v>2205</v>
      </c>
      <c r="J755" t="s">
        <v>2212</v>
      </c>
      <c r="K755" t="s">
        <v>2215</v>
      </c>
      <c r="L755" t="s">
        <v>2243</v>
      </c>
      <c r="M755" t="s">
        <v>2251</v>
      </c>
      <c r="N755">
        <v>5</v>
      </c>
      <c r="O755">
        <f t="shared" si="55"/>
        <v>77440</v>
      </c>
      <c r="P755">
        <f t="shared" si="56"/>
        <v>387200</v>
      </c>
      <c r="Q755">
        <v>5</v>
      </c>
      <c r="R755">
        <f t="shared" si="57"/>
        <v>367840</v>
      </c>
      <c r="S755" t="s">
        <v>2261</v>
      </c>
      <c r="T755" t="s">
        <v>2266</v>
      </c>
      <c r="U755" s="1">
        <f t="shared" si="58"/>
        <v>45650</v>
      </c>
      <c r="V755">
        <f t="shared" si="59"/>
        <v>58080</v>
      </c>
    </row>
    <row r="756" spans="1:22" x14ac:dyDescent="0.3">
      <c r="A756" t="s">
        <v>774</v>
      </c>
      <c r="B756">
        <v>2024</v>
      </c>
      <c r="C756" s="1">
        <v>45418</v>
      </c>
      <c r="D756" t="s">
        <v>828</v>
      </c>
      <c r="E756" t="s">
        <v>1345</v>
      </c>
      <c r="F756" t="s">
        <v>2121</v>
      </c>
      <c r="G756" t="s">
        <v>2167</v>
      </c>
      <c r="H756" t="s">
        <v>2198</v>
      </c>
      <c r="I756" t="s">
        <v>2207</v>
      </c>
      <c r="J756" t="s">
        <v>2210</v>
      </c>
      <c r="K756" t="s">
        <v>2233</v>
      </c>
      <c r="L756" t="s">
        <v>2245</v>
      </c>
      <c r="M756" t="s">
        <v>2253</v>
      </c>
      <c r="N756">
        <v>4</v>
      </c>
      <c r="O756">
        <f t="shared" si="55"/>
        <v>77440</v>
      </c>
      <c r="P756">
        <f t="shared" si="56"/>
        <v>309760</v>
      </c>
      <c r="Q756">
        <v>20</v>
      </c>
      <c r="R756">
        <f t="shared" si="57"/>
        <v>247808</v>
      </c>
      <c r="S756" t="s">
        <v>2260</v>
      </c>
      <c r="T756" t="s">
        <v>2265</v>
      </c>
      <c r="U756" s="1" t="str">
        <f t="shared" si="58"/>
        <v>Not Delivered</v>
      </c>
      <c r="V756">
        <f t="shared" si="59"/>
        <v>46464</v>
      </c>
    </row>
    <row r="757" spans="1:22" x14ac:dyDescent="0.3">
      <c r="A757" t="s">
        <v>775</v>
      </c>
      <c r="B757">
        <v>2025</v>
      </c>
      <c r="C757" s="1">
        <v>45763</v>
      </c>
      <c r="D757" t="s">
        <v>825</v>
      </c>
      <c r="E757" t="s">
        <v>1346</v>
      </c>
      <c r="F757" t="s">
        <v>2122</v>
      </c>
      <c r="G757" t="s">
        <v>2167</v>
      </c>
      <c r="H757" t="s">
        <v>2168</v>
      </c>
      <c r="I757" t="s">
        <v>2200</v>
      </c>
      <c r="J757" t="s">
        <v>2213</v>
      </c>
      <c r="K757" t="s">
        <v>2220</v>
      </c>
      <c r="L757" t="s">
        <v>2245</v>
      </c>
      <c r="M757" t="s">
        <v>2255</v>
      </c>
      <c r="N757">
        <v>2</v>
      </c>
      <c r="O757">
        <f t="shared" si="55"/>
        <v>77440</v>
      </c>
      <c r="P757">
        <f t="shared" si="56"/>
        <v>154880</v>
      </c>
      <c r="Q757">
        <v>5</v>
      </c>
      <c r="R757">
        <f t="shared" si="57"/>
        <v>147136</v>
      </c>
      <c r="S757" t="s">
        <v>2260</v>
      </c>
      <c r="T757" t="s">
        <v>2265</v>
      </c>
      <c r="U757" s="1" t="str">
        <f t="shared" si="58"/>
        <v>Not Delivered</v>
      </c>
      <c r="V757">
        <f t="shared" si="59"/>
        <v>23232</v>
      </c>
    </row>
    <row r="758" spans="1:22" x14ac:dyDescent="0.3">
      <c r="A758" t="s">
        <v>776</v>
      </c>
      <c r="B758">
        <v>2024</v>
      </c>
      <c r="C758" s="1">
        <v>45613</v>
      </c>
      <c r="D758" t="s">
        <v>821</v>
      </c>
      <c r="E758" t="s">
        <v>1196</v>
      </c>
      <c r="F758" t="s">
        <v>2123</v>
      </c>
      <c r="G758" t="s">
        <v>2167</v>
      </c>
      <c r="H758" t="s">
        <v>2169</v>
      </c>
      <c r="I758" t="s">
        <v>2201</v>
      </c>
      <c r="J758" t="s">
        <v>2211</v>
      </c>
      <c r="K758" t="s">
        <v>2225</v>
      </c>
      <c r="L758" t="s">
        <v>2243</v>
      </c>
      <c r="M758" t="s">
        <v>2248</v>
      </c>
      <c r="N758">
        <v>5</v>
      </c>
      <c r="O758">
        <f t="shared" si="55"/>
        <v>77440</v>
      </c>
      <c r="P758">
        <f t="shared" si="56"/>
        <v>387200</v>
      </c>
      <c r="Q758">
        <v>10</v>
      </c>
      <c r="R758">
        <f t="shared" si="57"/>
        <v>348480</v>
      </c>
      <c r="S758" t="s">
        <v>2261</v>
      </c>
      <c r="T758" t="s">
        <v>2264</v>
      </c>
      <c r="U758" s="1" t="str">
        <f t="shared" si="58"/>
        <v>Not Delivered</v>
      </c>
      <c r="V758">
        <f t="shared" si="59"/>
        <v>58080</v>
      </c>
    </row>
    <row r="759" spans="1:22" x14ac:dyDescent="0.3">
      <c r="A759" t="s">
        <v>777</v>
      </c>
      <c r="B759">
        <v>2024</v>
      </c>
      <c r="C759" s="1">
        <v>45383</v>
      </c>
      <c r="D759" t="s">
        <v>824</v>
      </c>
      <c r="E759" t="s">
        <v>986</v>
      </c>
      <c r="F759" t="s">
        <v>2124</v>
      </c>
      <c r="G759" t="s">
        <v>2167</v>
      </c>
      <c r="H759" t="s">
        <v>2188</v>
      </c>
      <c r="I759" t="s">
        <v>2208</v>
      </c>
      <c r="J759" t="s">
        <v>2210</v>
      </c>
      <c r="K759" t="s">
        <v>2223</v>
      </c>
      <c r="L759" t="s">
        <v>2245</v>
      </c>
      <c r="M759" t="s">
        <v>2249</v>
      </c>
      <c r="N759">
        <v>3</v>
      </c>
      <c r="O759">
        <f t="shared" si="55"/>
        <v>77440</v>
      </c>
      <c r="P759">
        <f t="shared" si="56"/>
        <v>232320</v>
      </c>
      <c r="Q759">
        <v>10</v>
      </c>
      <c r="R759">
        <f t="shared" si="57"/>
        <v>209088</v>
      </c>
      <c r="S759" t="s">
        <v>2260</v>
      </c>
      <c r="T759" t="s">
        <v>2264</v>
      </c>
      <c r="U759" s="1" t="str">
        <f t="shared" si="58"/>
        <v>Not Delivered</v>
      </c>
      <c r="V759">
        <f t="shared" si="59"/>
        <v>34848</v>
      </c>
    </row>
    <row r="760" spans="1:22" x14ac:dyDescent="0.3">
      <c r="A760" t="s">
        <v>778</v>
      </c>
      <c r="B760">
        <v>2025</v>
      </c>
      <c r="C760" s="1">
        <v>45754</v>
      </c>
      <c r="D760" t="s">
        <v>825</v>
      </c>
      <c r="E760" t="s">
        <v>1122</v>
      </c>
      <c r="F760" t="s">
        <v>2125</v>
      </c>
      <c r="G760" t="s">
        <v>2167</v>
      </c>
      <c r="H760" t="s">
        <v>2168</v>
      </c>
      <c r="I760" t="s">
        <v>2200</v>
      </c>
      <c r="J760" t="s">
        <v>2213</v>
      </c>
      <c r="K760" t="s">
        <v>2238</v>
      </c>
      <c r="L760" t="s">
        <v>2246</v>
      </c>
      <c r="M760" t="s">
        <v>2249</v>
      </c>
      <c r="N760">
        <v>1</v>
      </c>
      <c r="O760">
        <f t="shared" si="55"/>
        <v>77440</v>
      </c>
      <c r="P760">
        <f t="shared" si="56"/>
        <v>77440</v>
      </c>
      <c r="Q760">
        <v>0</v>
      </c>
      <c r="R760">
        <f t="shared" si="57"/>
        <v>77440</v>
      </c>
      <c r="S760" t="s">
        <v>2263</v>
      </c>
      <c r="T760" t="s">
        <v>2266</v>
      </c>
      <c r="U760" s="1">
        <f t="shared" si="58"/>
        <v>45761</v>
      </c>
      <c r="V760">
        <f t="shared" si="59"/>
        <v>11616</v>
      </c>
    </row>
    <row r="761" spans="1:22" x14ac:dyDescent="0.3">
      <c r="A761" t="s">
        <v>779</v>
      </c>
      <c r="B761">
        <v>2025</v>
      </c>
      <c r="C761" s="1">
        <v>45680</v>
      </c>
      <c r="D761" t="s">
        <v>820</v>
      </c>
      <c r="E761" t="s">
        <v>1347</v>
      </c>
      <c r="F761" t="s">
        <v>2126</v>
      </c>
      <c r="G761" t="s">
        <v>2167</v>
      </c>
      <c r="H761" t="s">
        <v>2191</v>
      </c>
      <c r="I761" t="s">
        <v>2203</v>
      </c>
      <c r="J761" t="s">
        <v>2210</v>
      </c>
      <c r="K761" t="s">
        <v>2240</v>
      </c>
      <c r="L761" t="s">
        <v>2246</v>
      </c>
      <c r="M761" t="s">
        <v>2248</v>
      </c>
      <c r="N761">
        <v>3</v>
      </c>
      <c r="O761">
        <f t="shared" si="55"/>
        <v>77440</v>
      </c>
      <c r="P761">
        <f t="shared" si="56"/>
        <v>232320</v>
      </c>
      <c r="Q761">
        <v>0</v>
      </c>
      <c r="R761">
        <f t="shared" si="57"/>
        <v>232320</v>
      </c>
      <c r="S761" t="s">
        <v>2262</v>
      </c>
      <c r="T761" t="s">
        <v>2265</v>
      </c>
      <c r="U761" s="1" t="str">
        <f t="shared" si="58"/>
        <v>Not Delivered</v>
      </c>
      <c r="V761">
        <f t="shared" si="59"/>
        <v>34848</v>
      </c>
    </row>
    <row r="762" spans="1:22" x14ac:dyDescent="0.3">
      <c r="A762" t="s">
        <v>780</v>
      </c>
      <c r="B762">
        <v>2024</v>
      </c>
      <c r="C762" s="1">
        <v>45301</v>
      </c>
      <c r="D762" t="s">
        <v>829</v>
      </c>
      <c r="E762" t="s">
        <v>1195</v>
      </c>
      <c r="F762" t="s">
        <v>2127</v>
      </c>
      <c r="G762" t="s">
        <v>2167</v>
      </c>
      <c r="H762" t="s">
        <v>2189</v>
      </c>
      <c r="I762" t="s">
        <v>2202</v>
      </c>
      <c r="J762" t="s">
        <v>2213</v>
      </c>
      <c r="K762" t="s">
        <v>2236</v>
      </c>
      <c r="L762" t="s">
        <v>2242</v>
      </c>
      <c r="M762" t="s">
        <v>2254</v>
      </c>
      <c r="N762">
        <v>2</v>
      </c>
      <c r="O762">
        <f t="shared" si="55"/>
        <v>77440</v>
      </c>
      <c r="P762">
        <f t="shared" si="56"/>
        <v>154880</v>
      </c>
      <c r="Q762">
        <v>0</v>
      </c>
      <c r="R762">
        <f t="shared" si="57"/>
        <v>154880</v>
      </c>
      <c r="S762" t="s">
        <v>2260</v>
      </c>
      <c r="T762" t="s">
        <v>2266</v>
      </c>
      <c r="U762" s="1">
        <f t="shared" si="58"/>
        <v>45308</v>
      </c>
      <c r="V762">
        <f t="shared" si="59"/>
        <v>23232</v>
      </c>
    </row>
    <row r="763" spans="1:22" x14ac:dyDescent="0.3">
      <c r="A763" t="s">
        <v>781</v>
      </c>
      <c r="B763">
        <v>2024</v>
      </c>
      <c r="C763" s="1">
        <v>45361</v>
      </c>
      <c r="D763" t="s">
        <v>825</v>
      </c>
      <c r="E763" t="s">
        <v>1326</v>
      </c>
      <c r="F763" t="s">
        <v>2128</v>
      </c>
      <c r="G763" t="s">
        <v>2167</v>
      </c>
      <c r="H763" t="s">
        <v>2195</v>
      </c>
      <c r="I763" t="s">
        <v>2206</v>
      </c>
      <c r="J763" t="s">
        <v>2213</v>
      </c>
      <c r="K763" t="s">
        <v>2222</v>
      </c>
      <c r="L763" t="s">
        <v>2247</v>
      </c>
      <c r="M763" t="s">
        <v>2250</v>
      </c>
      <c r="N763">
        <v>4</v>
      </c>
      <c r="O763">
        <f t="shared" si="55"/>
        <v>77440</v>
      </c>
      <c r="P763">
        <f t="shared" si="56"/>
        <v>309760</v>
      </c>
      <c r="Q763">
        <v>5</v>
      </c>
      <c r="R763">
        <f t="shared" si="57"/>
        <v>294272</v>
      </c>
      <c r="S763" t="s">
        <v>2260</v>
      </c>
      <c r="T763" t="s">
        <v>2264</v>
      </c>
      <c r="U763" s="1" t="str">
        <f t="shared" si="58"/>
        <v>Not Delivered</v>
      </c>
      <c r="V763">
        <f t="shared" si="59"/>
        <v>46464</v>
      </c>
    </row>
    <row r="764" spans="1:22" x14ac:dyDescent="0.3">
      <c r="A764" t="s">
        <v>782</v>
      </c>
      <c r="B764">
        <v>2024</v>
      </c>
      <c r="C764" s="1">
        <v>45598</v>
      </c>
      <c r="D764" t="s">
        <v>823</v>
      </c>
      <c r="E764" t="s">
        <v>1214</v>
      </c>
      <c r="F764" t="s">
        <v>2129</v>
      </c>
      <c r="G764" t="s">
        <v>2167</v>
      </c>
      <c r="H764" t="s">
        <v>2169</v>
      </c>
      <c r="I764" t="s">
        <v>2201</v>
      </c>
      <c r="J764" t="s">
        <v>2212</v>
      </c>
      <c r="K764" t="s">
        <v>2226</v>
      </c>
      <c r="L764" t="s">
        <v>2244</v>
      </c>
      <c r="M764" t="s">
        <v>2254</v>
      </c>
      <c r="N764">
        <v>4</v>
      </c>
      <c r="O764">
        <f t="shared" si="55"/>
        <v>77440</v>
      </c>
      <c r="P764">
        <f t="shared" si="56"/>
        <v>309760</v>
      </c>
      <c r="Q764">
        <v>10</v>
      </c>
      <c r="R764">
        <f t="shared" si="57"/>
        <v>278784</v>
      </c>
      <c r="S764" t="s">
        <v>2263</v>
      </c>
      <c r="T764" t="s">
        <v>2265</v>
      </c>
      <c r="U764" s="1" t="str">
        <f t="shared" si="58"/>
        <v>Not Delivered</v>
      </c>
      <c r="V764">
        <f t="shared" si="59"/>
        <v>46464</v>
      </c>
    </row>
    <row r="765" spans="1:22" x14ac:dyDescent="0.3">
      <c r="A765" t="s">
        <v>783</v>
      </c>
      <c r="B765">
        <v>2024</v>
      </c>
      <c r="C765" s="1">
        <v>45482</v>
      </c>
      <c r="D765" t="s">
        <v>823</v>
      </c>
      <c r="E765" t="s">
        <v>1348</v>
      </c>
      <c r="F765" t="s">
        <v>2130</v>
      </c>
      <c r="G765" t="s">
        <v>2167</v>
      </c>
      <c r="H765" t="s">
        <v>2196</v>
      </c>
      <c r="I765" t="s">
        <v>2205</v>
      </c>
      <c r="J765" t="s">
        <v>2211</v>
      </c>
      <c r="K765" t="s">
        <v>2228</v>
      </c>
      <c r="L765" t="s">
        <v>2243</v>
      </c>
      <c r="M765" t="s">
        <v>2253</v>
      </c>
      <c r="N765">
        <v>2</v>
      </c>
      <c r="O765">
        <f t="shared" si="55"/>
        <v>77440</v>
      </c>
      <c r="P765">
        <f t="shared" si="56"/>
        <v>154880</v>
      </c>
      <c r="Q765">
        <v>0</v>
      </c>
      <c r="R765">
        <f t="shared" si="57"/>
        <v>154880</v>
      </c>
      <c r="S765" t="s">
        <v>2260</v>
      </c>
      <c r="T765" t="s">
        <v>2265</v>
      </c>
      <c r="U765" s="1" t="str">
        <f t="shared" si="58"/>
        <v>Not Delivered</v>
      </c>
      <c r="V765">
        <f t="shared" si="59"/>
        <v>23232</v>
      </c>
    </row>
    <row r="766" spans="1:22" x14ac:dyDescent="0.3">
      <c r="A766" t="s">
        <v>784</v>
      </c>
      <c r="B766">
        <v>2024</v>
      </c>
      <c r="C766" s="1">
        <v>45315</v>
      </c>
      <c r="D766" t="s">
        <v>821</v>
      </c>
      <c r="E766" t="s">
        <v>1349</v>
      </c>
      <c r="F766" t="s">
        <v>2131</v>
      </c>
      <c r="G766" t="s">
        <v>2167</v>
      </c>
      <c r="H766" t="s">
        <v>2175</v>
      </c>
      <c r="I766" t="s">
        <v>2203</v>
      </c>
      <c r="J766" t="s">
        <v>2212</v>
      </c>
      <c r="K766" t="s">
        <v>2228</v>
      </c>
      <c r="L766" t="s">
        <v>2243</v>
      </c>
      <c r="M766" t="s">
        <v>2256</v>
      </c>
      <c r="N766">
        <v>1</v>
      </c>
      <c r="O766">
        <f t="shared" si="55"/>
        <v>77440</v>
      </c>
      <c r="P766">
        <f t="shared" si="56"/>
        <v>77440</v>
      </c>
      <c r="Q766">
        <v>20</v>
      </c>
      <c r="R766">
        <f t="shared" si="57"/>
        <v>61952</v>
      </c>
      <c r="S766" t="s">
        <v>2262</v>
      </c>
      <c r="T766" t="s">
        <v>2264</v>
      </c>
      <c r="U766" s="1" t="str">
        <f t="shared" si="58"/>
        <v>Not Delivered</v>
      </c>
      <c r="V766">
        <f t="shared" si="59"/>
        <v>11616</v>
      </c>
    </row>
    <row r="767" spans="1:22" x14ac:dyDescent="0.3">
      <c r="A767" t="s">
        <v>785</v>
      </c>
      <c r="B767">
        <v>2024</v>
      </c>
      <c r="C767" s="1">
        <v>45450</v>
      </c>
      <c r="D767" t="s">
        <v>829</v>
      </c>
      <c r="E767" t="s">
        <v>1350</v>
      </c>
      <c r="F767" t="s">
        <v>2132</v>
      </c>
      <c r="G767" t="s">
        <v>2167</v>
      </c>
      <c r="H767" t="s">
        <v>2180</v>
      </c>
      <c r="I767" t="s">
        <v>2208</v>
      </c>
      <c r="J767" t="s">
        <v>2210</v>
      </c>
      <c r="K767" t="s">
        <v>2219</v>
      </c>
      <c r="L767" t="s">
        <v>2243</v>
      </c>
      <c r="M767" t="s">
        <v>2259</v>
      </c>
      <c r="N767">
        <v>1</v>
      </c>
      <c r="O767">
        <f t="shared" si="55"/>
        <v>77440</v>
      </c>
      <c r="P767">
        <f t="shared" si="56"/>
        <v>77440</v>
      </c>
      <c r="Q767">
        <v>15</v>
      </c>
      <c r="R767">
        <f t="shared" si="57"/>
        <v>65824</v>
      </c>
      <c r="S767" t="s">
        <v>2263</v>
      </c>
      <c r="T767" t="s">
        <v>2265</v>
      </c>
      <c r="U767" s="1" t="str">
        <f t="shared" si="58"/>
        <v>Not Delivered</v>
      </c>
      <c r="V767">
        <f t="shared" si="59"/>
        <v>11616</v>
      </c>
    </row>
    <row r="768" spans="1:22" x14ac:dyDescent="0.3">
      <c r="A768" t="s">
        <v>786</v>
      </c>
      <c r="B768">
        <v>2025</v>
      </c>
      <c r="C768" s="1">
        <v>45843</v>
      </c>
      <c r="D768" t="s">
        <v>828</v>
      </c>
      <c r="E768" t="s">
        <v>1345</v>
      </c>
      <c r="F768" t="s">
        <v>2133</v>
      </c>
      <c r="G768" t="s">
        <v>2167</v>
      </c>
      <c r="H768" t="s">
        <v>2192</v>
      </c>
      <c r="I768" t="s">
        <v>2207</v>
      </c>
      <c r="J768" t="s">
        <v>2210</v>
      </c>
      <c r="K768" t="s">
        <v>2221</v>
      </c>
      <c r="L768" t="s">
        <v>2246</v>
      </c>
      <c r="M768" t="s">
        <v>2254</v>
      </c>
      <c r="N768">
        <v>2</v>
      </c>
      <c r="O768">
        <f t="shared" si="55"/>
        <v>77440</v>
      </c>
      <c r="P768">
        <f t="shared" si="56"/>
        <v>154880</v>
      </c>
      <c r="Q768">
        <v>5</v>
      </c>
      <c r="R768">
        <f t="shared" si="57"/>
        <v>147136</v>
      </c>
      <c r="S768" t="s">
        <v>2261</v>
      </c>
      <c r="T768" t="s">
        <v>2265</v>
      </c>
      <c r="U768" s="1" t="str">
        <f t="shared" si="58"/>
        <v>Not Delivered</v>
      </c>
      <c r="V768">
        <f t="shared" si="59"/>
        <v>23232</v>
      </c>
    </row>
    <row r="769" spans="1:22" x14ac:dyDescent="0.3">
      <c r="A769" t="s">
        <v>787</v>
      </c>
      <c r="B769">
        <v>2024</v>
      </c>
      <c r="C769" s="1">
        <v>45571</v>
      </c>
      <c r="D769" t="s">
        <v>821</v>
      </c>
      <c r="E769" t="s">
        <v>1147</v>
      </c>
      <c r="F769" t="s">
        <v>2134</v>
      </c>
      <c r="G769" t="s">
        <v>2167</v>
      </c>
      <c r="H769" t="s">
        <v>2178</v>
      </c>
      <c r="I769" t="s">
        <v>2207</v>
      </c>
      <c r="J769" t="s">
        <v>2210</v>
      </c>
      <c r="K769" t="s">
        <v>2230</v>
      </c>
      <c r="L769" t="s">
        <v>2247</v>
      </c>
      <c r="M769" t="s">
        <v>2256</v>
      </c>
      <c r="N769">
        <v>5</v>
      </c>
      <c r="O769">
        <f t="shared" si="55"/>
        <v>77440</v>
      </c>
      <c r="P769">
        <f t="shared" si="56"/>
        <v>387200</v>
      </c>
      <c r="Q769">
        <v>10</v>
      </c>
      <c r="R769">
        <f t="shared" si="57"/>
        <v>348480</v>
      </c>
      <c r="S769" t="s">
        <v>2263</v>
      </c>
      <c r="T769" t="s">
        <v>2265</v>
      </c>
      <c r="U769" s="1" t="str">
        <f t="shared" si="58"/>
        <v>Not Delivered</v>
      </c>
      <c r="V769">
        <f t="shared" si="59"/>
        <v>58080</v>
      </c>
    </row>
    <row r="770" spans="1:22" x14ac:dyDescent="0.3">
      <c r="A770" t="s">
        <v>788</v>
      </c>
      <c r="B770">
        <v>2024</v>
      </c>
      <c r="C770" s="1">
        <v>45335</v>
      </c>
      <c r="D770" t="s">
        <v>822</v>
      </c>
      <c r="E770" t="s">
        <v>1256</v>
      </c>
      <c r="F770" t="s">
        <v>2135</v>
      </c>
      <c r="G770" t="s">
        <v>2167</v>
      </c>
      <c r="H770" t="s">
        <v>2199</v>
      </c>
      <c r="I770" t="s">
        <v>2205</v>
      </c>
      <c r="J770" t="s">
        <v>2211</v>
      </c>
      <c r="K770" t="s">
        <v>2237</v>
      </c>
      <c r="L770" t="s">
        <v>2246</v>
      </c>
      <c r="M770" t="s">
        <v>2256</v>
      </c>
      <c r="N770">
        <v>1</v>
      </c>
      <c r="O770">
        <f t="shared" si="55"/>
        <v>77440</v>
      </c>
      <c r="P770">
        <f t="shared" si="56"/>
        <v>77440</v>
      </c>
      <c r="Q770">
        <v>5</v>
      </c>
      <c r="R770">
        <f t="shared" si="57"/>
        <v>73568</v>
      </c>
      <c r="S770" t="s">
        <v>2263</v>
      </c>
      <c r="T770" t="s">
        <v>2265</v>
      </c>
      <c r="U770" s="1" t="str">
        <f t="shared" si="58"/>
        <v>Not Delivered</v>
      </c>
      <c r="V770">
        <f t="shared" si="59"/>
        <v>11616</v>
      </c>
    </row>
    <row r="771" spans="1:22" x14ac:dyDescent="0.3">
      <c r="A771" t="s">
        <v>789</v>
      </c>
      <c r="B771">
        <v>2025</v>
      </c>
      <c r="C771" s="1">
        <v>45731</v>
      </c>
      <c r="D771" t="s">
        <v>829</v>
      </c>
      <c r="E771" t="s">
        <v>1351</v>
      </c>
      <c r="F771" t="s">
        <v>2136</v>
      </c>
      <c r="G771" t="s">
        <v>2167</v>
      </c>
      <c r="H771" t="s">
        <v>2198</v>
      </c>
      <c r="I771" t="s">
        <v>2207</v>
      </c>
      <c r="J771" t="s">
        <v>2213</v>
      </c>
      <c r="K771" t="s">
        <v>2222</v>
      </c>
      <c r="L771" t="s">
        <v>2247</v>
      </c>
      <c r="M771" t="s">
        <v>2257</v>
      </c>
      <c r="N771">
        <v>4</v>
      </c>
      <c r="O771">
        <f t="shared" ref="O771:O801" si="60">ROUNDUP((77431.41),-1)</f>
        <v>77440</v>
      </c>
      <c r="P771">
        <f t="shared" ref="P771:P801" si="61">O771*N771</f>
        <v>309760</v>
      </c>
      <c r="Q771">
        <v>5</v>
      </c>
      <c r="R771">
        <f t="shared" ref="R771:R801" si="62">P771*(1-Q771/100)</f>
        <v>294272</v>
      </c>
      <c r="S771" t="s">
        <v>2263</v>
      </c>
      <c r="T771" t="s">
        <v>2265</v>
      </c>
      <c r="U771" s="1" t="str">
        <f t="shared" ref="U771:U801" si="63">IF(T771="Delivered", C771 + 7, "Not Delivered")</f>
        <v>Not Delivered</v>
      </c>
      <c r="V771">
        <f t="shared" ref="V771:V801" si="64">P771*15%</f>
        <v>46464</v>
      </c>
    </row>
    <row r="772" spans="1:22" x14ac:dyDescent="0.3">
      <c r="A772" t="s">
        <v>790</v>
      </c>
      <c r="B772">
        <v>2024</v>
      </c>
      <c r="C772" s="1">
        <v>45561</v>
      </c>
      <c r="D772" t="s">
        <v>828</v>
      </c>
      <c r="E772" t="s">
        <v>1352</v>
      </c>
      <c r="F772" t="s">
        <v>2137</v>
      </c>
      <c r="G772" t="s">
        <v>2167</v>
      </c>
      <c r="H772" t="s">
        <v>2171</v>
      </c>
      <c r="I772" t="s">
        <v>2202</v>
      </c>
      <c r="J772" t="s">
        <v>2210</v>
      </c>
      <c r="K772" t="s">
        <v>2217</v>
      </c>
      <c r="L772" t="s">
        <v>2244</v>
      </c>
      <c r="M772" t="s">
        <v>2258</v>
      </c>
      <c r="N772">
        <v>3</v>
      </c>
      <c r="O772">
        <f t="shared" si="60"/>
        <v>77440</v>
      </c>
      <c r="P772">
        <f t="shared" si="61"/>
        <v>232320</v>
      </c>
      <c r="Q772">
        <v>5</v>
      </c>
      <c r="R772">
        <f t="shared" si="62"/>
        <v>220704</v>
      </c>
      <c r="S772" t="s">
        <v>2261</v>
      </c>
      <c r="T772" t="s">
        <v>2264</v>
      </c>
      <c r="U772" s="1" t="str">
        <f t="shared" si="63"/>
        <v>Not Delivered</v>
      </c>
      <c r="V772">
        <f t="shared" si="64"/>
        <v>34848</v>
      </c>
    </row>
    <row r="773" spans="1:22" x14ac:dyDescent="0.3">
      <c r="A773" t="s">
        <v>791</v>
      </c>
      <c r="B773">
        <v>2025</v>
      </c>
      <c r="C773" s="1">
        <v>45738</v>
      </c>
      <c r="D773" t="s">
        <v>828</v>
      </c>
      <c r="E773" t="s">
        <v>1158</v>
      </c>
      <c r="F773" t="s">
        <v>2138</v>
      </c>
      <c r="G773" t="s">
        <v>2167</v>
      </c>
      <c r="H773" t="s">
        <v>2180</v>
      </c>
      <c r="I773" t="s">
        <v>2208</v>
      </c>
      <c r="J773" t="s">
        <v>2211</v>
      </c>
      <c r="K773" t="s">
        <v>2223</v>
      </c>
      <c r="L773" t="s">
        <v>2245</v>
      </c>
      <c r="M773" t="s">
        <v>2251</v>
      </c>
      <c r="N773">
        <v>1</v>
      </c>
      <c r="O773">
        <f t="shared" si="60"/>
        <v>77440</v>
      </c>
      <c r="P773">
        <f t="shared" si="61"/>
        <v>77440</v>
      </c>
      <c r="Q773">
        <v>20</v>
      </c>
      <c r="R773">
        <f t="shared" si="62"/>
        <v>61952</v>
      </c>
      <c r="S773" t="s">
        <v>2262</v>
      </c>
      <c r="T773" t="s">
        <v>2264</v>
      </c>
      <c r="U773" s="1" t="str">
        <f t="shared" si="63"/>
        <v>Not Delivered</v>
      </c>
      <c r="V773">
        <f t="shared" si="64"/>
        <v>11616</v>
      </c>
    </row>
    <row r="774" spans="1:22" x14ac:dyDescent="0.3">
      <c r="A774" t="s">
        <v>792</v>
      </c>
      <c r="B774">
        <v>2024</v>
      </c>
      <c r="C774" s="1">
        <v>45300</v>
      </c>
      <c r="D774" t="s">
        <v>826</v>
      </c>
      <c r="E774" t="s">
        <v>1300</v>
      </c>
      <c r="F774" t="s">
        <v>2139</v>
      </c>
      <c r="G774" t="s">
        <v>2167</v>
      </c>
      <c r="H774" t="s">
        <v>2194</v>
      </c>
      <c r="I774" t="s">
        <v>2201</v>
      </c>
      <c r="J774" t="s">
        <v>2212</v>
      </c>
      <c r="K774" t="s">
        <v>2239</v>
      </c>
      <c r="L774" t="s">
        <v>2245</v>
      </c>
      <c r="M774" t="s">
        <v>2252</v>
      </c>
      <c r="N774">
        <v>5</v>
      </c>
      <c r="O774">
        <f t="shared" si="60"/>
        <v>77440</v>
      </c>
      <c r="P774">
        <f t="shared" si="61"/>
        <v>387200</v>
      </c>
      <c r="Q774">
        <v>15</v>
      </c>
      <c r="R774">
        <f t="shared" si="62"/>
        <v>329120</v>
      </c>
      <c r="S774" t="s">
        <v>2263</v>
      </c>
      <c r="T774" t="s">
        <v>2265</v>
      </c>
      <c r="U774" s="1" t="str">
        <f t="shared" si="63"/>
        <v>Not Delivered</v>
      </c>
      <c r="V774">
        <f t="shared" si="64"/>
        <v>58080</v>
      </c>
    </row>
    <row r="775" spans="1:22" x14ac:dyDescent="0.3">
      <c r="A775" t="s">
        <v>793</v>
      </c>
      <c r="B775">
        <v>2025</v>
      </c>
      <c r="C775" s="1">
        <v>45675</v>
      </c>
      <c r="D775" t="s">
        <v>828</v>
      </c>
      <c r="E775" t="s">
        <v>951</v>
      </c>
      <c r="F775" t="s">
        <v>2140</v>
      </c>
      <c r="G775" t="s">
        <v>2167</v>
      </c>
      <c r="H775" t="s">
        <v>2194</v>
      </c>
      <c r="I775" t="s">
        <v>2201</v>
      </c>
      <c r="J775" t="s">
        <v>2211</v>
      </c>
      <c r="K775" t="s">
        <v>2219</v>
      </c>
      <c r="L775" t="s">
        <v>2243</v>
      </c>
      <c r="M775" t="s">
        <v>2249</v>
      </c>
      <c r="N775">
        <v>2</v>
      </c>
      <c r="O775">
        <f t="shared" si="60"/>
        <v>77440</v>
      </c>
      <c r="P775">
        <f t="shared" si="61"/>
        <v>154880</v>
      </c>
      <c r="Q775">
        <v>10</v>
      </c>
      <c r="R775">
        <f t="shared" si="62"/>
        <v>139392</v>
      </c>
      <c r="S775" t="s">
        <v>2262</v>
      </c>
      <c r="T775" t="s">
        <v>2266</v>
      </c>
      <c r="U775" s="1">
        <f t="shared" si="63"/>
        <v>45682</v>
      </c>
      <c r="V775">
        <f t="shared" si="64"/>
        <v>23232</v>
      </c>
    </row>
    <row r="776" spans="1:22" x14ac:dyDescent="0.3">
      <c r="A776" t="s">
        <v>794</v>
      </c>
      <c r="B776">
        <v>2025</v>
      </c>
      <c r="C776" s="1">
        <v>45761</v>
      </c>
      <c r="D776" t="s">
        <v>820</v>
      </c>
      <c r="E776" t="s">
        <v>1040</v>
      </c>
      <c r="F776" t="s">
        <v>2141</v>
      </c>
      <c r="G776" t="s">
        <v>2167</v>
      </c>
      <c r="H776" t="s">
        <v>2178</v>
      </c>
      <c r="I776" t="s">
        <v>2207</v>
      </c>
      <c r="J776" t="s">
        <v>2213</v>
      </c>
      <c r="K776" t="s">
        <v>2235</v>
      </c>
      <c r="L776" t="s">
        <v>2247</v>
      </c>
      <c r="M776" t="s">
        <v>2248</v>
      </c>
      <c r="N776">
        <v>3</v>
      </c>
      <c r="O776">
        <f t="shared" si="60"/>
        <v>77440</v>
      </c>
      <c r="P776">
        <f t="shared" si="61"/>
        <v>232320</v>
      </c>
      <c r="Q776">
        <v>15</v>
      </c>
      <c r="R776">
        <f t="shared" si="62"/>
        <v>197472</v>
      </c>
      <c r="S776" t="s">
        <v>2263</v>
      </c>
      <c r="T776" t="s">
        <v>2265</v>
      </c>
      <c r="U776" s="1" t="str">
        <f t="shared" si="63"/>
        <v>Not Delivered</v>
      </c>
      <c r="V776">
        <f t="shared" si="64"/>
        <v>34848</v>
      </c>
    </row>
    <row r="777" spans="1:22" x14ac:dyDescent="0.3">
      <c r="A777" t="s">
        <v>795</v>
      </c>
      <c r="B777">
        <v>2025</v>
      </c>
      <c r="C777" s="1">
        <v>45671</v>
      </c>
      <c r="D777" t="s">
        <v>828</v>
      </c>
      <c r="E777" t="s">
        <v>841</v>
      </c>
      <c r="F777" t="s">
        <v>2142</v>
      </c>
      <c r="G777" t="s">
        <v>2167</v>
      </c>
      <c r="H777" t="s">
        <v>2168</v>
      </c>
      <c r="I777" t="s">
        <v>2200</v>
      </c>
      <c r="J777" t="s">
        <v>2213</v>
      </c>
      <c r="K777" t="s">
        <v>2216</v>
      </c>
      <c r="L777" t="s">
        <v>2242</v>
      </c>
      <c r="M777" t="s">
        <v>2249</v>
      </c>
      <c r="N777">
        <v>5</v>
      </c>
      <c r="O777">
        <f t="shared" si="60"/>
        <v>77440</v>
      </c>
      <c r="P777">
        <f t="shared" si="61"/>
        <v>387200</v>
      </c>
      <c r="Q777">
        <v>10</v>
      </c>
      <c r="R777">
        <f t="shared" si="62"/>
        <v>348480</v>
      </c>
      <c r="S777" t="s">
        <v>2263</v>
      </c>
      <c r="T777" t="s">
        <v>2266</v>
      </c>
      <c r="U777" s="1">
        <f t="shared" si="63"/>
        <v>45678</v>
      </c>
      <c r="V777">
        <f t="shared" si="64"/>
        <v>58080</v>
      </c>
    </row>
    <row r="778" spans="1:22" x14ac:dyDescent="0.3">
      <c r="A778" t="s">
        <v>796</v>
      </c>
      <c r="B778">
        <v>2025</v>
      </c>
      <c r="C778" s="1">
        <v>45707</v>
      </c>
      <c r="D778" t="s">
        <v>820</v>
      </c>
      <c r="E778" t="s">
        <v>1353</v>
      </c>
      <c r="F778" t="s">
        <v>2143</v>
      </c>
      <c r="G778" t="s">
        <v>2167</v>
      </c>
      <c r="H778" t="s">
        <v>2188</v>
      </c>
      <c r="I778" t="s">
        <v>2208</v>
      </c>
      <c r="J778" t="s">
        <v>2213</v>
      </c>
      <c r="K778" t="s">
        <v>2223</v>
      </c>
      <c r="L778" t="s">
        <v>2245</v>
      </c>
      <c r="M778" t="s">
        <v>2252</v>
      </c>
      <c r="N778">
        <v>5</v>
      </c>
      <c r="O778">
        <f t="shared" si="60"/>
        <v>77440</v>
      </c>
      <c r="P778">
        <f t="shared" si="61"/>
        <v>387200</v>
      </c>
      <c r="Q778">
        <v>5</v>
      </c>
      <c r="R778">
        <f t="shared" si="62"/>
        <v>367840</v>
      </c>
      <c r="S778" t="s">
        <v>2261</v>
      </c>
      <c r="T778" t="s">
        <v>2266</v>
      </c>
      <c r="U778" s="1">
        <f t="shared" si="63"/>
        <v>45714</v>
      </c>
      <c r="V778">
        <f t="shared" si="64"/>
        <v>58080</v>
      </c>
    </row>
    <row r="779" spans="1:22" x14ac:dyDescent="0.3">
      <c r="A779" t="s">
        <v>797</v>
      </c>
      <c r="B779">
        <v>2025</v>
      </c>
      <c r="C779" s="1">
        <v>45679</v>
      </c>
      <c r="D779" t="s">
        <v>823</v>
      </c>
      <c r="E779" t="s">
        <v>1354</v>
      </c>
      <c r="F779" t="s">
        <v>2144</v>
      </c>
      <c r="G779" t="s">
        <v>2167</v>
      </c>
      <c r="H779" t="s">
        <v>2191</v>
      </c>
      <c r="I779" t="s">
        <v>2203</v>
      </c>
      <c r="J779" t="s">
        <v>2211</v>
      </c>
      <c r="K779" t="s">
        <v>2234</v>
      </c>
      <c r="L779" t="s">
        <v>2244</v>
      </c>
      <c r="M779" t="s">
        <v>2256</v>
      </c>
      <c r="N779">
        <v>1</v>
      </c>
      <c r="O779">
        <f t="shared" si="60"/>
        <v>77440</v>
      </c>
      <c r="P779">
        <f t="shared" si="61"/>
        <v>77440</v>
      </c>
      <c r="Q779">
        <v>10</v>
      </c>
      <c r="R779">
        <f t="shared" si="62"/>
        <v>69696</v>
      </c>
      <c r="S779" t="s">
        <v>2263</v>
      </c>
      <c r="T779" t="s">
        <v>2266</v>
      </c>
      <c r="U779" s="1">
        <f t="shared" si="63"/>
        <v>45686</v>
      </c>
      <c r="V779">
        <f t="shared" si="64"/>
        <v>11616</v>
      </c>
    </row>
    <row r="780" spans="1:22" x14ac:dyDescent="0.3">
      <c r="A780" t="s">
        <v>798</v>
      </c>
      <c r="B780">
        <v>2025</v>
      </c>
      <c r="C780" s="1">
        <v>45864</v>
      </c>
      <c r="D780" t="s">
        <v>823</v>
      </c>
      <c r="E780" t="s">
        <v>1355</v>
      </c>
      <c r="F780" t="s">
        <v>2145</v>
      </c>
      <c r="G780" t="s">
        <v>2167</v>
      </c>
      <c r="H780" t="s">
        <v>2179</v>
      </c>
      <c r="I780" t="s">
        <v>2206</v>
      </c>
      <c r="J780" t="s">
        <v>2213</v>
      </c>
      <c r="K780" t="s">
        <v>2214</v>
      </c>
      <c r="L780" t="s">
        <v>2242</v>
      </c>
      <c r="M780" t="s">
        <v>2254</v>
      </c>
      <c r="N780">
        <v>3</v>
      </c>
      <c r="O780">
        <f t="shared" si="60"/>
        <v>77440</v>
      </c>
      <c r="P780">
        <f t="shared" si="61"/>
        <v>232320</v>
      </c>
      <c r="Q780">
        <v>15</v>
      </c>
      <c r="R780">
        <f t="shared" si="62"/>
        <v>197472</v>
      </c>
      <c r="S780" t="s">
        <v>2262</v>
      </c>
      <c r="T780" t="s">
        <v>2264</v>
      </c>
      <c r="U780" s="1" t="str">
        <f t="shared" si="63"/>
        <v>Not Delivered</v>
      </c>
      <c r="V780">
        <f t="shared" si="64"/>
        <v>34848</v>
      </c>
    </row>
    <row r="781" spans="1:22" x14ac:dyDescent="0.3">
      <c r="A781" t="s">
        <v>799</v>
      </c>
      <c r="B781">
        <v>2024</v>
      </c>
      <c r="C781" s="1">
        <v>45320</v>
      </c>
      <c r="D781" t="s">
        <v>827</v>
      </c>
      <c r="E781" t="s">
        <v>1137</v>
      </c>
      <c r="F781" t="s">
        <v>2146</v>
      </c>
      <c r="G781" t="s">
        <v>2167</v>
      </c>
      <c r="H781" t="s">
        <v>2176</v>
      </c>
      <c r="I781" t="s">
        <v>2205</v>
      </c>
      <c r="J781" t="s">
        <v>2210</v>
      </c>
      <c r="K781" t="s">
        <v>2237</v>
      </c>
      <c r="L781" t="s">
        <v>2246</v>
      </c>
      <c r="M781" t="s">
        <v>2248</v>
      </c>
      <c r="N781">
        <v>3</v>
      </c>
      <c r="O781">
        <f t="shared" si="60"/>
        <v>77440</v>
      </c>
      <c r="P781">
        <f t="shared" si="61"/>
        <v>232320</v>
      </c>
      <c r="Q781">
        <v>15</v>
      </c>
      <c r="R781">
        <f t="shared" si="62"/>
        <v>197472</v>
      </c>
      <c r="S781" t="s">
        <v>2260</v>
      </c>
      <c r="T781" t="s">
        <v>2266</v>
      </c>
      <c r="U781" s="1">
        <f t="shared" si="63"/>
        <v>45327</v>
      </c>
      <c r="V781">
        <f t="shared" si="64"/>
        <v>34848</v>
      </c>
    </row>
    <row r="782" spans="1:22" x14ac:dyDescent="0.3">
      <c r="A782" t="s">
        <v>800</v>
      </c>
      <c r="B782">
        <v>2025</v>
      </c>
      <c r="C782" s="1">
        <v>45802</v>
      </c>
      <c r="D782" t="s">
        <v>826</v>
      </c>
      <c r="E782" t="s">
        <v>1356</v>
      </c>
      <c r="F782" t="s">
        <v>2147</v>
      </c>
      <c r="G782" t="s">
        <v>2167</v>
      </c>
      <c r="H782" t="s">
        <v>2177</v>
      </c>
      <c r="I782" t="s">
        <v>2206</v>
      </c>
      <c r="J782" t="s">
        <v>2210</v>
      </c>
      <c r="K782" t="s">
        <v>2232</v>
      </c>
      <c r="L782" t="s">
        <v>2243</v>
      </c>
      <c r="M782" t="s">
        <v>2249</v>
      </c>
      <c r="N782">
        <v>1</v>
      </c>
      <c r="O782">
        <f t="shared" si="60"/>
        <v>77440</v>
      </c>
      <c r="P782">
        <f t="shared" si="61"/>
        <v>77440</v>
      </c>
      <c r="Q782">
        <v>5</v>
      </c>
      <c r="R782">
        <f t="shared" si="62"/>
        <v>73568</v>
      </c>
      <c r="S782" t="s">
        <v>2261</v>
      </c>
      <c r="T782" t="s">
        <v>2265</v>
      </c>
      <c r="U782" s="1" t="str">
        <f t="shared" si="63"/>
        <v>Not Delivered</v>
      </c>
      <c r="V782">
        <f t="shared" si="64"/>
        <v>11616</v>
      </c>
    </row>
    <row r="783" spans="1:22" x14ac:dyDescent="0.3">
      <c r="A783" t="s">
        <v>801</v>
      </c>
      <c r="B783">
        <v>2025</v>
      </c>
      <c r="C783" s="1">
        <v>45705</v>
      </c>
      <c r="D783" t="s">
        <v>823</v>
      </c>
      <c r="E783" t="s">
        <v>1357</v>
      </c>
      <c r="F783" t="s">
        <v>2148</v>
      </c>
      <c r="G783" t="s">
        <v>2167</v>
      </c>
      <c r="H783" t="s">
        <v>2199</v>
      </c>
      <c r="I783" t="s">
        <v>2205</v>
      </c>
      <c r="J783" t="s">
        <v>2211</v>
      </c>
      <c r="K783" t="s">
        <v>2218</v>
      </c>
      <c r="L783" t="s">
        <v>2242</v>
      </c>
      <c r="M783" t="s">
        <v>2249</v>
      </c>
      <c r="N783">
        <v>5</v>
      </c>
      <c r="O783">
        <f t="shared" si="60"/>
        <v>77440</v>
      </c>
      <c r="P783">
        <f t="shared" si="61"/>
        <v>387200</v>
      </c>
      <c r="Q783">
        <v>10</v>
      </c>
      <c r="R783">
        <f t="shared" si="62"/>
        <v>348480</v>
      </c>
      <c r="S783" t="s">
        <v>2261</v>
      </c>
      <c r="T783" t="s">
        <v>2265</v>
      </c>
      <c r="U783" s="1" t="str">
        <f t="shared" si="63"/>
        <v>Not Delivered</v>
      </c>
      <c r="V783">
        <f t="shared" si="64"/>
        <v>58080</v>
      </c>
    </row>
    <row r="784" spans="1:22" x14ac:dyDescent="0.3">
      <c r="A784" t="s">
        <v>802</v>
      </c>
      <c r="B784">
        <v>2024</v>
      </c>
      <c r="C784" s="1">
        <v>45392</v>
      </c>
      <c r="D784" t="s">
        <v>823</v>
      </c>
      <c r="E784" t="s">
        <v>1358</v>
      </c>
      <c r="F784" t="s">
        <v>2149</v>
      </c>
      <c r="G784" t="s">
        <v>2167</v>
      </c>
      <c r="H784" t="s">
        <v>2169</v>
      </c>
      <c r="I784" t="s">
        <v>2201</v>
      </c>
      <c r="J784" t="s">
        <v>2212</v>
      </c>
      <c r="K784" t="s">
        <v>2232</v>
      </c>
      <c r="L784" t="s">
        <v>2243</v>
      </c>
      <c r="M784" t="s">
        <v>2248</v>
      </c>
      <c r="N784">
        <v>2</v>
      </c>
      <c r="O784">
        <f t="shared" si="60"/>
        <v>77440</v>
      </c>
      <c r="P784">
        <f t="shared" si="61"/>
        <v>154880</v>
      </c>
      <c r="Q784">
        <v>0</v>
      </c>
      <c r="R784">
        <f t="shared" si="62"/>
        <v>154880</v>
      </c>
      <c r="S784" t="s">
        <v>2263</v>
      </c>
      <c r="T784" t="s">
        <v>2265</v>
      </c>
      <c r="U784" s="1" t="str">
        <f t="shared" si="63"/>
        <v>Not Delivered</v>
      </c>
      <c r="V784">
        <f t="shared" si="64"/>
        <v>23232</v>
      </c>
    </row>
    <row r="785" spans="1:22" x14ac:dyDescent="0.3">
      <c r="A785" t="s">
        <v>803</v>
      </c>
      <c r="B785">
        <v>2024</v>
      </c>
      <c r="C785" s="1">
        <v>45295</v>
      </c>
      <c r="D785" t="s">
        <v>822</v>
      </c>
      <c r="E785" t="s">
        <v>1188</v>
      </c>
      <c r="F785" t="s">
        <v>2150</v>
      </c>
      <c r="G785" t="s">
        <v>2167</v>
      </c>
      <c r="H785" t="s">
        <v>2192</v>
      </c>
      <c r="I785" t="s">
        <v>2207</v>
      </c>
      <c r="J785" t="s">
        <v>2212</v>
      </c>
      <c r="K785" t="s">
        <v>2238</v>
      </c>
      <c r="L785" t="s">
        <v>2246</v>
      </c>
      <c r="M785" t="s">
        <v>2249</v>
      </c>
      <c r="N785">
        <v>1</v>
      </c>
      <c r="O785">
        <f t="shared" si="60"/>
        <v>77440</v>
      </c>
      <c r="P785">
        <f t="shared" si="61"/>
        <v>77440</v>
      </c>
      <c r="Q785">
        <v>10</v>
      </c>
      <c r="R785">
        <f t="shared" si="62"/>
        <v>69696</v>
      </c>
      <c r="S785" t="s">
        <v>2261</v>
      </c>
      <c r="T785" t="s">
        <v>2266</v>
      </c>
      <c r="U785" s="1">
        <f t="shared" si="63"/>
        <v>45302</v>
      </c>
      <c r="V785">
        <f t="shared" si="64"/>
        <v>11616</v>
      </c>
    </row>
    <row r="786" spans="1:22" x14ac:dyDescent="0.3">
      <c r="A786" t="s">
        <v>804</v>
      </c>
      <c r="B786">
        <v>2025</v>
      </c>
      <c r="C786" s="1">
        <v>45843</v>
      </c>
      <c r="D786" t="s">
        <v>828</v>
      </c>
      <c r="E786" t="s">
        <v>1359</v>
      </c>
      <c r="F786" t="s">
        <v>2151</v>
      </c>
      <c r="G786" t="s">
        <v>2167</v>
      </c>
      <c r="H786" t="s">
        <v>2190</v>
      </c>
      <c r="I786" t="s">
        <v>2208</v>
      </c>
      <c r="J786" t="s">
        <v>2213</v>
      </c>
      <c r="K786" t="s">
        <v>2236</v>
      </c>
      <c r="L786" t="s">
        <v>2242</v>
      </c>
      <c r="M786" t="s">
        <v>2252</v>
      </c>
      <c r="N786">
        <v>4</v>
      </c>
      <c r="O786">
        <f t="shared" si="60"/>
        <v>77440</v>
      </c>
      <c r="P786">
        <f t="shared" si="61"/>
        <v>309760</v>
      </c>
      <c r="Q786">
        <v>10</v>
      </c>
      <c r="R786">
        <f t="shared" si="62"/>
        <v>278784</v>
      </c>
      <c r="S786" t="s">
        <v>2261</v>
      </c>
      <c r="T786" t="s">
        <v>2265</v>
      </c>
      <c r="U786" s="1" t="str">
        <f t="shared" si="63"/>
        <v>Not Delivered</v>
      </c>
      <c r="V786">
        <f t="shared" si="64"/>
        <v>46464</v>
      </c>
    </row>
    <row r="787" spans="1:22" x14ac:dyDescent="0.3">
      <c r="A787" t="s">
        <v>805</v>
      </c>
      <c r="B787">
        <v>2024</v>
      </c>
      <c r="C787" s="1">
        <v>45329</v>
      </c>
      <c r="D787" t="s">
        <v>826</v>
      </c>
      <c r="E787" t="s">
        <v>1052</v>
      </c>
      <c r="F787" t="s">
        <v>2152</v>
      </c>
      <c r="G787" t="s">
        <v>2167</v>
      </c>
      <c r="H787" t="s">
        <v>2173</v>
      </c>
      <c r="I787" t="s">
        <v>2204</v>
      </c>
      <c r="J787" t="s">
        <v>2211</v>
      </c>
      <c r="K787" t="s">
        <v>2214</v>
      </c>
      <c r="L787" t="s">
        <v>2242</v>
      </c>
      <c r="M787" t="s">
        <v>2249</v>
      </c>
      <c r="N787">
        <v>3</v>
      </c>
      <c r="O787">
        <f t="shared" si="60"/>
        <v>77440</v>
      </c>
      <c r="P787">
        <f t="shared" si="61"/>
        <v>232320</v>
      </c>
      <c r="Q787">
        <v>10</v>
      </c>
      <c r="R787">
        <f t="shared" si="62"/>
        <v>209088</v>
      </c>
      <c r="S787" t="s">
        <v>2262</v>
      </c>
      <c r="T787" t="s">
        <v>2264</v>
      </c>
      <c r="U787" s="1" t="str">
        <f t="shared" si="63"/>
        <v>Not Delivered</v>
      </c>
      <c r="V787">
        <f t="shared" si="64"/>
        <v>34848</v>
      </c>
    </row>
    <row r="788" spans="1:22" x14ac:dyDescent="0.3">
      <c r="A788" t="s">
        <v>806</v>
      </c>
      <c r="B788">
        <v>2025</v>
      </c>
      <c r="C788" s="1">
        <v>45726</v>
      </c>
      <c r="D788" t="s">
        <v>824</v>
      </c>
      <c r="E788" t="s">
        <v>1360</v>
      </c>
      <c r="F788" t="s">
        <v>2153</v>
      </c>
      <c r="G788" t="s">
        <v>2167</v>
      </c>
      <c r="H788" t="s">
        <v>2180</v>
      </c>
      <c r="I788" t="s">
        <v>2208</v>
      </c>
      <c r="J788" t="s">
        <v>2213</v>
      </c>
      <c r="K788" t="s">
        <v>2229</v>
      </c>
      <c r="L788" t="s">
        <v>2246</v>
      </c>
      <c r="M788" t="s">
        <v>2248</v>
      </c>
      <c r="N788">
        <v>3</v>
      </c>
      <c r="O788">
        <f t="shared" si="60"/>
        <v>77440</v>
      </c>
      <c r="P788">
        <f t="shared" si="61"/>
        <v>232320</v>
      </c>
      <c r="Q788">
        <v>15</v>
      </c>
      <c r="R788">
        <f t="shared" si="62"/>
        <v>197472</v>
      </c>
      <c r="S788" t="s">
        <v>2262</v>
      </c>
      <c r="T788" t="s">
        <v>2265</v>
      </c>
      <c r="U788" s="1" t="str">
        <f t="shared" si="63"/>
        <v>Not Delivered</v>
      </c>
      <c r="V788">
        <f t="shared" si="64"/>
        <v>34848</v>
      </c>
    </row>
    <row r="789" spans="1:22" x14ac:dyDescent="0.3">
      <c r="A789" t="s">
        <v>807</v>
      </c>
      <c r="B789">
        <v>2024</v>
      </c>
      <c r="C789" s="1">
        <v>45395</v>
      </c>
      <c r="D789" t="s">
        <v>828</v>
      </c>
      <c r="E789" t="s">
        <v>1084</v>
      </c>
      <c r="F789" t="s">
        <v>2154</v>
      </c>
      <c r="G789" t="s">
        <v>2167</v>
      </c>
      <c r="H789" t="s">
        <v>2192</v>
      </c>
      <c r="I789" t="s">
        <v>2207</v>
      </c>
      <c r="J789" t="s">
        <v>2212</v>
      </c>
      <c r="K789" t="s">
        <v>2222</v>
      </c>
      <c r="L789" t="s">
        <v>2247</v>
      </c>
      <c r="M789" t="s">
        <v>2251</v>
      </c>
      <c r="N789">
        <v>2</v>
      </c>
      <c r="O789">
        <f t="shared" si="60"/>
        <v>77440</v>
      </c>
      <c r="P789">
        <f t="shared" si="61"/>
        <v>154880</v>
      </c>
      <c r="Q789">
        <v>10</v>
      </c>
      <c r="R789">
        <f t="shared" si="62"/>
        <v>139392</v>
      </c>
      <c r="S789" t="s">
        <v>2263</v>
      </c>
      <c r="T789" t="s">
        <v>2266</v>
      </c>
      <c r="U789" s="1">
        <f t="shared" si="63"/>
        <v>45402</v>
      </c>
      <c r="V789">
        <f t="shared" si="64"/>
        <v>23232</v>
      </c>
    </row>
    <row r="790" spans="1:22" x14ac:dyDescent="0.3">
      <c r="A790" t="s">
        <v>808</v>
      </c>
      <c r="B790">
        <v>2024</v>
      </c>
      <c r="C790" s="1">
        <v>45474</v>
      </c>
      <c r="D790" t="s">
        <v>822</v>
      </c>
      <c r="E790" t="s">
        <v>1077</v>
      </c>
      <c r="F790" t="s">
        <v>2155</v>
      </c>
      <c r="G790" t="s">
        <v>2167</v>
      </c>
      <c r="H790" t="s">
        <v>2190</v>
      </c>
      <c r="I790" t="s">
        <v>2208</v>
      </c>
      <c r="J790" t="s">
        <v>2211</v>
      </c>
      <c r="K790" t="s">
        <v>2232</v>
      </c>
      <c r="L790" t="s">
        <v>2243</v>
      </c>
      <c r="M790" t="s">
        <v>2253</v>
      </c>
      <c r="N790">
        <v>4</v>
      </c>
      <c r="O790">
        <f t="shared" si="60"/>
        <v>77440</v>
      </c>
      <c r="P790">
        <f t="shared" si="61"/>
        <v>309760</v>
      </c>
      <c r="Q790">
        <v>20</v>
      </c>
      <c r="R790">
        <f t="shared" si="62"/>
        <v>247808</v>
      </c>
      <c r="S790" t="s">
        <v>2262</v>
      </c>
      <c r="T790" t="s">
        <v>2266</v>
      </c>
      <c r="U790" s="1">
        <f t="shared" si="63"/>
        <v>45481</v>
      </c>
      <c r="V790">
        <f t="shared" si="64"/>
        <v>46464</v>
      </c>
    </row>
    <row r="791" spans="1:22" x14ac:dyDescent="0.3">
      <c r="A791" t="s">
        <v>809</v>
      </c>
      <c r="B791">
        <v>2024</v>
      </c>
      <c r="C791" s="1">
        <v>45585</v>
      </c>
      <c r="D791" t="s">
        <v>824</v>
      </c>
      <c r="E791" t="s">
        <v>1338</v>
      </c>
      <c r="F791" t="s">
        <v>2156</v>
      </c>
      <c r="G791" t="s">
        <v>2167</v>
      </c>
      <c r="H791" t="s">
        <v>2188</v>
      </c>
      <c r="I791" t="s">
        <v>2208</v>
      </c>
      <c r="J791" t="s">
        <v>2212</v>
      </c>
      <c r="K791" t="s">
        <v>2241</v>
      </c>
      <c r="L791" t="s">
        <v>2247</v>
      </c>
      <c r="M791" t="s">
        <v>2254</v>
      </c>
      <c r="N791">
        <v>4</v>
      </c>
      <c r="O791">
        <f t="shared" si="60"/>
        <v>77440</v>
      </c>
      <c r="P791">
        <f t="shared" si="61"/>
        <v>309760</v>
      </c>
      <c r="Q791">
        <v>20</v>
      </c>
      <c r="R791">
        <f t="shared" si="62"/>
        <v>247808</v>
      </c>
      <c r="S791" t="s">
        <v>2261</v>
      </c>
      <c r="T791" t="s">
        <v>2264</v>
      </c>
      <c r="U791" s="1" t="str">
        <f t="shared" si="63"/>
        <v>Not Delivered</v>
      </c>
      <c r="V791">
        <f t="shared" si="64"/>
        <v>46464</v>
      </c>
    </row>
    <row r="792" spans="1:22" x14ac:dyDescent="0.3">
      <c r="A792" t="s">
        <v>810</v>
      </c>
      <c r="B792">
        <v>2024</v>
      </c>
      <c r="C792" s="1">
        <v>45633</v>
      </c>
      <c r="D792" t="s">
        <v>823</v>
      </c>
      <c r="E792" t="s">
        <v>1361</v>
      </c>
      <c r="F792" t="s">
        <v>2157</v>
      </c>
      <c r="G792" t="s">
        <v>2167</v>
      </c>
      <c r="H792" t="s">
        <v>2189</v>
      </c>
      <c r="I792" t="s">
        <v>2202</v>
      </c>
      <c r="J792" t="s">
        <v>2213</v>
      </c>
      <c r="K792" t="s">
        <v>2219</v>
      </c>
      <c r="L792" t="s">
        <v>2243</v>
      </c>
      <c r="M792" t="s">
        <v>2252</v>
      </c>
      <c r="N792">
        <v>1</v>
      </c>
      <c r="O792">
        <f t="shared" si="60"/>
        <v>77440</v>
      </c>
      <c r="P792">
        <f t="shared" si="61"/>
        <v>77440</v>
      </c>
      <c r="Q792">
        <v>15</v>
      </c>
      <c r="R792">
        <f t="shared" si="62"/>
        <v>65824</v>
      </c>
      <c r="S792" t="s">
        <v>2261</v>
      </c>
      <c r="T792" t="s">
        <v>2266</v>
      </c>
      <c r="U792" s="1">
        <f t="shared" si="63"/>
        <v>45640</v>
      </c>
      <c r="V792">
        <f t="shared" si="64"/>
        <v>11616</v>
      </c>
    </row>
    <row r="793" spans="1:22" x14ac:dyDescent="0.3">
      <c r="A793" t="s">
        <v>811</v>
      </c>
      <c r="B793">
        <v>2025</v>
      </c>
      <c r="C793" s="1">
        <v>45808</v>
      </c>
      <c r="D793" t="s">
        <v>823</v>
      </c>
      <c r="E793" t="s">
        <v>1036</v>
      </c>
      <c r="F793" t="s">
        <v>2158</v>
      </c>
      <c r="G793" t="s">
        <v>2167</v>
      </c>
      <c r="H793" t="s">
        <v>2174</v>
      </c>
      <c r="I793" t="s">
        <v>2205</v>
      </c>
      <c r="J793" t="s">
        <v>2213</v>
      </c>
      <c r="K793" t="s">
        <v>2215</v>
      </c>
      <c r="L793" t="s">
        <v>2243</v>
      </c>
      <c r="M793" t="s">
        <v>2255</v>
      </c>
      <c r="N793">
        <v>3</v>
      </c>
      <c r="O793">
        <f t="shared" si="60"/>
        <v>77440</v>
      </c>
      <c r="P793">
        <f t="shared" si="61"/>
        <v>232320</v>
      </c>
      <c r="Q793">
        <v>5</v>
      </c>
      <c r="R793">
        <f t="shared" si="62"/>
        <v>220704</v>
      </c>
      <c r="S793" t="s">
        <v>2263</v>
      </c>
      <c r="T793" t="s">
        <v>2264</v>
      </c>
      <c r="U793" s="1" t="str">
        <f t="shared" si="63"/>
        <v>Not Delivered</v>
      </c>
      <c r="V793">
        <f t="shared" si="64"/>
        <v>34848</v>
      </c>
    </row>
    <row r="794" spans="1:22" x14ac:dyDescent="0.3">
      <c r="A794" t="s">
        <v>812</v>
      </c>
      <c r="B794">
        <v>2024</v>
      </c>
      <c r="C794" s="1">
        <v>45405</v>
      </c>
      <c r="D794" t="s">
        <v>820</v>
      </c>
      <c r="E794" t="s">
        <v>1220</v>
      </c>
      <c r="F794" t="s">
        <v>2159</v>
      </c>
      <c r="G794" t="s">
        <v>2167</v>
      </c>
      <c r="H794" t="s">
        <v>2198</v>
      </c>
      <c r="I794" t="s">
        <v>2207</v>
      </c>
      <c r="J794" t="s">
        <v>2213</v>
      </c>
      <c r="K794" t="s">
        <v>2214</v>
      </c>
      <c r="L794" t="s">
        <v>2242</v>
      </c>
      <c r="M794" t="s">
        <v>2254</v>
      </c>
      <c r="N794">
        <v>4</v>
      </c>
      <c r="O794">
        <f t="shared" si="60"/>
        <v>77440</v>
      </c>
      <c r="P794">
        <f t="shared" si="61"/>
        <v>309760</v>
      </c>
      <c r="Q794">
        <v>0</v>
      </c>
      <c r="R794">
        <f t="shared" si="62"/>
        <v>309760</v>
      </c>
      <c r="S794" t="s">
        <v>2261</v>
      </c>
      <c r="T794" t="s">
        <v>2266</v>
      </c>
      <c r="U794" s="1">
        <f t="shared" si="63"/>
        <v>45412</v>
      </c>
      <c r="V794">
        <f t="shared" si="64"/>
        <v>46464</v>
      </c>
    </row>
    <row r="795" spans="1:22" x14ac:dyDescent="0.3">
      <c r="A795" t="s">
        <v>813</v>
      </c>
      <c r="B795">
        <v>2024</v>
      </c>
      <c r="C795" s="1">
        <v>45336</v>
      </c>
      <c r="D795" t="s">
        <v>823</v>
      </c>
      <c r="E795" t="s">
        <v>1362</v>
      </c>
      <c r="F795" t="s">
        <v>2160</v>
      </c>
      <c r="G795" t="s">
        <v>2167</v>
      </c>
      <c r="H795" t="s">
        <v>2174</v>
      </c>
      <c r="I795" t="s">
        <v>2205</v>
      </c>
      <c r="J795" t="s">
        <v>2213</v>
      </c>
      <c r="K795" t="s">
        <v>2232</v>
      </c>
      <c r="L795" t="s">
        <v>2243</v>
      </c>
      <c r="M795" t="s">
        <v>2258</v>
      </c>
      <c r="N795">
        <v>3</v>
      </c>
      <c r="O795">
        <f t="shared" si="60"/>
        <v>77440</v>
      </c>
      <c r="P795">
        <f t="shared" si="61"/>
        <v>232320</v>
      </c>
      <c r="Q795">
        <v>0</v>
      </c>
      <c r="R795">
        <f t="shared" si="62"/>
        <v>232320</v>
      </c>
      <c r="S795" t="s">
        <v>2260</v>
      </c>
      <c r="T795" t="s">
        <v>2264</v>
      </c>
      <c r="U795" s="1" t="str">
        <f t="shared" si="63"/>
        <v>Not Delivered</v>
      </c>
      <c r="V795">
        <f t="shared" si="64"/>
        <v>34848</v>
      </c>
    </row>
    <row r="796" spans="1:22" x14ac:dyDescent="0.3">
      <c r="A796" t="s">
        <v>814</v>
      </c>
      <c r="B796">
        <v>2024</v>
      </c>
      <c r="C796" s="1">
        <v>45396</v>
      </c>
      <c r="D796" t="s">
        <v>820</v>
      </c>
      <c r="E796" t="s">
        <v>877</v>
      </c>
      <c r="F796" t="s">
        <v>2161</v>
      </c>
      <c r="G796" t="s">
        <v>2167</v>
      </c>
      <c r="H796" t="s">
        <v>2170</v>
      </c>
      <c r="I796" t="s">
        <v>2201</v>
      </c>
      <c r="J796" t="s">
        <v>2210</v>
      </c>
      <c r="K796" t="s">
        <v>2227</v>
      </c>
      <c r="L796" t="s">
        <v>2247</v>
      </c>
      <c r="M796" t="s">
        <v>2251</v>
      </c>
      <c r="N796">
        <v>2</v>
      </c>
      <c r="O796">
        <f t="shared" si="60"/>
        <v>77440</v>
      </c>
      <c r="P796">
        <f t="shared" si="61"/>
        <v>154880</v>
      </c>
      <c r="Q796">
        <v>0</v>
      </c>
      <c r="R796">
        <f t="shared" si="62"/>
        <v>154880</v>
      </c>
      <c r="S796" t="s">
        <v>2263</v>
      </c>
      <c r="T796" t="s">
        <v>2265</v>
      </c>
      <c r="U796" s="1" t="str">
        <f t="shared" si="63"/>
        <v>Not Delivered</v>
      </c>
      <c r="V796">
        <f t="shared" si="64"/>
        <v>23232</v>
      </c>
    </row>
    <row r="797" spans="1:22" x14ac:dyDescent="0.3">
      <c r="A797" t="s">
        <v>815</v>
      </c>
      <c r="B797">
        <v>2025</v>
      </c>
      <c r="C797" s="1">
        <v>45750</v>
      </c>
      <c r="D797" t="s">
        <v>822</v>
      </c>
      <c r="E797" t="s">
        <v>1363</v>
      </c>
      <c r="F797" t="s">
        <v>2162</v>
      </c>
      <c r="G797" t="s">
        <v>2167</v>
      </c>
      <c r="H797" t="s">
        <v>2184</v>
      </c>
      <c r="I797" t="s">
        <v>2202</v>
      </c>
      <c r="J797" t="s">
        <v>2210</v>
      </c>
      <c r="K797" t="s">
        <v>2219</v>
      </c>
      <c r="L797" t="s">
        <v>2243</v>
      </c>
      <c r="M797" t="s">
        <v>2252</v>
      </c>
      <c r="N797">
        <v>2</v>
      </c>
      <c r="O797">
        <f t="shared" si="60"/>
        <v>77440</v>
      </c>
      <c r="P797">
        <f t="shared" si="61"/>
        <v>154880</v>
      </c>
      <c r="Q797">
        <v>5</v>
      </c>
      <c r="R797">
        <f t="shared" si="62"/>
        <v>147136</v>
      </c>
      <c r="S797" t="s">
        <v>2262</v>
      </c>
      <c r="T797" t="s">
        <v>2264</v>
      </c>
      <c r="U797" s="1" t="str">
        <f t="shared" si="63"/>
        <v>Not Delivered</v>
      </c>
      <c r="V797">
        <f t="shared" si="64"/>
        <v>23232</v>
      </c>
    </row>
    <row r="798" spans="1:22" x14ac:dyDescent="0.3">
      <c r="A798" t="s">
        <v>816</v>
      </c>
      <c r="B798">
        <v>2025</v>
      </c>
      <c r="C798" s="1">
        <v>45678</v>
      </c>
      <c r="D798" t="s">
        <v>824</v>
      </c>
      <c r="E798" t="s">
        <v>1121</v>
      </c>
      <c r="F798" t="s">
        <v>2163</v>
      </c>
      <c r="G798" t="s">
        <v>2167</v>
      </c>
      <c r="H798" t="s">
        <v>2192</v>
      </c>
      <c r="I798" t="s">
        <v>2207</v>
      </c>
      <c r="J798" t="s">
        <v>2212</v>
      </c>
      <c r="K798" t="s">
        <v>2229</v>
      </c>
      <c r="L798" t="s">
        <v>2246</v>
      </c>
      <c r="M798" t="s">
        <v>2252</v>
      </c>
      <c r="N798">
        <v>2</v>
      </c>
      <c r="O798">
        <f t="shared" si="60"/>
        <v>77440</v>
      </c>
      <c r="P798">
        <f t="shared" si="61"/>
        <v>154880</v>
      </c>
      <c r="Q798">
        <v>20</v>
      </c>
      <c r="R798">
        <f t="shared" si="62"/>
        <v>123904</v>
      </c>
      <c r="S798" t="s">
        <v>2260</v>
      </c>
      <c r="T798" t="s">
        <v>2265</v>
      </c>
      <c r="U798" s="1" t="str">
        <f t="shared" si="63"/>
        <v>Not Delivered</v>
      </c>
      <c r="V798">
        <f t="shared" si="64"/>
        <v>23232</v>
      </c>
    </row>
    <row r="799" spans="1:22" x14ac:dyDescent="0.3">
      <c r="A799" t="s">
        <v>817</v>
      </c>
      <c r="B799">
        <v>2025</v>
      </c>
      <c r="C799" s="1">
        <v>45837</v>
      </c>
      <c r="D799" t="s">
        <v>820</v>
      </c>
      <c r="E799" t="s">
        <v>1364</v>
      </c>
      <c r="F799" t="s">
        <v>2164</v>
      </c>
      <c r="G799" t="s">
        <v>2167</v>
      </c>
      <c r="H799" t="s">
        <v>2182</v>
      </c>
      <c r="I799" t="s">
        <v>2206</v>
      </c>
      <c r="J799" t="s">
        <v>2213</v>
      </c>
      <c r="K799" t="s">
        <v>2228</v>
      </c>
      <c r="L799" t="s">
        <v>2243</v>
      </c>
      <c r="M799" t="s">
        <v>2248</v>
      </c>
      <c r="N799">
        <v>2</v>
      </c>
      <c r="O799">
        <f t="shared" si="60"/>
        <v>77440</v>
      </c>
      <c r="P799">
        <f t="shared" si="61"/>
        <v>154880</v>
      </c>
      <c r="Q799">
        <v>10</v>
      </c>
      <c r="R799">
        <f t="shared" si="62"/>
        <v>139392</v>
      </c>
      <c r="S799" t="s">
        <v>2262</v>
      </c>
      <c r="T799" t="s">
        <v>2266</v>
      </c>
      <c r="U799" s="1">
        <f t="shared" si="63"/>
        <v>45844</v>
      </c>
      <c r="V799">
        <f t="shared" si="64"/>
        <v>23232</v>
      </c>
    </row>
    <row r="800" spans="1:22" x14ac:dyDescent="0.3">
      <c r="A800" t="s">
        <v>818</v>
      </c>
      <c r="B800">
        <v>2024</v>
      </c>
      <c r="C800" s="1">
        <v>45590</v>
      </c>
      <c r="D800" t="s">
        <v>826</v>
      </c>
      <c r="E800" t="s">
        <v>1365</v>
      </c>
      <c r="F800" t="s">
        <v>2165</v>
      </c>
      <c r="G800" t="s">
        <v>2167</v>
      </c>
      <c r="H800" t="s">
        <v>2170</v>
      </c>
      <c r="I800" t="s">
        <v>2201</v>
      </c>
      <c r="J800" t="s">
        <v>2210</v>
      </c>
      <c r="K800" t="s">
        <v>2238</v>
      </c>
      <c r="L800" t="s">
        <v>2246</v>
      </c>
      <c r="M800" t="s">
        <v>2259</v>
      </c>
      <c r="N800">
        <v>5</v>
      </c>
      <c r="O800">
        <f t="shared" si="60"/>
        <v>77440</v>
      </c>
      <c r="P800">
        <f t="shared" si="61"/>
        <v>387200</v>
      </c>
      <c r="Q800">
        <v>15</v>
      </c>
      <c r="R800">
        <f t="shared" si="62"/>
        <v>329120</v>
      </c>
      <c r="S800" t="s">
        <v>2262</v>
      </c>
      <c r="T800" t="s">
        <v>2264</v>
      </c>
      <c r="U800" s="1" t="str">
        <f t="shared" si="63"/>
        <v>Not Delivered</v>
      </c>
      <c r="V800">
        <f t="shared" si="64"/>
        <v>58080</v>
      </c>
    </row>
    <row r="801" spans="1:22" x14ac:dyDescent="0.3">
      <c r="A801" t="s">
        <v>819</v>
      </c>
      <c r="B801">
        <v>2024</v>
      </c>
      <c r="C801" s="1">
        <v>45444</v>
      </c>
      <c r="D801" t="s">
        <v>820</v>
      </c>
      <c r="E801" t="s">
        <v>1366</v>
      </c>
      <c r="F801" t="s">
        <v>2166</v>
      </c>
      <c r="G801" t="s">
        <v>2167</v>
      </c>
      <c r="H801" t="s">
        <v>2183</v>
      </c>
      <c r="I801" t="s">
        <v>2204</v>
      </c>
      <c r="J801" t="s">
        <v>2210</v>
      </c>
      <c r="K801" t="s">
        <v>2233</v>
      </c>
      <c r="L801" t="s">
        <v>2245</v>
      </c>
      <c r="M801" t="s">
        <v>2259</v>
      </c>
      <c r="N801">
        <v>3</v>
      </c>
      <c r="O801">
        <f t="shared" si="60"/>
        <v>77440</v>
      </c>
      <c r="P801">
        <f t="shared" si="61"/>
        <v>232320</v>
      </c>
      <c r="Q801">
        <v>5</v>
      </c>
      <c r="R801">
        <f t="shared" si="62"/>
        <v>220704</v>
      </c>
      <c r="S801" t="s">
        <v>2261</v>
      </c>
      <c r="T801" t="s">
        <v>2266</v>
      </c>
      <c r="U801" s="1">
        <f t="shared" si="63"/>
        <v>45451</v>
      </c>
      <c r="V801">
        <f t="shared" si="64"/>
        <v>34848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A75DC-15A6-4183-84F5-1A3A98B1BF1E}">
  <dimension ref="A2:H157"/>
  <sheetViews>
    <sheetView topLeftCell="A139" zoomScale="80" workbookViewId="0">
      <selection activeCell="H149" sqref="H149"/>
    </sheetView>
  </sheetViews>
  <sheetFormatPr defaultRowHeight="14.4" x14ac:dyDescent="0.3"/>
  <cols>
    <col min="1" max="1" width="13.33203125" bestFit="1" customWidth="1"/>
    <col min="2" max="2" width="16.109375" bestFit="1" customWidth="1"/>
    <col min="3" max="3" width="12.21875" bestFit="1" customWidth="1"/>
    <col min="4" max="4" width="13.33203125" bestFit="1" customWidth="1"/>
    <col min="5" max="5" width="12.21875" bestFit="1" customWidth="1"/>
    <col min="6" max="6" width="19" bestFit="1" customWidth="1"/>
    <col min="7" max="7" width="13.33203125" bestFit="1" customWidth="1"/>
    <col min="8" max="8" width="22.88671875" bestFit="1" customWidth="1"/>
  </cols>
  <sheetData>
    <row r="2" spans="1:3" x14ac:dyDescent="0.3">
      <c r="A2" t="s">
        <v>2285</v>
      </c>
      <c r="B2" t="s">
        <v>2289</v>
      </c>
    </row>
    <row r="3" spans="1:3" x14ac:dyDescent="0.3">
      <c r="A3" s="4" t="s">
        <v>2268</v>
      </c>
      <c r="B3" t="s">
        <v>2284</v>
      </c>
      <c r="C3" t="s">
        <v>2282</v>
      </c>
    </row>
    <row r="4" spans="1:3" x14ac:dyDescent="0.3">
      <c r="A4" s="5" t="s">
        <v>2270</v>
      </c>
      <c r="B4" s="6">
        <v>17578880</v>
      </c>
      <c r="C4" s="6">
        <v>2636832</v>
      </c>
    </row>
    <row r="5" spans="1:3" x14ac:dyDescent="0.3">
      <c r="A5" s="5" t="s">
        <v>2271</v>
      </c>
      <c r="B5" s="6">
        <v>19979520</v>
      </c>
      <c r="C5" s="6">
        <v>2996928</v>
      </c>
    </row>
    <row r="6" spans="1:3" x14ac:dyDescent="0.3">
      <c r="A6" s="5" t="s">
        <v>2272</v>
      </c>
      <c r="B6" s="6">
        <v>24471040</v>
      </c>
      <c r="C6" s="6">
        <v>3670656</v>
      </c>
    </row>
    <row r="7" spans="1:3" x14ac:dyDescent="0.3">
      <c r="A7" s="5" t="s">
        <v>2273</v>
      </c>
      <c r="B7" s="6">
        <v>22225280</v>
      </c>
      <c r="C7" s="6">
        <v>3333792</v>
      </c>
    </row>
    <row r="8" spans="1:3" x14ac:dyDescent="0.3">
      <c r="A8" s="5" t="s">
        <v>2274</v>
      </c>
      <c r="B8" s="6">
        <v>15952640</v>
      </c>
      <c r="C8" s="6">
        <v>2392896</v>
      </c>
    </row>
    <row r="9" spans="1:3" x14ac:dyDescent="0.3">
      <c r="A9" s="5" t="s">
        <v>2275</v>
      </c>
      <c r="B9" s="6">
        <v>19205120</v>
      </c>
      <c r="C9" s="6">
        <v>2880768</v>
      </c>
    </row>
    <row r="10" spans="1:3" x14ac:dyDescent="0.3">
      <c r="A10" s="5" t="s">
        <v>2276</v>
      </c>
      <c r="B10" s="6">
        <v>19669760</v>
      </c>
      <c r="C10" s="6">
        <v>2950464</v>
      </c>
    </row>
    <row r="11" spans="1:3" x14ac:dyDescent="0.3">
      <c r="A11" s="5" t="s">
        <v>2277</v>
      </c>
      <c r="B11" s="6">
        <v>11073920</v>
      </c>
      <c r="C11" s="6">
        <v>1661088</v>
      </c>
    </row>
    <row r="12" spans="1:3" x14ac:dyDescent="0.3">
      <c r="A12" s="5" t="s">
        <v>2278</v>
      </c>
      <c r="B12" s="6">
        <v>10299520</v>
      </c>
      <c r="C12" s="6">
        <v>1544928</v>
      </c>
    </row>
    <row r="13" spans="1:3" x14ac:dyDescent="0.3">
      <c r="A13" s="5" t="s">
        <v>2279</v>
      </c>
      <c r="B13" s="6">
        <v>8750720</v>
      </c>
      <c r="C13" s="6">
        <v>1312608</v>
      </c>
    </row>
    <row r="14" spans="1:3" x14ac:dyDescent="0.3">
      <c r="A14" s="5" t="s">
        <v>2280</v>
      </c>
      <c r="B14" s="6">
        <v>9912320</v>
      </c>
      <c r="C14" s="6">
        <v>1486848</v>
      </c>
    </row>
    <row r="15" spans="1:3" x14ac:dyDescent="0.3">
      <c r="A15" s="5" t="s">
        <v>2281</v>
      </c>
      <c r="B15" s="6">
        <v>10764160</v>
      </c>
      <c r="C15" s="6">
        <v>1614624</v>
      </c>
    </row>
    <row r="16" spans="1:3" x14ac:dyDescent="0.3">
      <c r="A16" s="5" t="s">
        <v>2269</v>
      </c>
      <c r="B16" s="6">
        <v>189882880</v>
      </c>
      <c r="C16" s="6">
        <v>28482432</v>
      </c>
    </row>
    <row r="23" spans="1:4" x14ac:dyDescent="0.3">
      <c r="A23" s="5" t="s">
        <v>2286</v>
      </c>
      <c r="B23" t="s">
        <v>2290</v>
      </c>
    </row>
    <row r="25" spans="1:4" x14ac:dyDescent="0.3">
      <c r="A25" s="4" t="s">
        <v>2268</v>
      </c>
      <c r="B25" t="s">
        <v>2282</v>
      </c>
      <c r="C25" t="s">
        <v>2287</v>
      </c>
      <c r="D25" t="s">
        <v>2288</v>
      </c>
    </row>
    <row r="26" spans="1:4" x14ac:dyDescent="0.3">
      <c r="A26" s="5" t="s">
        <v>2246</v>
      </c>
      <c r="B26" s="15">
        <v>5203968</v>
      </c>
      <c r="C26" t="str">
        <f>A26</f>
        <v>Audio</v>
      </c>
      <c r="D26" s="6">
        <f>GETPIVOTDATA("Profit",$A$25,"Product Category",A26)</f>
        <v>5203968</v>
      </c>
    </row>
    <row r="27" spans="1:4" x14ac:dyDescent="0.3">
      <c r="A27" s="5" t="s">
        <v>2247</v>
      </c>
      <c r="B27" s="15">
        <v>5122656</v>
      </c>
      <c r="C27" t="str">
        <f t="shared" ref="C27:C31" si="0">A27</f>
        <v>Televisions</v>
      </c>
      <c r="D27" s="6">
        <f t="shared" ref="D27:D31" si="1">GETPIVOTDATA("Profit",$A$25,"Product Category",A27)</f>
        <v>5122656</v>
      </c>
    </row>
    <row r="28" spans="1:4" x14ac:dyDescent="0.3">
      <c r="A28" s="5" t="s">
        <v>2243</v>
      </c>
      <c r="B28" s="15">
        <v>4867104</v>
      </c>
      <c r="C28" t="str">
        <f t="shared" si="0"/>
        <v>Laptops</v>
      </c>
      <c r="D28" s="6">
        <f t="shared" si="1"/>
        <v>4867104</v>
      </c>
    </row>
    <row r="29" spans="1:4" x14ac:dyDescent="0.3">
      <c r="A29" s="5" t="s">
        <v>2242</v>
      </c>
      <c r="B29" s="15">
        <v>4739328</v>
      </c>
      <c r="C29" t="str">
        <f t="shared" si="0"/>
        <v>Wearables</v>
      </c>
      <c r="D29" s="6">
        <f t="shared" si="1"/>
        <v>4739328</v>
      </c>
    </row>
    <row r="30" spans="1:4" x14ac:dyDescent="0.3">
      <c r="A30" s="5" t="s">
        <v>2244</v>
      </c>
      <c r="B30" s="15">
        <v>4414080</v>
      </c>
      <c r="C30" t="str">
        <f t="shared" si="0"/>
        <v>Tablets</v>
      </c>
      <c r="D30" s="6">
        <f t="shared" si="1"/>
        <v>4414080</v>
      </c>
    </row>
    <row r="31" spans="1:4" x14ac:dyDescent="0.3">
      <c r="A31" s="5" t="s">
        <v>2245</v>
      </c>
      <c r="B31" s="15">
        <v>4135296</v>
      </c>
      <c r="C31" t="str">
        <f t="shared" si="0"/>
        <v>Smartphones</v>
      </c>
      <c r="D31" s="6">
        <f t="shared" si="1"/>
        <v>4135296</v>
      </c>
    </row>
    <row r="32" spans="1:4" x14ac:dyDescent="0.3">
      <c r="A32" s="5" t="s">
        <v>2269</v>
      </c>
      <c r="B32" s="15">
        <v>28482432</v>
      </c>
      <c r="C32" t="str">
        <f>A32</f>
        <v>Grand Total</v>
      </c>
      <c r="D32" s="6">
        <f>GETPIVOTDATA("Profit",$A$25)</f>
        <v>28482432</v>
      </c>
    </row>
    <row r="41" spans="1:3" x14ac:dyDescent="0.3">
      <c r="A41" t="s">
        <v>2291</v>
      </c>
      <c r="C41" t="s">
        <v>2292</v>
      </c>
    </row>
    <row r="43" spans="1:3" x14ac:dyDescent="0.3">
      <c r="A43" s="4" t="s">
        <v>2268</v>
      </c>
      <c r="B43" t="s">
        <v>2284</v>
      </c>
    </row>
    <row r="44" spans="1:3" x14ac:dyDescent="0.3">
      <c r="A44" s="5" t="s">
        <v>2246</v>
      </c>
      <c r="B44" s="7">
        <v>0.18270799347471453</v>
      </c>
    </row>
    <row r="45" spans="1:3" x14ac:dyDescent="0.3">
      <c r="A45" s="5" t="s">
        <v>2243</v>
      </c>
      <c r="B45" s="7">
        <v>0.17088091353996737</v>
      </c>
    </row>
    <row r="46" spans="1:3" x14ac:dyDescent="0.3">
      <c r="A46" s="5" t="s">
        <v>2245</v>
      </c>
      <c r="B46" s="7">
        <v>0.14518760195758565</v>
      </c>
    </row>
    <row r="47" spans="1:3" x14ac:dyDescent="0.3">
      <c r="A47" s="5" t="s">
        <v>2244</v>
      </c>
      <c r="B47" s="7">
        <v>0.15497553017944535</v>
      </c>
    </row>
    <row r="48" spans="1:3" x14ac:dyDescent="0.3">
      <c r="A48" s="5" t="s">
        <v>2247</v>
      </c>
      <c r="B48" s="7">
        <v>0.17985318107667211</v>
      </c>
    </row>
    <row r="49" spans="1:4" x14ac:dyDescent="0.3">
      <c r="A49" s="5" t="s">
        <v>2242</v>
      </c>
      <c r="B49" s="7">
        <v>0.16639477977161501</v>
      </c>
    </row>
    <row r="50" spans="1:4" x14ac:dyDescent="0.3">
      <c r="A50" s="5" t="s">
        <v>2269</v>
      </c>
      <c r="B50" s="7">
        <v>1</v>
      </c>
    </row>
    <row r="59" spans="1:4" x14ac:dyDescent="0.3">
      <c r="A59" t="s">
        <v>2296</v>
      </c>
      <c r="B59" t="s">
        <v>2293</v>
      </c>
    </row>
    <row r="60" spans="1:4" x14ac:dyDescent="0.3">
      <c r="A60" s="4" t="s">
        <v>2268</v>
      </c>
      <c r="B60" t="s">
        <v>2284</v>
      </c>
      <c r="C60" t="s">
        <v>2294</v>
      </c>
      <c r="D60" t="s">
        <v>2295</v>
      </c>
    </row>
    <row r="61" spans="1:4" x14ac:dyDescent="0.3">
      <c r="A61" s="5" t="s">
        <v>2200</v>
      </c>
      <c r="B61" s="15">
        <v>17811200</v>
      </c>
      <c r="C61" t="str">
        <f>A61</f>
        <v>Delhi</v>
      </c>
      <c r="D61" s="6">
        <f>GETPIVOTDATA("Total Sales",$A$60,"State",A61)</f>
        <v>17811200</v>
      </c>
    </row>
    <row r="62" spans="1:4" x14ac:dyDescent="0.3">
      <c r="A62" s="5" t="s">
        <v>2205</v>
      </c>
      <c r="B62" s="15">
        <v>19050240</v>
      </c>
      <c r="C62" t="str">
        <f t="shared" ref="C62:C71" si="2">A62</f>
        <v>Gujarat</v>
      </c>
      <c r="D62" s="6">
        <f t="shared" ref="D62:D70" si="3">GETPIVOTDATA("Total Sales",$A$60,"State",A62)</f>
        <v>19050240</v>
      </c>
    </row>
    <row r="63" spans="1:4" x14ac:dyDescent="0.3">
      <c r="A63" s="5" t="s">
        <v>2208</v>
      </c>
      <c r="B63" s="15">
        <v>17424000</v>
      </c>
      <c r="C63" t="str">
        <f t="shared" si="2"/>
        <v>Karnataka</v>
      </c>
      <c r="D63" s="6">
        <f t="shared" si="3"/>
        <v>17424000</v>
      </c>
    </row>
    <row r="64" spans="1:4" x14ac:dyDescent="0.3">
      <c r="A64" s="5" t="s">
        <v>2206</v>
      </c>
      <c r="B64" s="15">
        <v>19979520</v>
      </c>
      <c r="C64" t="str">
        <f t="shared" si="2"/>
        <v>Maharashtra</v>
      </c>
      <c r="D64" s="6">
        <f t="shared" si="3"/>
        <v>19979520</v>
      </c>
    </row>
    <row r="65" spans="1:4" x14ac:dyDescent="0.3">
      <c r="A65" s="5" t="s">
        <v>2204</v>
      </c>
      <c r="B65" s="15">
        <v>18508160</v>
      </c>
      <c r="C65" t="str">
        <f t="shared" si="2"/>
        <v>Punjab</v>
      </c>
      <c r="D65" s="6">
        <f t="shared" si="3"/>
        <v>18508160</v>
      </c>
    </row>
    <row r="66" spans="1:4" x14ac:dyDescent="0.3">
      <c r="A66" s="5" t="s">
        <v>2203</v>
      </c>
      <c r="B66" s="15">
        <v>18972800</v>
      </c>
      <c r="C66" t="str">
        <f t="shared" si="2"/>
        <v>Rajasthan</v>
      </c>
      <c r="D66" s="6">
        <f t="shared" si="3"/>
        <v>18972800</v>
      </c>
    </row>
    <row r="67" spans="1:4" x14ac:dyDescent="0.3">
      <c r="A67" s="5" t="s">
        <v>2207</v>
      </c>
      <c r="B67" s="15">
        <v>21141120</v>
      </c>
      <c r="C67" t="str">
        <f t="shared" si="2"/>
        <v>Tamil Nadu</v>
      </c>
      <c r="D67" s="6">
        <f t="shared" si="3"/>
        <v>21141120</v>
      </c>
    </row>
    <row r="68" spans="1:4" x14ac:dyDescent="0.3">
      <c r="A68" s="5" t="s">
        <v>2209</v>
      </c>
      <c r="B68" s="15">
        <v>19747200</v>
      </c>
      <c r="C68" t="str">
        <f t="shared" si="2"/>
        <v>Telangana</v>
      </c>
      <c r="D68" s="6">
        <f t="shared" si="3"/>
        <v>19747200</v>
      </c>
    </row>
    <row r="69" spans="1:4" x14ac:dyDescent="0.3">
      <c r="A69" s="5" t="s">
        <v>2201</v>
      </c>
      <c r="B69" s="15">
        <v>19824640</v>
      </c>
      <c r="C69" t="str">
        <f t="shared" si="2"/>
        <v>Uttar Pradesh</v>
      </c>
      <c r="D69" s="6">
        <f t="shared" si="3"/>
        <v>19824640</v>
      </c>
    </row>
    <row r="70" spans="1:4" x14ac:dyDescent="0.3">
      <c r="A70" s="5" t="s">
        <v>2202</v>
      </c>
      <c r="B70" s="15">
        <v>17424000</v>
      </c>
      <c r="C70" t="str">
        <f t="shared" si="2"/>
        <v>West Bengal</v>
      </c>
      <c r="D70" s="6">
        <f t="shared" si="3"/>
        <v>17424000</v>
      </c>
    </row>
    <row r="71" spans="1:4" x14ac:dyDescent="0.3">
      <c r="A71" s="5" t="s">
        <v>2269</v>
      </c>
      <c r="B71" s="15">
        <v>189882880</v>
      </c>
      <c r="C71" t="str">
        <f t="shared" si="2"/>
        <v>Grand Total</v>
      </c>
      <c r="D71" s="6">
        <f>GETPIVOTDATA("Total Sales",$A$60)</f>
        <v>189882880</v>
      </c>
    </row>
    <row r="77" spans="1:4" x14ac:dyDescent="0.3">
      <c r="A77" t="s">
        <v>2297</v>
      </c>
      <c r="B77" t="s">
        <v>2298</v>
      </c>
    </row>
    <row r="79" spans="1:4" x14ac:dyDescent="0.3">
      <c r="A79" s="4" t="s">
        <v>2268</v>
      </c>
      <c r="B79" t="s">
        <v>2284</v>
      </c>
    </row>
    <row r="80" spans="1:4" x14ac:dyDescent="0.3">
      <c r="A80" s="5" t="s">
        <v>2214</v>
      </c>
      <c r="B80" s="15">
        <v>10067200</v>
      </c>
    </row>
    <row r="81" spans="1:2" x14ac:dyDescent="0.3">
      <c r="A81" s="5" t="s">
        <v>2216</v>
      </c>
      <c r="B81" s="15">
        <v>9447680</v>
      </c>
    </row>
    <row r="82" spans="1:2" x14ac:dyDescent="0.3">
      <c r="A82" s="5" t="s">
        <v>2240</v>
      </c>
      <c r="B82" s="15">
        <v>9215360</v>
      </c>
    </row>
    <row r="83" spans="1:2" x14ac:dyDescent="0.3">
      <c r="A83" s="5" t="s">
        <v>2234</v>
      </c>
      <c r="B83" s="15">
        <v>8595840</v>
      </c>
    </row>
    <row r="84" spans="1:2" x14ac:dyDescent="0.3">
      <c r="A84" s="5" t="s">
        <v>2226</v>
      </c>
      <c r="B84" s="15">
        <v>8363520</v>
      </c>
    </row>
    <row r="85" spans="1:2" x14ac:dyDescent="0.3">
      <c r="A85" s="5" t="s">
        <v>2230</v>
      </c>
      <c r="B85" s="15">
        <v>8363520</v>
      </c>
    </row>
    <row r="86" spans="1:2" x14ac:dyDescent="0.3">
      <c r="A86" s="5" t="s">
        <v>2269</v>
      </c>
      <c r="B86" s="15">
        <v>54053120</v>
      </c>
    </row>
    <row r="96" spans="1:2" x14ac:dyDescent="0.3">
      <c r="A96" t="s">
        <v>2299</v>
      </c>
    </row>
    <row r="98" spans="1:8" x14ac:dyDescent="0.3">
      <c r="A98" s="4" t="s">
        <v>2268</v>
      </c>
      <c r="B98" t="s">
        <v>2284</v>
      </c>
      <c r="D98" s="4" t="s">
        <v>2268</v>
      </c>
      <c r="E98" t="s">
        <v>2282</v>
      </c>
      <c r="G98" s="4" t="s">
        <v>2268</v>
      </c>
      <c r="H98" t="s">
        <v>2302</v>
      </c>
    </row>
    <row r="99" spans="1:8" x14ac:dyDescent="0.3">
      <c r="A99" s="5" t="s">
        <v>2270</v>
      </c>
      <c r="B99" s="15">
        <v>17578880</v>
      </c>
      <c r="D99" s="5" t="s">
        <v>2270</v>
      </c>
      <c r="E99" s="15">
        <v>2636832</v>
      </c>
      <c r="G99" s="5" t="s">
        <v>2270</v>
      </c>
      <c r="H99" s="15">
        <v>227</v>
      </c>
    </row>
    <row r="100" spans="1:8" x14ac:dyDescent="0.3">
      <c r="A100" s="5" t="s">
        <v>2271</v>
      </c>
      <c r="B100" s="15">
        <v>19979520</v>
      </c>
      <c r="D100" s="5" t="s">
        <v>2271</v>
      </c>
      <c r="E100" s="15">
        <v>2996928</v>
      </c>
      <c r="G100" s="5" t="s">
        <v>2271</v>
      </c>
      <c r="H100" s="15">
        <v>258</v>
      </c>
    </row>
    <row r="101" spans="1:8" x14ac:dyDescent="0.3">
      <c r="A101" s="5" t="s">
        <v>2272</v>
      </c>
      <c r="B101" s="15">
        <v>24471040</v>
      </c>
      <c r="D101" s="5" t="s">
        <v>2272</v>
      </c>
      <c r="E101" s="15">
        <v>3670656</v>
      </c>
      <c r="G101" s="5" t="s">
        <v>2272</v>
      </c>
      <c r="H101" s="15">
        <v>316</v>
      </c>
    </row>
    <row r="102" spans="1:8" x14ac:dyDescent="0.3">
      <c r="A102" s="5" t="s">
        <v>2273</v>
      </c>
      <c r="B102" s="15">
        <v>22225280</v>
      </c>
      <c r="D102" s="5" t="s">
        <v>2273</v>
      </c>
      <c r="E102" s="15">
        <v>3333792</v>
      </c>
      <c r="G102" s="5" t="s">
        <v>2273</v>
      </c>
      <c r="H102" s="15">
        <v>287</v>
      </c>
    </row>
    <row r="103" spans="1:8" x14ac:dyDescent="0.3">
      <c r="A103" s="5" t="s">
        <v>2274</v>
      </c>
      <c r="B103" s="15">
        <v>15952640</v>
      </c>
      <c r="D103" s="5" t="s">
        <v>2274</v>
      </c>
      <c r="E103" s="15">
        <v>2392896</v>
      </c>
      <c r="G103" s="5" t="s">
        <v>2274</v>
      </c>
      <c r="H103" s="15">
        <v>206</v>
      </c>
    </row>
    <row r="104" spans="1:8" x14ac:dyDescent="0.3">
      <c r="A104" s="5" t="s">
        <v>2275</v>
      </c>
      <c r="B104" s="15">
        <v>19205120</v>
      </c>
      <c r="D104" s="5" t="s">
        <v>2275</v>
      </c>
      <c r="E104" s="15">
        <v>2880768</v>
      </c>
      <c r="G104" s="5" t="s">
        <v>2275</v>
      </c>
      <c r="H104" s="15">
        <v>248</v>
      </c>
    </row>
    <row r="105" spans="1:8" x14ac:dyDescent="0.3">
      <c r="A105" s="5" t="s">
        <v>2276</v>
      </c>
      <c r="B105" s="15">
        <v>19669760</v>
      </c>
      <c r="D105" s="5" t="s">
        <v>2276</v>
      </c>
      <c r="E105" s="15">
        <v>2950464</v>
      </c>
      <c r="G105" s="5" t="s">
        <v>2276</v>
      </c>
      <c r="H105" s="15">
        <v>254</v>
      </c>
    </row>
    <row r="106" spans="1:8" x14ac:dyDescent="0.3">
      <c r="A106" s="5" t="s">
        <v>2277</v>
      </c>
      <c r="B106" s="15">
        <v>11073920</v>
      </c>
      <c r="D106" s="5" t="s">
        <v>2277</v>
      </c>
      <c r="E106" s="15">
        <v>1661088</v>
      </c>
      <c r="G106" s="5" t="s">
        <v>2277</v>
      </c>
      <c r="H106" s="15">
        <v>143</v>
      </c>
    </row>
    <row r="107" spans="1:8" x14ac:dyDescent="0.3">
      <c r="A107" s="5" t="s">
        <v>2278</v>
      </c>
      <c r="B107" s="15">
        <v>10299520</v>
      </c>
      <c r="D107" s="5" t="s">
        <v>2278</v>
      </c>
      <c r="E107" s="15">
        <v>1544928</v>
      </c>
      <c r="G107" s="5" t="s">
        <v>2278</v>
      </c>
      <c r="H107" s="15">
        <v>133</v>
      </c>
    </row>
    <row r="108" spans="1:8" x14ac:dyDescent="0.3">
      <c r="A108" s="5" t="s">
        <v>2279</v>
      </c>
      <c r="B108" s="15">
        <v>8750720</v>
      </c>
      <c r="D108" s="5" t="s">
        <v>2279</v>
      </c>
      <c r="E108" s="15">
        <v>1312608</v>
      </c>
      <c r="G108" s="5" t="s">
        <v>2279</v>
      </c>
      <c r="H108" s="15">
        <v>113</v>
      </c>
    </row>
    <row r="109" spans="1:8" x14ac:dyDescent="0.3">
      <c r="A109" s="5" t="s">
        <v>2280</v>
      </c>
      <c r="B109" s="15">
        <v>9912320</v>
      </c>
      <c r="D109" s="5" t="s">
        <v>2280</v>
      </c>
      <c r="E109" s="15">
        <v>1486848</v>
      </c>
      <c r="G109" s="5" t="s">
        <v>2280</v>
      </c>
      <c r="H109" s="15">
        <v>128</v>
      </c>
    </row>
    <row r="110" spans="1:8" x14ac:dyDescent="0.3">
      <c r="A110" s="5" t="s">
        <v>2281</v>
      </c>
      <c r="B110" s="15">
        <v>10764160</v>
      </c>
      <c r="D110" s="5" t="s">
        <v>2281</v>
      </c>
      <c r="E110" s="15">
        <v>1614624</v>
      </c>
      <c r="G110" s="5" t="s">
        <v>2281</v>
      </c>
      <c r="H110" s="15">
        <v>139</v>
      </c>
    </row>
    <row r="111" spans="1:8" x14ac:dyDescent="0.3">
      <c r="A111" s="5" t="s">
        <v>2269</v>
      </c>
      <c r="B111" s="15">
        <v>189882880</v>
      </c>
      <c r="D111" s="5" t="s">
        <v>2269</v>
      </c>
      <c r="E111" s="15">
        <v>28482432</v>
      </c>
      <c r="G111" s="5" t="s">
        <v>2269</v>
      </c>
      <c r="H111" s="15">
        <v>2452</v>
      </c>
    </row>
    <row r="112" spans="1:8" x14ac:dyDescent="0.3">
      <c r="A112" s="5"/>
      <c r="B112" s="8">
        <f>GETPIVOTDATA("Total Sales",$A$98)</f>
        <v>189882880</v>
      </c>
      <c r="D112" s="5"/>
      <c r="E112" s="9">
        <f>GETPIVOTDATA("Profit",$D$98)</f>
        <v>28482432</v>
      </c>
      <c r="G112" s="5"/>
      <c r="H112" s="10">
        <f>GETPIVOTDATA("Quantity Ordered",$G$98)</f>
        <v>2452</v>
      </c>
    </row>
    <row r="113" spans="1:7" x14ac:dyDescent="0.3">
      <c r="A113" s="5"/>
      <c r="D113" s="5"/>
      <c r="G113" s="5"/>
    </row>
    <row r="114" spans="1:7" x14ac:dyDescent="0.3">
      <c r="A114" s="5"/>
      <c r="D114" s="5"/>
      <c r="G114" s="5"/>
    </row>
    <row r="120" spans="1:7" x14ac:dyDescent="0.3">
      <c r="A120" s="4" t="s">
        <v>2268</v>
      </c>
      <c r="B120" t="s">
        <v>2303</v>
      </c>
      <c r="D120" s="4" t="s">
        <v>2268</v>
      </c>
      <c r="E120" t="s">
        <v>2304</v>
      </c>
    </row>
    <row r="121" spans="1:7" x14ac:dyDescent="0.3">
      <c r="A121" s="5" t="s">
        <v>2270</v>
      </c>
      <c r="B121" s="15">
        <v>81</v>
      </c>
      <c r="D121" s="5" t="s">
        <v>2270</v>
      </c>
      <c r="E121" s="15">
        <v>0.15</v>
      </c>
    </row>
    <row r="122" spans="1:7" x14ac:dyDescent="0.3">
      <c r="A122" s="5" t="s">
        <v>2271</v>
      </c>
      <c r="B122" s="15">
        <v>84</v>
      </c>
      <c r="D122" s="5" t="s">
        <v>2271</v>
      </c>
      <c r="E122" s="15">
        <v>0.15</v>
      </c>
    </row>
    <row r="123" spans="1:7" x14ac:dyDescent="0.3">
      <c r="A123" s="5" t="s">
        <v>2272</v>
      </c>
      <c r="B123" s="15">
        <v>94</v>
      </c>
      <c r="D123" s="5" t="s">
        <v>2272</v>
      </c>
      <c r="E123" s="15">
        <v>0.15</v>
      </c>
    </row>
    <row r="124" spans="1:7" x14ac:dyDescent="0.3">
      <c r="A124" s="5" t="s">
        <v>2273</v>
      </c>
      <c r="B124" s="15">
        <v>91</v>
      </c>
      <c r="D124" s="5" t="s">
        <v>2273</v>
      </c>
      <c r="E124" s="15">
        <v>0.15</v>
      </c>
    </row>
    <row r="125" spans="1:7" x14ac:dyDescent="0.3">
      <c r="A125" s="5" t="s">
        <v>2274</v>
      </c>
      <c r="B125" s="15">
        <v>65</v>
      </c>
      <c r="D125" s="5" t="s">
        <v>2274</v>
      </c>
      <c r="E125" s="15">
        <v>0.15</v>
      </c>
    </row>
    <row r="126" spans="1:7" x14ac:dyDescent="0.3">
      <c r="A126" s="5" t="s">
        <v>2275</v>
      </c>
      <c r="B126" s="15">
        <v>85</v>
      </c>
      <c r="D126" s="5" t="s">
        <v>2275</v>
      </c>
      <c r="E126" s="15">
        <v>0.15</v>
      </c>
    </row>
    <row r="127" spans="1:7" x14ac:dyDescent="0.3">
      <c r="A127" s="5" t="s">
        <v>2276</v>
      </c>
      <c r="B127" s="15">
        <v>82</v>
      </c>
      <c r="D127" s="5" t="s">
        <v>2276</v>
      </c>
      <c r="E127" s="15">
        <v>0.15</v>
      </c>
    </row>
    <row r="128" spans="1:7" x14ac:dyDescent="0.3">
      <c r="A128" s="5" t="s">
        <v>2277</v>
      </c>
      <c r="B128" s="15">
        <v>46</v>
      </c>
      <c r="D128" s="5" t="s">
        <v>2277</v>
      </c>
      <c r="E128" s="15">
        <v>0.15</v>
      </c>
    </row>
    <row r="129" spans="1:5" x14ac:dyDescent="0.3">
      <c r="A129" s="5" t="s">
        <v>2278</v>
      </c>
      <c r="B129" s="15">
        <v>43</v>
      </c>
      <c r="D129" s="5" t="s">
        <v>2278</v>
      </c>
      <c r="E129" s="15">
        <v>0.15</v>
      </c>
    </row>
    <row r="130" spans="1:5" x14ac:dyDescent="0.3">
      <c r="A130" s="5" t="s">
        <v>2279</v>
      </c>
      <c r="B130" s="15">
        <v>39</v>
      </c>
      <c r="D130" s="5" t="s">
        <v>2279</v>
      </c>
      <c r="E130" s="15">
        <v>0.15</v>
      </c>
    </row>
    <row r="131" spans="1:5" x14ac:dyDescent="0.3">
      <c r="A131" s="5" t="s">
        <v>2280</v>
      </c>
      <c r="B131" s="15">
        <v>42</v>
      </c>
      <c r="D131" s="5" t="s">
        <v>2280</v>
      </c>
      <c r="E131" s="15">
        <v>0.15</v>
      </c>
    </row>
    <row r="132" spans="1:5" x14ac:dyDescent="0.3">
      <c r="A132" s="5" t="s">
        <v>2281</v>
      </c>
      <c r="B132" s="15">
        <v>48</v>
      </c>
      <c r="D132" s="5" t="s">
        <v>2281</v>
      </c>
      <c r="E132" s="15">
        <v>0.15</v>
      </c>
    </row>
    <row r="133" spans="1:5" x14ac:dyDescent="0.3">
      <c r="A133" s="5" t="s">
        <v>2269</v>
      </c>
      <c r="B133" s="15">
        <v>800</v>
      </c>
      <c r="D133" s="5" t="s">
        <v>2269</v>
      </c>
      <c r="E133" s="15">
        <v>0.15</v>
      </c>
    </row>
    <row r="134" spans="1:5" x14ac:dyDescent="0.3">
      <c r="B134" s="10">
        <f>GETPIVOTDATA("Order ID",$A$120)</f>
        <v>800</v>
      </c>
      <c r="E134" s="11">
        <f>GETPIVOTDATA("Profit Margin",$D$120)</f>
        <v>0.15</v>
      </c>
    </row>
    <row r="146" spans="1:6" x14ac:dyDescent="0.3">
      <c r="A146" t="s">
        <v>2305</v>
      </c>
    </row>
    <row r="148" spans="1:6" x14ac:dyDescent="0.3">
      <c r="A148" s="4" t="s">
        <v>2268</v>
      </c>
      <c r="B148" t="s">
        <v>2284</v>
      </c>
      <c r="C148" t="s">
        <v>2282</v>
      </c>
      <c r="D148" t="s">
        <v>2302</v>
      </c>
      <c r="E148" t="s">
        <v>2303</v>
      </c>
      <c r="F148" t="s">
        <v>2304</v>
      </c>
    </row>
    <row r="149" spans="1:6" x14ac:dyDescent="0.3">
      <c r="A149" s="5" t="s">
        <v>2300</v>
      </c>
      <c r="B149" s="15">
        <v>119335040</v>
      </c>
      <c r="C149" s="15">
        <v>17900256</v>
      </c>
      <c r="D149" s="15">
        <v>1541</v>
      </c>
      <c r="E149" s="15">
        <v>502</v>
      </c>
      <c r="F149" s="15">
        <v>0.15</v>
      </c>
    </row>
    <row r="150" spans="1:6" x14ac:dyDescent="0.3">
      <c r="A150" s="5" t="s">
        <v>2301</v>
      </c>
      <c r="B150" s="15">
        <v>70547840</v>
      </c>
      <c r="C150" s="15">
        <v>10582176</v>
      </c>
      <c r="D150" s="15">
        <v>911</v>
      </c>
      <c r="E150" s="15">
        <v>298</v>
      </c>
      <c r="F150" s="15">
        <v>0.15</v>
      </c>
    </row>
    <row r="152" spans="1:6" ht="18.600000000000001" x14ac:dyDescent="0.4">
      <c r="A152" t="s">
        <v>2306</v>
      </c>
      <c r="B152" s="14">
        <f>(GETPIVOTDATA("Sum of Total Sales",$A$148,"Years (Order Date)",2025)/GETPIVOTDATA("Sum of Total Sales",$A$148,"Years (Order Date)",2024))-1</f>
        <v>-0.40882543802725502</v>
      </c>
      <c r="C152" s="13">
        <f>(GETPIVOTDATA("Sum of Profit",$A$148,"Years (Order Date)",2025)/GETPIVOTDATA("Sum of Profit",$A$148,"Years (Order Date)",2024))-1</f>
        <v>-0.40882543802725502</v>
      </c>
      <c r="D152" s="13">
        <f>(GETPIVOTDATA("Sum of Quantity Ordered",$A$148,"Years (Order Date)",2025)/GETPIVOTDATA("Sum of Quantity Ordered",$A$148,"Years (Order Date)",2024))-1</f>
        <v>-0.40882543802725502</v>
      </c>
      <c r="E152" s="13">
        <f>(GETPIVOTDATA("Count of Order ID",$A$148,"Years (Order Date)",2025)/GETPIVOTDATA("Count of Order ID",$A$148,"Years (Order Date)",2024))-1</f>
        <v>-0.40637450199203184</v>
      </c>
      <c r="F152" s="13">
        <f>(GETPIVOTDATA("Sum of Profit Margin",$A$148,"Years (Order Date)",2025)/GETPIVOTDATA("Sum of Profit Margin",$A$148,"Years (Order Date)",2024))-1</f>
        <v>0</v>
      </c>
    </row>
    <row r="153" spans="1:6" ht="17.399999999999999" x14ac:dyDescent="0.3">
      <c r="A153" t="s">
        <v>2307</v>
      </c>
      <c r="B153" s="14">
        <f>(GETPIVOTDATA("Sum of Profit",$A$148,"Years (Order Date)",2025)/GETPIVOTDATA("Sum of Profit",$A$148,"Years (Order Date)",2024))-1</f>
        <v>-0.40882543802725502</v>
      </c>
    </row>
    <row r="154" spans="1:6" ht="17.399999999999999" x14ac:dyDescent="0.3">
      <c r="A154" t="s">
        <v>2308</v>
      </c>
      <c r="B154" s="14">
        <f>(GETPIVOTDATA("Sum of Quantity Ordered",$A$148,"Years (Order Date)",2025)/GETPIVOTDATA("Sum of Quantity Ordered",$A$148,"Years (Order Date)",2024))-1</f>
        <v>-0.40882543802725502</v>
      </c>
    </row>
    <row r="155" spans="1:6" ht="17.399999999999999" x14ac:dyDescent="0.3">
      <c r="A155" t="s">
        <v>2309</v>
      </c>
      <c r="B155" s="14">
        <f>(GETPIVOTDATA("Count of Order ID",$A$148,"Years (Order Date)",2025)/GETPIVOTDATA("Count of Order ID",$A$148,"Years (Order Date)",2024))-1</f>
        <v>-0.40637450199203184</v>
      </c>
    </row>
    <row r="156" spans="1:6" ht="17.399999999999999" x14ac:dyDescent="0.3">
      <c r="A156" t="s">
        <v>2310</v>
      </c>
      <c r="B156" s="14">
        <f>(GETPIVOTDATA("Sum of Profit Margin",$A$148,"Years (Order Date)",2025)/GETPIVOTDATA("Sum of Profit Margin",$A$148,"Years (Order Date)",2024))-1</f>
        <v>0</v>
      </c>
    </row>
    <row r="157" spans="1:6" x14ac:dyDescent="0.3">
      <c r="F157" s="12"/>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B4422-D705-4316-BA39-E8CEF8390480}">
  <dimension ref="A1"/>
  <sheetViews>
    <sheetView showGridLines="0" showRowColHeaders="0" tabSelected="1" zoomScale="80" zoomScaleNormal="80" workbookViewId="0">
      <selection activeCell="N58" sqref="N58"/>
    </sheetView>
  </sheetViews>
  <sheetFormatPr defaultRowHeight="14.4" x14ac:dyDescent="0.3"/>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Nikita Divekar</cp:lastModifiedBy>
  <dcterms:created xsi:type="dcterms:W3CDTF">2025-08-14T10:58:50Z</dcterms:created>
  <dcterms:modified xsi:type="dcterms:W3CDTF">2025-08-16T13:02:30Z</dcterms:modified>
</cp:coreProperties>
</file>